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Can\Downloads\Work Done\Dispatch App\"/>
    </mc:Choice>
  </mc:AlternateContent>
  <xr:revisionPtr revIDLastSave="0" documentId="13_ncr:1_{189ACA1F-8E3A-4300-A8B4-490D8B4E397C}" xr6:coauthVersionLast="47" xr6:coauthVersionMax="47" xr10:uidLastSave="{00000000-0000-0000-0000-000000000000}"/>
  <bookViews>
    <workbookView xWindow="-300" yWindow="630" windowWidth="29010" windowHeight="15105" activeTab="1" xr2:uid="{D4B56129-BD03-424A-88D4-790161A3D305}"/>
  </bookViews>
  <sheets>
    <sheet name="SHORT SHEET" sheetId="1" r:id="rId1"/>
    <sheet name="DISPATCH SHEET" sheetId="2" r:id="rId2"/>
    <sheet name="OPENDOCK" sheetId="3" r:id="rId3"/>
    <sheet name="CARRIERS" sheetId="4" r:id="rId4"/>
    <sheet name="MG REPORT" sheetId="5" r:id="rId5"/>
  </sheets>
  <definedNames>
    <definedName name="_xlnm._FilterDatabase" localSheetId="3" hidden="1">CARRIERS!$A$1:$B$1</definedName>
    <definedName name="_xlnm._FilterDatabase" localSheetId="1" hidden="1">'DISPATCH SHEET'!$B$2:$M$2</definedName>
    <definedName name="_xlnm._FilterDatabase" localSheetId="0" hidden="1">'SHORT SHEET'!$A$4:$K$4</definedName>
    <definedName name="Comments" localSheetId="3">#REF!</definedName>
    <definedName name="Comments" localSheetId="4">#REF!</definedName>
    <definedName name="Comments" localSheetId="2">#REF!</definedName>
    <definedName name="Comments">'DISPATCH SHEET'!#REF!</definedName>
    <definedName name="LateComment" localSheetId="3">#REF!</definedName>
    <definedName name="LateComment" localSheetId="4">#REF!</definedName>
    <definedName name="LateComment" localSheetId="2">#REF!</definedName>
    <definedName name="LateComment">'DISPATCH SHEET'!#REF!</definedName>
    <definedName name="LateComments">#REF!</definedName>
    <definedName name="_xlnm.Print_Area" localSheetId="1">'DISPATCH SHEET'!$A$1:$G$122</definedName>
    <definedName name="_xlnm.Print_Area" localSheetId="0">'SHORT SHEET'!$A$1:$K$424</definedName>
    <definedName name="_xlnm.Print_Titles" localSheetId="1">'DISPATCH SHEET'!$1:$2</definedName>
    <definedName name="_xlnm.Print_Titles" localSheetId="0">'SHORT SHEET'!$1:$3</definedName>
    <definedName name="Z_089C2475_D788_43A5_9055_19CF6DC182FB_.wvu.PrintArea" localSheetId="1" hidden="1">'DISPATCH SHEET'!$A$1:$M$122</definedName>
    <definedName name="Z_089C2475_D788_43A5_9055_19CF6DC182FB_.wvu.PrintArea" localSheetId="0" hidden="1">'SHORT SHEET'!$A$1:$K$424</definedName>
    <definedName name="Z_089C2475_D788_43A5_9055_19CF6DC182FB_.wvu.PrintTitles" localSheetId="1" hidden="1">'DISPATCH SHEET'!$1:$2</definedName>
    <definedName name="Z_089C2475_D788_43A5_9055_19CF6DC182FB_.wvu.PrintTitles" localSheetId="0" hidden="1">'SHORT SHEET'!$1:$3</definedName>
    <definedName name="Z_1B802506_F10F_4C63_BC5E_924B366AB1B1_.wvu.PrintArea" localSheetId="1" hidden="1">'DISPATCH SHEET'!$A$1:$M$122</definedName>
    <definedName name="Z_1B802506_F10F_4C63_BC5E_924B366AB1B1_.wvu.PrintArea" localSheetId="0" hidden="1">'SHORT SHEET'!$A$1:$K$424</definedName>
    <definedName name="Z_1B802506_F10F_4C63_BC5E_924B366AB1B1_.wvu.PrintTitles" localSheetId="1" hidden="1">'DISPATCH SHEET'!$1:$2</definedName>
    <definedName name="Z_1B802506_F10F_4C63_BC5E_924B366AB1B1_.wvu.PrintTitles" localSheetId="0" hidden="1">'SHORT SHEET'!$1:$3</definedName>
    <definedName name="Z_1B802506_F10F_4C63_BC5E_924B366AB1B1_.wvu.Rows" localSheetId="0" hidden="1">'SHORT SHEET'!#REF!,'SHORT SHEET'!$6:$6,'SHORT SHEET'!$16:$16</definedName>
    <definedName name="Z_212AF47E_6CD3_4BC8_B77E_45107D53A1AD_.wvu.PrintArea" localSheetId="1" hidden="1">'DISPATCH SHEET'!$A$1:$M$122</definedName>
    <definedName name="Z_212AF47E_6CD3_4BC8_B77E_45107D53A1AD_.wvu.PrintArea" localSheetId="0" hidden="1">'SHORT SHEET'!$A$1:$K$424</definedName>
    <definedName name="Z_212AF47E_6CD3_4BC8_B77E_45107D53A1AD_.wvu.PrintTitles" localSheetId="1" hidden="1">'DISPATCH SHEET'!$1:$2</definedName>
    <definedName name="Z_212AF47E_6CD3_4BC8_B77E_45107D53A1AD_.wvu.PrintTitles" localSheetId="0" hidden="1">'SHORT SHEET'!$1:$3</definedName>
    <definedName name="Z_2AEDD06F_0054_4286_9553_87DEDB34D8AD_.wvu.PrintArea" localSheetId="1" hidden="1">'DISPATCH SHEET'!$A$1:$M$122</definedName>
    <definedName name="Z_2AEDD06F_0054_4286_9553_87DEDB34D8AD_.wvu.PrintArea" localSheetId="0" hidden="1">'SHORT SHEET'!$A$1:$K$424</definedName>
    <definedName name="Z_2AEDD06F_0054_4286_9553_87DEDB34D8AD_.wvu.PrintTitles" localSheetId="1" hidden="1">'DISPATCH SHEET'!$1:$2</definedName>
    <definedName name="Z_2AEDD06F_0054_4286_9553_87DEDB34D8AD_.wvu.PrintTitles" localSheetId="0" hidden="1">'SHORT SHEET'!$1:$3</definedName>
    <definedName name="Z_2AEDD06F_0054_4286_9553_87DEDB34D8AD_.wvu.Rows" localSheetId="0" hidden="1">'SHORT SHEET'!$4:$27,'SHORT SHEET'!#REF!,'SHORT SHEET'!$53:$54,'SHORT SHEET'!$57:$60,'SHORT SHEET'!$63:$63,'SHORT SHEET'!$66:$70,'SHORT SHEET'!$75:$77,'SHORT SHEET'!$79:$80,'SHORT SHEET'!$85:$86,'SHORT SHEET'!$89:$89,'SHORT SHEET'!$94:$94,'SHORT SHEET'!$96:$98,'SHORT SHEET'!$100:$100,'SHORT SHEET'!$102:$104</definedName>
    <definedName name="Z_312E1E5D_C365_495B_9B0A_D8F5392167D0_.wvu.PrintArea" localSheetId="1" hidden="1">'DISPATCH SHEET'!$A$1:$M$122</definedName>
    <definedName name="Z_312E1E5D_C365_495B_9B0A_D8F5392167D0_.wvu.PrintArea" localSheetId="0" hidden="1">'SHORT SHEET'!$A$1:$K$424</definedName>
    <definedName name="Z_312E1E5D_C365_495B_9B0A_D8F5392167D0_.wvu.PrintTitles" localSheetId="1" hidden="1">'DISPATCH SHEET'!$1:$2</definedName>
    <definedName name="Z_312E1E5D_C365_495B_9B0A_D8F5392167D0_.wvu.PrintTitles" localSheetId="0" hidden="1">'SHORT SHEET'!$1:$3</definedName>
    <definedName name="Z_32AAF8B9_5CAB_46D4_964E_EDDF789A0208_.wvu.PrintArea" localSheetId="1" hidden="1">'DISPATCH SHEET'!$A$1:$M$122</definedName>
    <definedName name="Z_32AAF8B9_5CAB_46D4_964E_EDDF789A0208_.wvu.PrintArea" localSheetId="0" hidden="1">'SHORT SHEET'!$A$1:$K$424</definedName>
    <definedName name="Z_32AAF8B9_5CAB_46D4_964E_EDDF789A0208_.wvu.PrintTitles" localSheetId="1" hidden="1">'DISPATCH SHEET'!$1:$2</definedName>
    <definedName name="Z_32AAF8B9_5CAB_46D4_964E_EDDF789A0208_.wvu.PrintTitles" localSheetId="0" hidden="1">'SHORT SHEET'!$1:$3</definedName>
    <definedName name="Z_32E3C17E_E60D_4ACB_AE3B_8A24C5752184_.wvu.PrintArea" localSheetId="1" hidden="1">'DISPATCH SHEET'!$A$1:$M$122</definedName>
    <definedName name="Z_32E3C17E_E60D_4ACB_AE3B_8A24C5752184_.wvu.PrintArea" localSheetId="0" hidden="1">'SHORT SHEET'!$A$1:$K$424</definedName>
    <definedName name="Z_32E3C17E_E60D_4ACB_AE3B_8A24C5752184_.wvu.PrintTitles" localSheetId="1" hidden="1">'DISPATCH SHEET'!$1:$2</definedName>
    <definedName name="Z_32E3C17E_E60D_4ACB_AE3B_8A24C5752184_.wvu.PrintTitles" localSheetId="0" hidden="1">'SHORT SHEET'!$1:$3</definedName>
    <definedName name="Z_32E3C17E_E60D_4ACB_AE3B_8A24C5752184_.wvu.Rows" localSheetId="0" hidden="1">'SHORT SHEET'!#REF!,'SHORT SHEET'!$6:$6,'SHORT SHEET'!$16:$16</definedName>
    <definedName name="Z_3C3B6556_0D36_45D4_BC11_53BD8DFE4A15_.wvu.FilterData" localSheetId="1" hidden="1">'DISPATCH SHEET'!$A$2:$M$122</definedName>
    <definedName name="Z_3C3B6556_0D36_45D4_BC11_53BD8DFE4A15_.wvu.PrintArea" localSheetId="1" hidden="1">'DISPATCH SHEET'!$A$1:$G$122</definedName>
    <definedName name="Z_3C3B6556_0D36_45D4_BC11_53BD8DFE4A15_.wvu.PrintArea" localSheetId="0" hidden="1">'SHORT SHEET'!$A$1:$K$424</definedName>
    <definedName name="Z_3C3B6556_0D36_45D4_BC11_53BD8DFE4A15_.wvu.PrintTitles" localSheetId="1" hidden="1">'DISPATCH SHEET'!$1:$2</definedName>
    <definedName name="Z_3C3B6556_0D36_45D4_BC11_53BD8DFE4A15_.wvu.PrintTitles" localSheetId="0" hidden="1">'SHORT SHEET'!$1:$3</definedName>
    <definedName name="Z_3CE29B8C_9A0E_4377_8C26_EEAEADED3D82_.wvu.FilterData" localSheetId="1" hidden="1">'DISPATCH SHEET'!$A$2:$M$122</definedName>
    <definedName name="Z_3CE29B8C_9A0E_4377_8C26_EEAEADED3D82_.wvu.PrintArea" localSheetId="1" hidden="1">'DISPATCH SHEET'!$A$1:$G$122</definedName>
    <definedName name="Z_3CE29B8C_9A0E_4377_8C26_EEAEADED3D82_.wvu.PrintArea" localSheetId="0" hidden="1">'SHORT SHEET'!$A$1:$K$424</definedName>
    <definedName name="Z_3CE29B8C_9A0E_4377_8C26_EEAEADED3D82_.wvu.PrintTitles" localSheetId="1" hidden="1">'DISPATCH SHEET'!$1:$2</definedName>
    <definedName name="Z_3CE29B8C_9A0E_4377_8C26_EEAEADED3D82_.wvu.PrintTitles" localSheetId="0" hidden="1">'SHORT SHEET'!$1:$3</definedName>
    <definedName name="Z_3F2C4408_9F65_4DCF_940D_65BABF2C13CC_.wvu.PrintArea" localSheetId="1" hidden="1">'DISPATCH SHEET'!$A$1:$M$122</definedName>
    <definedName name="Z_3F2C4408_9F65_4DCF_940D_65BABF2C13CC_.wvu.PrintArea" localSheetId="0" hidden="1">'SHORT SHEET'!$A$1:$K$424</definedName>
    <definedName name="Z_3F2C4408_9F65_4DCF_940D_65BABF2C13CC_.wvu.PrintTitles" localSheetId="1" hidden="1">'DISPATCH SHEET'!$1:$2</definedName>
    <definedName name="Z_3F2C4408_9F65_4DCF_940D_65BABF2C13CC_.wvu.PrintTitles" localSheetId="0" hidden="1">'SHORT SHEET'!$1:$3</definedName>
    <definedName name="Z_3F2C4408_9F65_4DCF_940D_65BABF2C13CC_.wvu.Rows" localSheetId="0" hidden="1">'SHORT SHEET'!$4:$27,'SHORT SHEET'!#REF!,'SHORT SHEET'!$53:$54,'SHORT SHEET'!$57:$60,'SHORT SHEET'!$63:$63,'SHORT SHEET'!$66:$70,'SHORT SHEET'!$75:$77,'SHORT SHEET'!$79:$80,'SHORT SHEET'!$85:$86,'SHORT SHEET'!$89:$89,'SHORT SHEET'!$94:$94,'SHORT SHEET'!$96:$98,'SHORT SHEET'!$100:$100,'SHORT SHEET'!$102:$104</definedName>
    <definedName name="Z_519C7DAE_B389_4CA7_8C55_C2E3EF3787CA_.wvu.FilterData" localSheetId="1" hidden="1">'DISPATCH SHEET'!$A$2:$M$122</definedName>
    <definedName name="Z_519C7DAE_B389_4CA7_8C55_C2E3EF3787CA_.wvu.PrintArea" localSheetId="1" hidden="1">'DISPATCH SHEET'!$A$1:$G$122</definedName>
    <definedName name="Z_519C7DAE_B389_4CA7_8C55_C2E3EF3787CA_.wvu.PrintArea" localSheetId="0" hidden="1">'SHORT SHEET'!$A$1:$K$424</definedName>
    <definedName name="Z_519C7DAE_B389_4CA7_8C55_C2E3EF3787CA_.wvu.PrintTitles" localSheetId="1" hidden="1">'DISPATCH SHEET'!$1:$2</definedName>
    <definedName name="Z_519C7DAE_B389_4CA7_8C55_C2E3EF3787CA_.wvu.PrintTitles" localSheetId="0" hidden="1">'SHORT SHEET'!$1:$3</definedName>
    <definedName name="Z_82858873_4536_4963_8848_E8D4D828F78F_.wvu.PrintArea" localSheetId="1" hidden="1">'DISPATCH SHEET'!$A$1:$M$122</definedName>
    <definedName name="Z_82858873_4536_4963_8848_E8D4D828F78F_.wvu.PrintArea" localSheetId="0" hidden="1">'SHORT SHEET'!$A$1:$K$424</definedName>
    <definedName name="Z_82858873_4536_4963_8848_E8D4D828F78F_.wvu.PrintTitles" localSheetId="1" hidden="1">'DISPATCH SHEET'!$1:$2</definedName>
    <definedName name="Z_82858873_4536_4963_8848_E8D4D828F78F_.wvu.PrintTitles" localSheetId="0" hidden="1">'SHORT SHEET'!$1:$3</definedName>
    <definedName name="Z_9DC8C941_2C92_4E64_B1DC_F55ACC4C8953_.wvu.PrintArea" localSheetId="1" hidden="1">'DISPATCH SHEET'!$A$1:$G$122</definedName>
    <definedName name="Z_9DC8C941_2C92_4E64_B1DC_F55ACC4C8953_.wvu.PrintArea" localSheetId="0" hidden="1">'SHORT SHEET'!$A$1:$K$424</definedName>
    <definedName name="Z_9DC8C941_2C92_4E64_B1DC_F55ACC4C8953_.wvu.PrintTitles" localSheetId="1" hidden="1">'DISPATCH SHEET'!$1:$2</definedName>
    <definedName name="Z_9DC8C941_2C92_4E64_B1DC_F55ACC4C8953_.wvu.PrintTitles" localSheetId="0" hidden="1">'SHORT SHEET'!$1:$3</definedName>
    <definedName name="Z_AEA462B1_1BF9_4E43_96D5_60DEF5B88731_.wvu.FilterData" localSheetId="1" hidden="1">'DISPATCH SHEET'!$A$2:$M$122</definedName>
    <definedName name="Z_AEA462B1_1BF9_4E43_96D5_60DEF5B88731_.wvu.PrintArea" localSheetId="1" hidden="1">'DISPATCH SHEET'!$A$1:$G$122</definedName>
    <definedName name="Z_AEA462B1_1BF9_4E43_96D5_60DEF5B88731_.wvu.PrintArea" localSheetId="0" hidden="1">'SHORT SHEET'!$A$1:$K$424</definedName>
    <definedName name="Z_AEA462B1_1BF9_4E43_96D5_60DEF5B88731_.wvu.PrintTitles" localSheetId="1" hidden="1">'DISPATCH SHEET'!$1:$2</definedName>
    <definedName name="Z_AEA462B1_1BF9_4E43_96D5_60DEF5B88731_.wvu.PrintTitles" localSheetId="0" hidden="1">'SHORT SHEET'!$1:$3</definedName>
    <definedName name="Z_B978592D_8067_4C3E_9776_464FF6F2FD85_.wvu.PrintArea" localSheetId="1" hidden="1">'DISPATCH SHEET'!$A$1:$M$122</definedName>
    <definedName name="Z_B978592D_8067_4C3E_9776_464FF6F2FD85_.wvu.PrintArea" localSheetId="0" hidden="1">'SHORT SHEET'!$A$1:$K$424</definedName>
    <definedName name="Z_B978592D_8067_4C3E_9776_464FF6F2FD85_.wvu.PrintTitles" localSheetId="1" hidden="1">'DISPATCH SHEET'!$1:$2</definedName>
    <definedName name="Z_B978592D_8067_4C3E_9776_464FF6F2FD85_.wvu.PrintTitles" localSheetId="0" hidden="1">'SHORT SHEET'!$1:$3</definedName>
    <definedName name="Z_BD84EDAD_B4B9_4F41_AB23_6DFCF9E35AAF_.wvu.PrintArea" localSheetId="1" hidden="1">'DISPATCH SHEET'!$A$1:$M$122</definedName>
    <definedName name="Z_BD84EDAD_B4B9_4F41_AB23_6DFCF9E35AAF_.wvu.PrintArea" localSheetId="0" hidden="1">'SHORT SHEET'!$A$1:$K$424</definedName>
    <definedName name="Z_BD84EDAD_B4B9_4F41_AB23_6DFCF9E35AAF_.wvu.PrintTitles" localSheetId="1" hidden="1">'DISPATCH SHEET'!$1:$2</definedName>
    <definedName name="Z_BD84EDAD_B4B9_4F41_AB23_6DFCF9E35AAF_.wvu.PrintTitles" localSheetId="0" hidden="1">'SHORT SHEET'!$1:$3</definedName>
    <definedName name="Z_D239B81F_577C_4AC5_A510_DCD8BA3C535E_.wvu.FilterData" localSheetId="1" hidden="1">'DISPATCH SHEET'!$A$2:$M$122</definedName>
    <definedName name="Z_D239B81F_577C_4AC5_A510_DCD8BA3C535E_.wvu.PrintArea" localSheetId="1" hidden="1">'DISPATCH SHEET'!$A$1:$G$122</definedName>
    <definedName name="Z_D239B81F_577C_4AC5_A510_DCD8BA3C535E_.wvu.PrintArea" localSheetId="0" hidden="1">'SHORT SHEET'!$A$1:$K$424</definedName>
    <definedName name="Z_D239B81F_577C_4AC5_A510_DCD8BA3C535E_.wvu.PrintTitles" localSheetId="1" hidden="1">'DISPATCH SHEET'!$1:$2</definedName>
    <definedName name="Z_D239B81F_577C_4AC5_A510_DCD8BA3C535E_.wvu.PrintTitles" localSheetId="0" hidden="1">'SHORT SHEET'!$1:$3</definedName>
    <definedName name="Z_D674C28C_C854_49C8_A985_166F4E6AF9D6_.wvu.PrintArea" localSheetId="1" hidden="1">'DISPATCH SHEET'!$A$1:$M$122</definedName>
    <definedName name="Z_D674C28C_C854_49C8_A985_166F4E6AF9D6_.wvu.PrintArea" localSheetId="0" hidden="1">'SHORT SHEET'!$A$1:$K$424</definedName>
    <definedName name="Z_D674C28C_C854_49C8_A985_166F4E6AF9D6_.wvu.PrintTitles" localSheetId="1" hidden="1">'DISPATCH SHEET'!$1:$2</definedName>
    <definedName name="Z_D674C28C_C854_49C8_A985_166F4E6AF9D6_.wvu.PrintTitles" localSheetId="0" hidden="1">'SHORT SHEET'!$1:$3</definedName>
    <definedName name="Z_F2ABDCEA_E6D0_4B04_A99E_C2738785F813_.wvu.PrintArea" localSheetId="1" hidden="1">'DISPATCH SHEET'!$A$1:$G$122</definedName>
    <definedName name="Z_F2ABDCEA_E6D0_4B04_A99E_C2738785F813_.wvu.PrintArea" localSheetId="0" hidden="1">'SHORT SHEET'!$A$1:$K$424</definedName>
    <definedName name="Z_F2ABDCEA_E6D0_4B04_A99E_C2738785F813_.wvu.PrintTitles" localSheetId="1" hidden="1">'DISPATCH SHEET'!$1:$2</definedName>
    <definedName name="Z_F2ABDCEA_E6D0_4B04_A99E_C2738785F813_.wvu.PrintTitles" localSheetId="0" hidden="1">'SHORT SHEET'!$1:$3</definedName>
    <definedName name="Z_F99380B7_BBEC_4E28_91F3_98C4493CB6E0_.wvu.FilterData" localSheetId="1" hidden="1">'DISPATCH SHEET'!$A$2:$M$122</definedName>
    <definedName name="Z_F99380B7_BBEC_4E28_91F3_98C4493CB6E0_.wvu.PrintArea" localSheetId="1" hidden="1">'DISPATCH SHEET'!$A$1:$G$122</definedName>
    <definedName name="Z_F99380B7_BBEC_4E28_91F3_98C4493CB6E0_.wvu.PrintArea" localSheetId="0" hidden="1">'SHORT SHEET'!$A$1:$K$424</definedName>
    <definedName name="Z_F99380B7_BBEC_4E28_91F3_98C4493CB6E0_.wvu.PrintTitles" localSheetId="1" hidden="1">'DISPATCH SHEET'!$1:$2</definedName>
    <definedName name="Z_F99380B7_BBEC_4E28_91F3_98C4493CB6E0_.wvu.PrintTitles" localSheetId="0" hidden="1">'SHORT SHEET'!$1:$3</definedName>
    <definedName name="Z_FC130BDB_9171_45A7_BD66_E911F2B812C8_.wvu.PrintArea" localSheetId="1" hidden="1">'DISPATCH SHEET'!$A$1:$G$122</definedName>
    <definedName name="Z_FC130BDB_9171_45A7_BD66_E911F2B812C8_.wvu.PrintArea" localSheetId="0" hidden="1">'SHORT SHEET'!$A$1:$K$424</definedName>
    <definedName name="Z_FC130BDB_9171_45A7_BD66_E911F2B812C8_.wvu.PrintTitles" localSheetId="1" hidden="1">'DISPATCH SHEET'!$1:$2</definedName>
    <definedName name="Z_FC130BDB_9171_45A7_BD66_E911F2B812C8_.wvu.PrintTitles" localSheetId="0" hidden="1">'SHORT SHEET'!$1:$3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3" i="2"/>
  <c r="K3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94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3" i="2"/>
  <c r="K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K1" i="1"/>
  <c r="E1" i="1"/>
  <c r="M1" i="2" l="1"/>
</calcChain>
</file>

<file path=xl/sharedStrings.xml><?xml version="1.0" encoding="utf-8"?>
<sst xmlns="http://schemas.openxmlformats.org/spreadsheetml/2006/main" count="2669" uniqueCount="217">
  <si>
    <t xml:space="preserve"> </t>
  </si>
  <si>
    <t>Total Trucks:</t>
  </si>
  <si>
    <t>TK Shipping Department - Short Sheet</t>
  </si>
  <si>
    <t>Total Cases:</t>
  </si>
  <si>
    <t xml:space="preserve">Day/Date: </t>
  </si>
  <si>
    <t>TRIP #</t>
  </si>
  <si>
    <t>DESTINATION</t>
  </si>
  <si>
    <t>DISPATCH</t>
  </si>
  <si>
    <t>STATUS</t>
  </si>
  <si>
    <t>ORDER #</t>
  </si>
  <si>
    <t>ITEM NUMBER</t>
  </si>
  <si>
    <t>ITEM DESCRIPTION</t>
  </si>
  <si>
    <t>CASES</t>
  </si>
  <si>
    <t>W</t>
  </si>
  <si>
    <t>PROD. ETA</t>
  </si>
  <si>
    <t>COMMENTS</t>
  </si>
  <si>
    <t>NOTES</t>
  </si>
  <si>
    <t>WEIGHT</t>
  </si>
  <si>
    <t>TT4</t>
  </si>
  <si>
    <t>CARRIER</t>
  </si>
  <si>
    <t>CARRIER FULL</t>
  </si>
  <si>
    <t>Total Weight:</t>
  </si>
  <si>
    <t>Total cases:</t>
  </si>
  <si>
    <t>Daily Dispatch Log Sheet</t>
  </si>
  <si>
    <t>Date:</t>
  </si>
  <si>
    <t>Load Reference</t>
  </si>
  <si>
    <t>Arrival Date</t>
  </si>
  <si>
    <t>Arrival Time</t>
  </si>
  <si>
    <t>Departure Date</t>
  </si>
  <si>
    <t>Departure Time</t>
  </si>
  <si>
    <t>Status</t>
  </si>
  <si>
    <t>Carrier</t>
  </si>
  <si>
    <t>Carrier Full Name</t>
  </si>
  <si>
    <t>Carrier Abbreviation</t>
  </si>
  <si>
    <t>ABCO TRANSPORTATION</t>
  </si>
  <si>
    <t>ABCO</t>
  </si>
  <si>
    <t>ASSOCIATED WHOLESALE GROCERS</t>
  </si>
  <si>
    <t>CPU</t>
  </si>
  <si>
    <t>AWG</t>
  </si>
  <si>
    <t>Barlow Truck lines</t>
  </si>
  <si>
    <t>BARLOW</t>
  </si>
  <si>
    <t>BARLOW TRUCK LINES INC</t>
  </si>
  <si>
    <t>BESTMARK EXPRESS</t>
  </si>
  <si>
    <t>BESTMARK</t>
  </si>
  <si>
    <t>BESTMARK EXPRESS, INC.</t>
  </si>
  <si>
    <t>BLACKWELL CONSOLIDATION</t>
  </si>
  <si>
    <t>BLACKWELL</t>
  </si>
  <si>
    <t>BOTTOMLEY ENTERPRISES</t>
  </si>
  <si>
    <t>BOTTOMLEY</t>
  </si>
  <si>
    <t>BOTTOMLEY ENTERPRISES INC</t>
  </si>
  <si>
    <t>CARGO RUNNER CO</t>
  </si>
  <si>
    <t>CARGO RUNNER</t>
  </si>
  <si>
    <t>CAROLINA CARGO</t>
  </si>
  <si>
    <t>CAROLINA</t>
  </si>
  <si>
    <t>CASEYS GENERAL STORES INC</t>
  </si>
  <si>
    <t>CHOPTANK TRANSPORT</t>
  </si>
  <si>
    <t>CHOPTANK</t>
  </si>
  <si>
    <t>COAST TO COAST TRANSPORT</t>
  </si>
  <si>
    <t>COAST</t>
  </si>
  <si>
    <t>COAST TO COAST TRANSPORTATION, INC.</t>
  </si>
  <si>
    <t>COMMODITY TRANSPORTATION SERVICE</t>
  </si>
  <si>
    <t>COMMODITY</t>
  </si>
  <si>
    <t>COSTCO 1053 NE REGION</t>
  </si>
  <si>
    <t>NATIONWIDE</t>
  </si>
  <si>
    <t>COYOTE LOGISTICS</t>
  </si>
  <si>
    <t>COYOTE</t>
  </si>
  <si>
    <t>CPUC</t>
  </si>
  <si>
    <t>CR England</t>
  </si>
  <si>
    <t>CR ENGLAND</t>
  </si>
  <si>
    <t>CREST TRANS INC</t>
  </si>
  <si>
    <t>CREST</t>
  </si>
  <si>
    <t>Crest Transportation</t>
  </si>
  <si>
    <t>CREST TRANSPORTATION LOGISTICS</t>
  </si>
  <si>
    <t>CREST TRANSPORTATION LOGISTICS LLC</t>
  </si>
  <si>
    <t>D&amp;M CARRIERS dba FREYMILLER</t>
  </si>
  <si>
    <t>DMCC</t>
  </si>
  <si>
    <t>D&amp;M CARRIERS, LLC DBA FREYMILLER</t>
  </si>
  <si>
    <t>D-TRANS LLC</t>
  </si>
  <si>
    <t>DTNV</t>
  </si>
  <si>
    <t>DYNAMIC TRANSIT</t>
  </si>
  <si>
    <t>DYNAMIC</t>
  </si>
  <si>
    <t>ELBERTA LOGISTICS</t>
  </si>
  <si>
    <t>ELBERTA LGS.</t>
  </si>
  <si>
    <t>ELBERTA LOGISTICS INTERNATIONAL LLC</t>
  </si>
  <si>
    <t>EMERGE</t>
  </si>
  <si>
    <t>EMERGE TECH</t>
  </si>
  <si>
    <t>EMERGE MARKET</t>
  </si>
  <si>
    <t>EMERGE TRANSPORATION</t>
  </si>
  <si>
    <t>FAIRCHILD FREIGHT</t>
  </si>
  <si>
    <t>FAIRCHILD</t>
  </si>
  <si>
    <t>FALCON TRANSPORTATION LLC</t>
  </si>
  <si>
    <t>FALCON</t>
  </si>
  <si>
    <t>Fareway Stores</t>
  </si>
  <si>
    <t>FFE-BUTLER,MO</t>
  </si>
  <si>
    <t>FFE</t>
  </si>
  <si>
    <t>FITZMARK INC.</t>
  </si>
  <si>
    <t>FITZMARK</t>
  </si>
  <si>
    <t>FREIGHTMATE INC.</t>
  </si>
  <si>
    <t>FREIGHTMATE</t>
  </si>
  <si>
    <t>FREYMILLER</t>
  </si>
  <si>
    <t>GAMPAC</t>
  </si>
  <si>
    <t>GEM STATE FREIGHT LLC</t>
  </si>
  <si>
    <t>GEM STATE</t>
  </si>
  <si>
    <t>GILTNER INC</t>
  </si>
  <si>
    <t>GILTNER</t>
  </si>
  <si>
    <t>Glitner</t>
  </si>
  <si>
    <t>Great Plains Transport, Inc</t>
  </si>
  <si>
    <t>GREAT PLAINS</t>
  </si>
  <si>
    <t>Green Products Company</t>
  </si>
  <si>
    <t>GUENTHER TRUCKING</t>
  </si>
  <si>
    <t>GUENTHER</t>
  </si>
  <si>
    <t>GUENTHER TRUCKING INC.</t>
  </si>
  <si>
    <t>Gulick Trucking</t>
  </si>
  <si>
    <t>GULICK</t>
  </si>
  <si>
    <t>HEYL TRUCK LINES</t>
  </si>
  <si>
    <t>HEYL</t>
  </si>
  <si>
    <t>HOPLITE LOGISTICS</t>
  </si>
  <si>
    <t>HOPLITE</t>
  </si>
  <si>
    <t>HUB GROUP DEDICATED</t>
  </si>
  <si>
    <t>HUB GROUP</t>
  </si>
  <si>
    <t>J&amp;H TRUCKING INC</t>
  </si>
  <si>
    <t>J&amp;H TRUCKING</t>
  </si>
  <si>
    <t>J&amp;H TRUCKING INC.</t>
  </si>
  <si>
    <t>JETT TRUCKING</t>
  </si>
  <si>
    <t>JETT TRUCKING LLC</t>
  </si>
  <si>
    <t>KB Transportation</t>
  </si>
  <si>
    <t>KB</t>
  </si>
  <si>
    <t>Kottke Trucking Inc</t>
  </si>
  <si>
    <t>KOTTKE</t>
  </si>
  <si>
    <t>KROGER COLUMBUS</t>
  </si>
  <si>
    <t>MID AMERICA</t>
  </si>
  <si>
    <t>LIPARI FOODS</t>
  </si>
  <si>
    <t>LOFFREDO FRESH P DEFOREST</t>
  </si>
  <si>
    <t>Magnum</t>
  </si>
  <si>
    <t>Marten Transport</t>
  </si>
  <si>
    <t>MAX TRANS LOGISTICS</t>
  </si>
  <si>
    <t>MAX TRANS</t>
  </si>
  <si>
    <t>MAX TRANS LOGISTICS OF CHATTANOOGA</t>
  </si>
  <si>
    <t>MCFARLAND TRUCK LINES</t>
  </si>
  <si>
    <t>McFARLAND</t>
  </si>
  <si>
    <t>MCLANE COLUMBUS</t>
  </si>
  <si>
    <t>MENU MAKES JOHN</t>
  </si>
  <si>
    <t>MID AMERICA FREIGHT</t>
  </si>
  <si>
    <t>MID AMERICA FREIGHT LOGISTICS</t>
  </si>
  <si>
    <t>MID AMERICA LOGISTICS</t>
  </si>
  <si>
    <t>MNT</t>
  </si>
  <si>
    <t>MNTQ</t>
  </si>
  <si>
    <t>MNT LOGISTICS, INC.</t>
  </si>
  <si>
    <t>MNTL</t>
  </si>
  <si>
    <t>MNT,INC.</t>
  </si>
  <si>
    <t>NASH FINCH OMAHA</t>
  </si>
  <si>
    <t>NATIONWIDE LOGISTICS</t>
  </si>
  <si>
    <t>NT Logistics</t>
  </si>
  <si>
    <t>OPENDOCK</t>
  </si>
  <si>
    <t>PDS FREIGHT SERVICES</t>
  </si>
  <si>
    <t>PDI</t>
  </si>
  <si>
    <t>PFG ELKTON RUBY TUESDAY</t>
  </si>
  <si>
    <t>PFS OMAHA</t>
  </si>
  <si>
    <t>PLANT PEDDLERS</t>
  </si>
  <si>
    <t xml:space="preserve">PLANTS EX.  </t>
  </si>
  <si>
    <t>PORTAGE TRANSPORT</t>
  </si>
  <si>
    <t>PORTAGE</t>
  </si>
  <si>
    <t>REDLINE TRUCKING</t>
  </si>
  <si>
    <t>RED LINE</t>
  </si>
  <si>
    <t>REFRIGERATED FOOD EXPRESS</t>
  </si>
  <si>
    <t>REFRIGERATED</t>
  </si>
  <si>
    <t>Resers Fine Foods</t>
  </si>
  <si>
    <t>RFX</t>
  </si>
  <si>
    <t>RFXI</t>
  </si>
  <si>
    <t>SAZERAC</t>
  </si>
  <si>
    <t>SCAVUZZOS INC</t>
  </si>
  <si>
    <t>SHAFFER TRUCKING</t>
  </si>
  <si>
    <t>SHAFFER</t>
  </si>
  <si>
    <t>SOUTHERN CAL TRANSPORT</t>
  </si>
  <si>
    <t>SCT</t>
  </si>
  <si>
    <t>SOUTHERN CAL TRANSPORTATION</t>
  </si>
  <si>
    <t>SPOT FREIGHT INC</t>
  </si>
  <si>
    <t>SPOT FREIGHT</t>
  </si>
  <si>
    <t>Spot Inc</t>
  </si>
  <si>
    <t>STEPHENSON WHOLESALE</t>
  </si>
  <si>
    <t>STRAIT TEMP</t>
  </si>
  <si>
    <t>SUMMIT LOGISTICS, INC.</t>
  </si>
  <si>
    <t>SUMMIT</t>
  </si>
  <si>
    <t>SUPER T TRANSPORT</t>
  </si>
  <si>
    <t>SUPER T</t>
  </si>
  <si>
    <t>Synchrogistics</t>
  </si>
  <si>
    <t>TAMAMA</t>
  </si>
  <si>
    <t>TAMANA</t>
  </si>
  <si>
    <t>TOTAL QUALITY LOGISTICS</t>
  </si>
  <si>
    <t>TOTAL</t>
  </si>
  <si>
    <t>TQL (Total Quality Logistics)</t>
  </si>
  <si>
    <t>TRAFFIC TECH</t>
  </si>
  <si>
    <t>Triple T Transport</t>
  </si>
  <si>
    <t>TRIPLE T</t>
  </si>
  <si>
    <t>TURK ENTERPRISES</t>
  </si>
  <si>
    <t>TURK</t>
  </si>
  <si>
    <t>UNITED TRANSPORT LLC</t>
  </si>
  <si>
    <t>INBOUND</t>
  </si>
  <si>
    <t>USFOODS</t>
  </si>
  <si>
    <t>UTXL INC</t>
  </si>
  <si>
    <t>UXTL</t>
  </si>
  <si>
    <t>WALMART</t>
  </si>
  <si>
    <t>WALMART OLNEY PERISHABLE 6059</t>
  </si>
  <si>
    <t>WAL-MART TRANSPORTATION LLC</t>
  </si>
  <si>
    <t>WELLINGTON MOTOR FREIGHT</t>
  </si>
  <si>
    <t>WELLINGTON</t>
  </si>
  <si>
    <t>Load #</t>
  </si>
  <si>
    <t>Actual Weight</t>
  </si>
  <si>
    <t>Actual Quantity</t>
  </si>
  <si>
    <t>Consignee Name</t>
  </si>
  <si>
    <t>PULLS</t>
  </si>
  <si>
    <t>PICKS</t>
  </si>
  <si>
    <t>QTY:</t>
  </si>
  <si>
    <t xml:space="preserve">TYPE </t>
  </si>
  <si>
    <t>CUSTOMER</t>
  </si>
  <si>
    <t>LOAD#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</si>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</sst>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F800]dddd\,\ mmmm\ dd\,\ yyyy"/>
    <numFmt numFmtId="165" formatCode="0.00000"/>
    <numFmt numFmtId="166" formatCode="_(* #,##0_);_(* \(#,##0\);_(* &quot;-&quot;??_);_(@_)"/>
    <numFmt numFmtId="167" formatCode="h:mm;@"/>
    <numFmt numFmtId="168" formatCode="m/d;@"/>
  </numFmts>
  <fonts count="22" x14ac:knownFonts="1">
    <font>
      <sz val="10"/>
      <name val="Arial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4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Arial"/>
      <family val="2"/>
    </font>
    <font>
      <b/>
      <sz val="16"/>
      <color indexed="8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4" fillId="0" borderId="0" applyFont="0" applyFill="0" applyBorder="0" applyAlignment="0" applyProtection="0"/>
    <xf numFmtId="0" fontId="20" fillId="0" borderId="0"/>
    <xf numFmtId="0" fontId="14" fillId="0" borderId="0" applyNumberFormat="0" applyFont="0" applyFill="0" applyBorder="0" applyAlignment="0" applyProtection="0"/>
  </cellStyleXfs>
  <cellXfs count="8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 applyProtection="1">
      <protection locked="0"/>
    </xf>
    <xf numFmtId="0" fontId="2" fillId="2" borderId="3" xfId="0" applyFont="1" applyFill="1" applyBorder="1" applyAlignment="1">
      <alignment horizontal="right" vertical="center"/>
    </xf>
    <xf numFmtId="16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165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1" fontId="6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6" fillId="3" borderId="0" xfId="0" applyFont="1" applyFill="1" applyProtection="1">
      <protection locked="0"/>
    </xf>
    <xf numFmtId="0" fontId="6" fillId="3" borderId="0" xfId="0" applyFont="1" applyFill="1" applyAlignment="1" applyProtection="1">
      <alignment wrapText="1"/>
      <protection locked="0"/>
    </xf>
    <xf numFmtId="1" fontId="6" fillId="3" borderId="0" xfId="0" applyNumberFormat="1" applyFont="1" applyFill="1" applyProtection="1">
      <protection locked="0"/>
    </xf>
    <xf numFmtId="0" fontId="7" fillId="3" borderId="0" xfId="0" applyFont="1" applyFill="1" applyProtection="1"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1" fontId="9" fillId="0" borderId="7" xfId="0" applyNumberFormat="1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6" fillId="4" borderId="13" xfId="0" applyFont="1" applyFill="1" applyBorder="1" applyAlignment="1">
      <alignment horizontal="center" vertical="center"/>
    </xf>
    <xf numFmtId="0" fontId="8" fillId="5" borderId="7" xfId="0" applyFont="1" applyFill="1" applyBorder="1" applyAlignment="1" applyProtection="1">
      <alignment horizontal="center" vertical="center"/>
      <protection locked="0"/>
    </xf>
    <xf numFmtId="0" fontId="10" fillId="5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 applyProtection="1">
      <alignment horizontal="center" vertical="center" wrapText="1"/>
      <protection locked="0"/>
    </xf>
    <xf numFmtId="0" fontId="11" fillId="3" borderId="0" xfId="0" applyFont="1" applyFill="1" applyProtection="1">
      <protection locked="0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/>
    </xf>
    <xf numFmtId="1" fontId="12" fillId="4" borderId="5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167" fontId="12" fillId="0" borderId="4" xfId="0" applyNumberFormat="1" applyFont="1" applyBorder="1" applyAlignment="1">
      <alignment vertical="center"/>
    </xf>
    <xf numFmtId="166" fontId="15" fillId="0" borderId="4" xfId="1" applyNumberFormat="1" applyFont="1" applyFill="1" applyBorder="1" applyAlignment="1" applyProtection="1">
      <alignment horizontal="center" vertical="center"/>
    </xf>
    <xf numFmtId="166" fontId="12" fillId="0" borderId="4" xfId="1" applyNumberFormat="1" applyFont="1" applyFill="1" applyBorder="1" applyAlignment="1" applyProtection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right" vertical="center"/>
    </xf>
    <xf numFmtId="0" fontId="18" fillId="0" borderId="4" xfId="0" applyFont="1" applyBorder="1" applyAlignment="1">
      <alignment vertical="center"/>
    </xf>
    <xf numFmtId="0" fontId="0" fillId="0" borderId="0" xfId="0" applyAlignment="1">
      <alignment horizontal="left" wrapText="1"/>
    </xf>
    <xf numFmtId="168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0" fillId="0" borderId="0" xfId="0" applyAlignment="1">
      <alignment wrapText="1"/>
    </xf>
    <xf numFmtId="168" fontId="0" fillId="0" borderId="0" xfId="0" applyNumberFormat="1"/>
    <xf numFmtId="167" fontId="0" fillId="0" borderId="0" xfId="0" applyNumberFormat="1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20" fillId="0" borderId="0" xfId="2" applyAlignment="1">
      <alignment horizontal="center" vertical="center"/>
    </xf>
    <xf numFmtId="0" fontId="19" fillId="0" borderId="15" xfId="3" applyNumberFormat="1" applyFont="1" applyFill="1" applyBorder="1" applyAlignment="1">
      <alignment horizontal="center" vertical="center"/>
    </xf>
    <xf numFmtId="0" fontId="0" fillId="0" borderId="0" xfId="3" applyNumberFormat="1" applyFont="1" applyFill="1" applyBorder="1" applyAlignment="1"/>
    <xf numFmtId="0" fontId="21" fillId="0" borderId="18" xfId="3" applyNumberFormat="1" applyFont="1" applyFill="1" applyBorder="1" applyAlignment="1">
      <alignment horizontal="center" vertical="center"/>
    </xf>
    <xf numFmtId="0" fontId="21" fillId="0" borderId="7" xfId="3" applyNumberFormat="1" applyFont="1" applyFill="1" applyBorder="1" applyAlignment="1">
      <alignment horizontal="center" vertical="center"/>
    </xf>
    <xf numFmtId="0" fontId="21" fillId="0" borderId="19" xfId="3" applyNumberFormat="1" applyFont="1" applyFill="1" applyBorder="1" applyAlignment="1">
      <alignment horizontal="center" vertical="center"/>
    </xf>
    <xf numFmtId="0" fontId="0" fillId="0" borderId="0" xfId="3" applyNumberFormat="1" applyFont="1" applyFill="1" applyBorder="1" applyAlignment="1">
      <alignment horizontal="center" vertical="center"/>
    </xf>
    <xf numFmtId="1" fontId="12" fillId="4" borderId="15" xfId="0" applyNumberFormat="1" applyFont="1" applyFill="1" applyBorder="1" applyAlignment="1">
      <alignment horizontal="center" vertical="center"/>
    </xf>
    <xf numFmtId="1" fontId="9" fillId="0" borderId="14" xfId="0" applyNumberFormat="1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right" vertical="center"/>
    </xf>
    <xf numFmtId="0" fontId="6" fillId="5" borderId="7" xfId="0" applyFont="1" applyFill="1" applyBorder="1" applyProtection="1">
      <protection locked="0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4">
    <cellStyle name="Comma 3 2" xfId="1" xr:uid="{06BCB63F-FBB8-43E4-AB91-1BC31BA8BC8D}"/>
    <cellStyle name="Normal" xfId="0" builtinId="0"/>
    <cellStyle name="Normal 5" xfId="3" xr:uid="{5D954D47-0D34-4C19-A159-4FC9A4C90524}"/>
    <cellStyle name="Normal 6" xfId="2" xr:uid="{501FA2E1-7BE5-40A4-8485-2BBF2194412B}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7" formatCode="h:mm;@"/>
    </dxf>
    <dxf>
      <numFmt numFmtId="168" formatCode="m/d;@"/>
    </dxf>
    <dxf>
      <numFmt numFmtId="167" formatCode="h:mm;@"/>
    </dxf>
    <dxf>
      <numFmt numFmtId="168" formatCode="m/d;@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D789D-E0FE-4BC2-84E5-93E5C9474AF0}" name="Table23" displayName="Table23" ref="A1:G125" totalsRowShown="0" headerRowDxfId="74">
  <autoFilter ref="A1:G125" xr:uid="{77245F7A-6DB1-4578-A683-DC4252468C36}"/>
  <tableColumns count="7">
    <tableColumn id="1" xr3:uid="{2D74E38C-BBE0-4BED-AAB3-63E827320153}" name="Load Reference"/>
    <tableColumn id="2" xr3:uid="{A09E7E08-D203-458C-9D4D-3752FD89C17F}" name="Arrival Date" dataDxfId="73"/>
    <tableColumn id="3" xr3:uid="{BF8A65EC-FA2F-4950-B983-598FEAF680FC}" name="Arrival Time" dataDxfId="72"/>
    <tableColumn id="4" xr3:uid="{C412FC48-397A-47F8-8E6F-CD97848574CD}" name="Departure Date" dataDxfId="71"/>
    <tableColumn id="5" xr3:uid="{78FFC3D4-40CB-450E-BA1C-97090EF7E926}" name="Departure Time" dataDxfId="70"/>
    <tableColumn id="6" xr3:uid="{A6CDE0A2-CAC7-47D2-87BE-37E9FE7D6915}" name="Status"/>
    <tableColumn id="7" xr3:uid="{788CEC96-7AE8-4EE4-8AE5-C8DF65D0D574}" name="Carr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DA65AB-53AD-440B-A873-5CB899906D9A}" name="Table1" displayName="Table1" ref="A1:D503" totalsRowShown="0" headerRowDxfId="69" dataDxfId="68">
  <tableColumns count="4">
    <tableColumn id="1" xr3:uid="{D31BA809-58D0-472E-849F-CFA94647973D}" name="Load #" dataDxfId="67"/>
    <tableColumn id="2" xr3:uid="{EE1C08D9-9694-48E2-AFFB-9B335C035D8D}" name="Actual Weight" dataDxfId="66"/>
    <tableColumn id="3" xr3:uid="{FEB0900A-A20A-4EB8-9519-DABD029B32BD}" name="Actual Quantity" dataDxfId="65"/>
    <tableColumn id="4" xr3:uid="{85B361E0-1993-4920-BBBA-DB5E3D8F514C}" name="Consignee Name" dataDxfId="6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887A-424F-4714-817F-B51EE3F76680}">
  <sheetPr>
    <pageSetUpPr autoPageBreaks="0"/>
  </sheetPr>
  <dimension ref="A1:L3938"/>
  <sheetViews>
    <sheetView zoomScale="85" zoomScaleNormal="85" zoomScaleSheetLayoutView="100" workbookViewId="0">
      <pane ySplit="3" topLeftCell="A4" activePane="bottomLeft" state="frozen"/>
      <selection pane="bottomLeft" activeCell="D6" sqref="D6"/>
    </sheetView>
  </sheetViews>
  <sheetFormatPr defaultRowHeight="12.75" x14ac:dyDescent="0.2"/>
  <cols>
    <col min="1" max="1" width="12.85546875" style="26" customWidth="1"/>
    <col min="2" max="2" width="34.85546875" style="26" customWidth="1"/>
    <col min="3" max="3" width="19.140625" style="26" customWidth="1"/>
    <col min="4" max="5" width="12.140625" style="26" customWidth="1"/>
    <col min="6" max="6" width="17.85546875" style="26" customWidth="1"/>
    <col min="7" max="7" width="39.28515625" style="26" customWidth="1"/>
    <col min="8" max="8" width="9.28515625" style="26" customWidth="1"/>
    <col min="9" max="9" width="10.7109375" style="26" customWidth="1"/>
    <col min="10" max="10" width="12.140625" style="26" customWidth="1"/>
    <col min="11" max="11" width="15.28515625" style="26" customWidth="1"/>
    <col min="12" max="256" width="9.140625" style="26"/>
    <col min="257" max="257" width="12.85546875" style="26" customWidth="1"/>
    <col min="258" max="258" width="34.85546875" style="26" customWidth="1"/>
    <col min="259" max="259" width="19.140625" style="26" customWidth="1"/>
    <col min="260" max="261" width="12.140625" style="26" customWidth="1"/>
    <col min="262" max="262" width="17.85546875" style="26" customWidth="1"/>
    <col min="263" max="263" width="39.28515625" style="26" customWidth="1"/>
    <col min="264" max="264" width="9.28515625" style="26" customWidth="1"/>
    <col min="265" max="265" width="10.7109375" style="26" customWidth="1"/>
    <col min="266" max="266" width="12.140625" style="26" customWidth="1"/>
    <col min="267" max="267" width="15.28515625" style="26" customWidth="1"/>
    <col min="268" max="512" width="9.140625" style="26"/>
    <col min="513" max="513" width="12.85546875" style="26" customWidth="1"/>
    <col min="514" max="514" width="34.85546875" style="26" customWidth="1"/>
    <col min="515" max="515" width="19.140625" style="26" customWidth="1"/>
    <col min="516" max="517" width="12.140625" style="26" customWidth="1"/>
    <col min="518" max="518" width="17.85546875" style="26" customWidth="1"/>
    <col min="519" max="519" width="39.28515625" style="26" customWidth="1"/>
    <col min="520" max="520" width="9.28515625" style="26" customWidth="1"/>
    <col min="521" max="521" width="10.7109375" style="26" customWidth="1"/>
    <col min="522" max="522" width="12.140625" style="26" customWidth="1"/>
    <col min="523" max="523" width="15.28515625" style="26" customWidth="1"/>
    <col min="524" max="768" width="9.140625" style="26"/>
    <col min="769" max="769" width="12.85546875" style="26" customWidth="1"/>
    <col min="770" max="770" width="34.85546875" style="26" customWidth="1"/>
    <col min="771" max="771" width="19.140625" style="26" customWidth="1"/>
    <col min="772" max="773" width="12.140625" style="26" customWidth="1"/>
    <col min="774" max="774" width="17.85546875" style="26" customWidth="1"/>
    <col min="775" max="775" width="39.28515625" style="26" customWidth="1"/>
    <col min="776" max="776" width="9.28515625" style="26" customWidth="1"/>
    <col min="777" max="777" width="10.7109375" style="26" customWidth="1"/>
    <col min="778" max="778" width="12.140625" style="26" customWidth="1"/>
    <col min="779" max="779" width="15.28515625" style="26" customWidth="1"/>
    <col min="780" max="1024" width="9.140625" style="26"/>
    <col min="1025" max="1025" width="12.85546875" style="26" customWidth="1"/>
    <col min="1026" max="1026" width="34.85546875" style="26" customWidth="1"/>
    <col min="1027" max="1027" width="19.140625" style="26" customWidth="1"/>
    <col min="1028" max="1029" width="12.140625" style="26" customWidth="1"/>
    <col min="1030" max="1030" width="17.85546875" style="26" customWidth="1"/>
    <col min="1031" max="1031" width="39.28515625" style="26" customWidth="1"/>
    <col min="1032" max="1032" width="9.28515625" style="26" customWidth="1"/>
    <col min="1033" max="1033" width="10.7109375" style="26" customWidth="1"/>
    <col min="1034" max="1034" width="12.140625" style="26" customWidth="1"/>
    <col min="1035" max="1035" width="15.28515625" style="26" customWidth="1"/>
    <col min="1036" max="1280" width="9.140625" style="26"/>
    <col min="1281" max="1281" width="12.85546875" style="26" customWidth="1"/>
    <col min="1282" max="1282" width="34.85546875" style="26" customWidth="1"/>
    <col min="1283" max="1283" width="19.140625" style="26" customWidth="1"/>
    <col min="1284" max="1285" width="12.140625" style="26" customWidth="1"/>
    <col min="1286" max="1286" width="17.85546875" style="26" customWidth="1"/>
    <col min="1287" max="1287" width="39.28515625" style="26" customWidth="1"/>
    <col min="1288" max="1288" width="9.28515625" style="26" customWidth="1"/>
    <col min="1289" max="1289" width="10.7109375" style="26" customWidth="1"/>
    <col min="1290" max="1290" width="12.140625" style="26" customWidth="1"/>
    <col min="1291" max="1291" width="15.28515625" style="26" customWidth="1"/>
    <col min="1292" max="1536" width="9.140625" style="26"/>
    <col min="1537" max="1537" width="12.85546875" style="26" customWidth="1"/>
    <col min="1538" max="1538" width="34.85546875" style="26" customWidth="1"/>
    <col min="1539" max="1539" width="19.140625" style="26" customWidth="1"/>
    <col min="1540" max="1541" width="12.140625" style="26" customWidth="1"/>
    <col min="1542" max="1542" width="17.85546875" style="26" customWidth="1"/>
    <col min="1543" max="1543" width="39.28515625" style="26" customWidth="1"/>
    <col min="1544" max="1544" width="9.28515625" style="26" customWidth="1"/>
    <col min="1545" max="1545" width="10.7109375" style="26" customWidth="1"/>
    <col min="1546" max="1546" width="12.140625" style="26" customWidth="1"/>
    <col min="1547" max="1547" width="15.28515625" style="26" customWidth="1"/>
    <col min="1548" max="1792" width="9.140625" style="26"/>
    <col min="1793" max="1793" width="12.85546875" style="26" customWidth="1"/>
    <col min="1794" max="1794" width="34.85546875" style="26" customWidth="1"/>
    <col min="1795" max="1795" width="19.140625" style="26" customWidth="1"/>
    <col min="1796" max="1797" width="12.140625" style="26" customWidth="1"/>
    <col min="1798" max="1798" width="17.85546875" style="26" customWidth="1"/>
    <col min="1799" max="1799" width="39.28515625" style="26" customWidth="1"/>
    <col min="1800" max="1800" width="9.28515625" style="26" customWidth="1"/>
    <col min="1801" max="1801" width="10.7109375" style="26" customWidth="1"/>
    <col min="1802" max="1802" width="12.140625" style="26" customWidth="1"/>
    <col min="1803" max="1803" width="15.28515625" style="26" customWidth="1"/>
    <col min="1804" max="2048" width="9.140625" style="26"/>
    <col min="2049" max="2049" width="12.85546875" style="26" customWidth="1"/>
    <col min="2050" max="2050" width="34.85546875" style="26" customWidth="1"/>
    <col min="2051" max="2051" width="19.140625" style="26" customWidth="1"/>
    <col min="2052" max="2053" width="12.140625" style="26" customWidth="1"/>
    <col min="2054" max="2054" width="17.85546875" style="26" customWidth="1"/>
    <col min="2055" max="2055" width="39.28515625" style="26" customWidth="1"/>
    <col min="2056" max="2056" width="9.28515625" style="26" customWidth="1"/>
    <col min="2057" max="2057" width="10.7109375" style="26" customWidth="1"/>
    <col min="2058" max="2058" width="12.140625" style="26" customWidth="1"/>
    <col min="2059" max="2059" width="15.28515625" style="26" customWidth="1"/>
    <col min="2060" max="2304" width="9.140625" style="26"/>
    <col min="2305" max="2305" width="12.85546875" style="26" customWidth="1"/>
    <col min="2306" max="2306" width="34.85546875" style="26" customWidth="1"/>
    <col min="2307" max="2307" width="19.140625" style="26" customWidth="1"/>
    <col min="2308" max="2309" width="12.140625" style="26" customWidth="1"/>
    <col min="2310" max="2310" width="17.85546875" style="26" customWidth="1"/>
    <col min="2311" max="2311" width="39.28515625" style="26" customWidth="1"/>
    <col min="2312" max="2312" width="9.28515625" style="26" customWidth="1"/>
    <col min="2313" max="2313" width="10.7109375" style="26" customWidth="1"/>
    <col min="2314" max="2314" width="12.140625" style="26" customWidth="1"/>
    <col min="2315" max="2315" width="15.28515625" style="26" customWidth="1"/>
    <col min="2316" max="2560" width="9.140625" style="26"/>
    <col min="2561" max="2561" width="12.85546875" style="26" customWidth="1"/>
    <col min="2562" max="2562" width="34.85546875" style="26" customWidth="1"/>
    <col min="2563" max="2563" width="19.140625" style="26" customWidth="1"/>
    <col min="2564" max="2565" width="12.140625" style="26" customWidth="1"/>
    <col min="2566" max="2566" width="17.85546875" style="26" customWidth="1"/>
    <col min="2567" max="2567" width="39.28515625" style="26" customWidth="1"/>
    <col min="2568" max="2568" width="9.28515625" style="26" customWidth="1"/>
    <col min="2569" max="2569" width="10.7109375" style="26" customWidth="1"/>
    <col min="2570" max="2570" width="12.140625" style="26" customWidth="1"/>
    <col min="2571" max="2571" width="15.28515625" style="26" customWidth="1"/>
    <col min="2572" max="2816" width="9.140625" style="26"/>
    <col min="2817" max="2817" width="12.85546875" style="26" customWidth="1"/>
    <col min="2818" max="2818" width="34.85546875" style="26" customWidth="1"/>
    <col min="2819" max="2819" width="19.140625" style="26" customWidth="1"/>
    <col min="2820" max="2821" width="12.140625" style="26" customWidth="1"/>
    <col min="2822" max="2822" width="17.85546875" style="26" customWidth="1"/>
    <col min="2823" max="2823" width="39.28515625" style="26" customWidth="1"/>
    <col min="2824" max="2824" width="9.28515625" style="26" customWidth="1"/>
    <col min="2825" max="2825" width="10.7109375" style="26" customWidth="1"/>
    <col min="2826" max="2826" width="12.140625" style="26" customWidth="1"/>
    <col min="2827" max="2827" width="15.28515625" style="26" customWidth="1"/>
    <col min="2828" max="3072" width="9.140625" style="26"/>
    <col min="3073" max="3073" width="12.85546875" style="26" customWidth="1"/>
    <col min="3074" max="3074" width="34.85546875" style="26" customWidth="1"/>
    <col min="3075" max="3075" width="19.140625" style="26" customWidth="1"/>
    <col min="3076" max="3077" width="12.140625" style="26" customWidth="1"/>
    <col min="3078" max="3078" width="17.85546875" style="26" customWidth="1"/>
    <col min="3079" max="3079" width="39.28515625" style="26" customWidth="1"/>
    <col min="3080" max="3080" width="9.28515625" style="26" customWidth="1"/>
    <col min="3081" max="3081" width="10.7109375" style="26" customWidth="1"/>
    <col min="3082" max="3082" width="12.140625" style="26" customWidth="1"/>
    <col min="3083" max="3083" width="15.28515625" style="26" customWidth="1"/>
    <col min="3084" max="3328" width="9.140625" style="26"/>
    <col min="3329" max="3329" width="12.85546875" style="26" customWidth="1"/>
    <col min="3330" max="3330" width="34.85546875" style="26" customWidth="1"/>
    <col min="3331" max="3331" width="19.140625" style="26" customWidth="1"/>
    <col min="3332" max="3333" width="12.140625" style="26" customWidth="1"/>
    <col min="3334" max="3334" width="17.85546875" style="26" customWidth="1"/>
    <col min="3335" max="3335" width="39.28515625" style="26" customWidth="1"/>
    <col min="3336" max="3336" width="9.28515625" style="26" customWidth="1"/>
    <col min="3337" max="3337" width="10.7109375" style="26" customWidth="1"/>
    <col min="3338" max="3338" width="12.140625" style="26" customWidth="1"/>
    <col min="3339" max="3339" width="15.28515625" style="26" customWidth="1"/>
    <col min="3340" max="3584" width="9.140625" style="26"/>
    <col min="3585" max="3585" width="12.85546875" style="26" customWidth="1"/>
    <col min="3586" max="3586" width="34.85546875" style="26" customWidth="1"/>
    <col min="3587" max="3587" width="19.140625" style="26" customWidth="1"/>
    <col min="3588" max="3589" width="12.140625" style="26" customWidth="1"/>
    <col min="3590" max="3590" width="17.85546875" style="26" customWidth="1"/>
    <col min="3591" max="3591" width="39.28515625" style="26" customWidth="1"/>
    <col min="3592" max="3592" width="9.28515625" style="26" customWidth="1"/>
    <col min="3593" max="3593" width="10.7109375" style="26" customWidth="1"/>
    <col min="3594" max="3594" width="12.140625" style="26" customWidth="1"/>
    <col min="3595" max="3595" width="15.28515625" style="26" customWidth="1"/>
    <col min="3596" max="3840" width="9.140625" style="26"/>
    <col min="3841" max="3841" width="12.85546875" style="26" customWidth="1"/>
    <col min="3842" max="3842" width="34.85546875" style="26" customWidth="1"/>
    <col min="3843" max="3843" width="19.140625" style="26" customWidth="1"/>
    <col min="3844" max="3845" width="12.140625" style="26" customWidth="1"/>
    <col min="3846" max="3846" width="17.85546875" style="26" customWidth="1"/>
    <col min="3847" max="3847" width="39.28515625" style="26" customWidth="1"/>
    <col min="3848" max="3848" width="9.28515625" style="26" customWidth="1"/>
    <col min="3849" max="3849" width="10.7109375" style="26" customWidth="1"/>
    <col min="3850" max="3850" width="12.140625" style="26" customWidth="1"/>
    <col min="3851" max="3851" width="15.28515625" style="26" customWidth="1"/>
    <col min="3852" max="4096" width="9.140625" style="26"/>
    <col min="4097" max="4097" width="12.85546875" style="26" customWidth="1"/>
    <col min="4098" max="4098" width="34.85546875" style="26" customWidth="1"/>
    <col min="4099" max="4099" width="19.140625" style="26" customWidth="1"/>
    <col min="4100" max="4101" width="12.140625" style="26" customWidth="1"/>
    <col min="4102" max="4102" width="17.85546875" style="26" customWidth="1"/>
    <col min="4103" max="4103" width="39.28515625" style="26" customWidth="1"/>
    <col min="4104" max="4104" width="9.28515625" style="26" customWidth="1"/>
    <col min="4105" max="4105" width="10.7109375" style="26" customWidth="1"/>
    <col min="4106" max="4106" width="12.140625" style="26" customWidth="1"/>
    <col min="4107" max="4107" width="15.28515625" style="26" customWidth="1"/>
    <col min="4108" max="4352" width="9.140625" style="26"/>
    <col min="4353" max="4353" width="12.85546875" style="26" customWidth="1"/>
    <col min="4354" max="4354" width="34.85546875" style="26" customWidth="1"/>
    <col min="4355" max="4355" width="19.140625" style="26" customWidth="1"/>
    <col min="4356" max="4357" width="12.140625" style="26" customWidth="1"/>
    <col min="4358" max="4358" width="17.85546875" style="26" customWidth="1"/>
    <col min="4359" max="4359" width="39.28515625" style="26" customWidth="1"/>
    <col min="4360" max="4360" width="9.28515625" style="26" customWidth="1"/>
    <col min="4361" max="4361" width="10.7109375" style="26" customWidth="1"/>
    <col min="4362" max="4362" width="12.140625" style="26" customWidth="1"/>
    <col min="4363" max="4363" width="15.28515625" style="26" customWidth="1"/>
    <col min="4364" max="4608" width="9.140625" style="26"/>
    <col min="4609" max="4609" width="12.85546875" style="26" customWidth="1"/>
    <col min="4610" max="4610" width="34.85546875" style="26" customWidth="1"/>
    <col min="4611" max="4611" width="19.140625" style="26" customWidth="1"/>
    <col min="4612" max="4613" width="12.140625" style="26" customWidth="1"/>
    <col min="4614" max="4614" width="17.85546875" style="26" customWidth="1"/>
    <col min="4615" max="4615" width="39.28515625" style="26" customWidth="1"/>
    <col min="4616" max="4616" width="9.28515625" style="26" customWidth="1"/>
    <col min="4617" max="4617" width="10.7109375" style="26" customWidth="1"/>
    <col min="4618" max="4618" width="12.140625" style="26" customWidth="1"/>
    <col min="4619" max="4619" width="15.28515625" style="26" customWidth="1"/>
    <col min="4620" max="4864" width="9.140625" style="26"/>
    <col min="4865" max="4865" width="12.85546875" style="26" customWidth="1"/>
    <col min="4866" max="4866" width="34.85546875" style="26" customWidth="1"/>
    <col min="4867" max="4867" width="19.140625" style="26" customWidth="1"/>
    <col min="4868" max="4869" width="12.140625" style="26" customWidth="1"/>
    <col min="4870" max="4870" width="17.85546875" style="26" customWidth="1"/>
    <col min="4871" max="4871" width="39.28515625" style="26" customWidth="1"/>
    <col min="4872" max="4872" width="9.28515625" style="26" customWidth="1"/>
    <col min="4873" max="4873" width="10.7109375" style="26" customWidth="1"/>
    <col min="4874" max="4874" width="12.140625" style="26" customWidth="1"/>
    <col min="4875" max="4875" width="15.28515625" style="26" customWidth="1"/>
    <col min="4876" max="5120" width="9.140625" style="26"/>
    <col min="5121" max="5121" width="12.85546875" style="26" customWidth="1"/>
    <col min="5122" max="5122" width="34.85546875" style="26" customWidth="1"/>
    <col min="5123" max="5123" width="19.140625" style="26" customWidth="1"/>
    <col min="5124" max="5125" width="12.140625" style="26" customWidth="1"/>
    <col min="5126" max="5126" width="17.85546875" style="26" customWidth="1"/>
    <col min="5127" max="5127" width="39.28515625" style="26" customWidth="1"/>
    <col min="5128" max="5128" width="9.28515625" style="26" customWidth="1"/>
    <col min="5129" max="5129" width="10.7109375" style="26" customWidth="1"/>
    <col min="5130" max="5130" width="12.140625" style="26" customWidth="1"/>
    <col min="5131" max="5131" width="15.28515625" style="26" customWidth="1"/>
    <col min="5132" max="5376" width="9.140625" style="26"/>
    <col min="5377" max="5377" width="12.85546875" style="26" customWidth="1"/>
    <col min="5378" max="5378" width="34.85546875" style="26" customWidth="1"/>
    <col min="5379" max="5379" width="19.140625" style="26" customWidth="1"/>
    <col min="5380" max="5381" width="12.140625" style="26" customWidth="1"/>
    <col min="5382" max="5382" width="17.85546875" style="26" customWidth="1"/>
    <col min="5383" max="5383" width="39.28515625" style="26" customWidth="1"/>
    <col min="5384" max="5384" width="9.28515625" style="26" customWidth="1"/>
    <col min="5385" max="5385" width="10.7109375" style="26" customWidth="1"/>
    <col min="5386" max="5386" width="12.140625" style="26" customWidth="1"/>
    <col min="5387" max="5387" width="15.28515625" style="26" customWidth="1"/>
    <col min="5388" max="5632" width="9.140625" style="26"/>
    <col min="5633" max="5633" width="12.85546875" style="26" customWidth="1"/>
    <col min="5634" max="5634" width="34.85546875" style="26" customWidth="1"/>
    <col min="5635" max="5635" width="19.140625" style="26" customWidth="1"/>
    <col min="5636" max="5637" width="12.140625" style="26" customWidth="1"/>
    <col min="5638" max="5638" width="17.85546875" style="26" customWidth="1"/>
    <col min="5639" max="5639" width="39.28515625" style="26" customWidth="1"/>
    <col min="5640" max="5640" width="9.28515625" style="26" customWidth="1"/>
    <col min="5641" max="5641" width="10.7109375" style="26" customWidth="1"/>
    <col min="5642" max="5642" width="12.140625" style="26" customWidth="1"/>
    <col min="5643" max="5643" width="15.28515625" style="26" customWidth="1"/>
    <col min="5644" max="5888" width="9.140625" style="26"/>
    <col min="5889" max="5889" width="12.85546875" style="26" customWidth="1"/>
    <col min="5890" max="5890" width="34.85546875" style="26" customWidth="1"/>
    <col min="5891" max="5891" width="19.140625" style="26" customWidth="1"/>
    <col min="5892" max="5893" width="12.140625" style="26" customWidth="1"/>
    <col min="5894" max="5894" width="17.85546875" style="26" customWidth="1"/>
    <col min="5895" max="5895" width="39.28515625" style="26" customWidth="1"/>
    <col min="5896" max="5896" width="9.28515625" style="26" customWidth="1"/>
    <col min="5897" max="5897" width="10.7109375" style="26" customWidth="1"/>
    <col min="5898" max="5898" width="12.140625" style="26" customWidth="1"/>
    <col min="5899" max="5899" width="15.28515625" style="26" customWidth="1"/>
    <col min="5900" max="6144" width="9.140625" style="26"/>
    <col min="6145" max="6145" width="12.85546875" style="26" customWidth="1"/>
    <col min="6146" max="6146" width="34.85546875" style="26" customWidth="1"/>
    <col min="6147" max="6147" width="19.140625" style="26" customWidth="1"/>
    <col min="6148" max="6149" width="12.140625" style="26" customWidth="1"/>
    <col min="6150" max="6150" width="17.85546875" style="26" customWidth="1"/>
    <col min="6151" max="6151" width="39.28515625" style="26" customWidth="1"/>
    <col min="6152" max="6152" width="9.28515625" style="26" customWidth="1"/>
    <col min="6153" max="6153" width="10.7109375" style="26" customWidth="1"/>
    <col min="6154" max="6154" width="12.140625" style="26" customWidth="1"/>
    <col min="6155" max="6155" width="15.28515625" style="26" customWidth="1"/>
    <col min="6156" max="6400" width="9.140625" style="26"/>
    <col min="6401" max="6401" width="12.85546875" style="26" customWidth="1"/>
    <col min="6402" max="6402" width="34.85546875" style="26" customWidth="1"/>
    <col min="6403" max="6403" width="19.140625" style="26" customWidth="1"/>
    <col min="6404" max="6405" width="12.140625" style="26" customWidth="1"/>
    <col min="6406" max="6406" width="17.85546875" style="26" customWidth="1"/>
    <col min="6407" max="6407" width="39.28515625" style="26" customWidth="1"/>
    <col min="6408" max="6408" width="9.28515625" style="26" customWidth="1"/>
    <col min="6409" max="6409" width="10.7109375" style="26" customWidth="1"/>
    <col min="6410" max="6410" width="12.140625" style="26" customWidth="1"/>
    <col min="6411" max="6411" width="15.28515625" style="26" customWidth="1"/>
    <col min="6412" max="6656" width="9.140625" style="26"/>
    <col min="6657" max="6657" width="12.85546875" style="26" customWidth="1"/>
    <col min="6658" max="6658" width="34.85546875" style="26" customWidth="1"/>
    <col min="6659" max="6659" width="19.140625" style="26" customWidth="1"/>
    <col min="6660" max="6661" width="12.140625" style="26" customWidth="1"/>
    <col min="6662" max="6662" width="17.85546875" style="26" customWidth="1"/>
    <col min="6663" max="6663" width="39.28515625" style="26" customWidth="1"/>
    <col min="6664" max="6664" width="9.28515625" style="26" customWidth="1"/>
    <col min="6665" max="6665" width="10.7109375" style="26" customWidth="1"/>
    <col min="6666" max="6666" width="12.140625" style="26" customWidth="1"/>
    <col min="6667" max="6667" width="15.28515625" style="26" customWidth="1"/>
    <col min="6668" max="6912" width="9.140625" style="26"/>
    <col min="6913" max="6913" width="12.85546875" style="26" customWidth="1"/>
    <col min="6914" max="6914" width="34.85546875" style="26" customWidth="1"/>
    <col min="6915" max="6915" width="19.140625" style="26" customWidth="1"/>
    <col min="6916" max="6917" width="12.140625" style="26" customWidth="1"/>
    <col min="6918" max="6918" width="17.85546875" style="26" customWidth="1"/>
    <col min="6919" max="6919" width="39.28515625" style="26" customWidth="1"/>
    <col min="6920" max="6920" width="9.28515625" style="26" customWidth="1"/>
    <col min="6921" max="6921" width="10.7109375" style="26" customWidth="1"/>
    <col min="6922" max="6922" width="12.140625" style="26" customWidth="1"/>
    <col min="6923" max="6923" width="15.28515625" style="26" customWidth="1"/>
    <col min="6924" max="7168" width="9.140625" style="26"/>
    <col min="7169" max="7169" width="12.85546875" style="26" customWidth="1"/>
    <col min="7170" max="7170" width="34.85546875" style="26" customWidth="1"/>
    <col min="7171" max="7171" width="19.140625" style="26" customWidth="1"/>
    <col min="7172" max="7173" width="12.140625" style="26" customWidth="1"/>
    <col min="7174" max="7174" width="17.85546875" style="26" customWidth="1"/>
    <col min="7175" max="7175" width="39.28515625" style="26" customWidth="1"/>
    <col min="7176" max="7176" width="9.28515625" style="26" customWidth="1"/>
    <col min="7177" max="7177" width="10.7109375" style="26" customWidth="1"/>
    <col min="7178" max="7178" width="12.140625" style="26" customWidth="1"/>
    <col min="7179" max="7179" width="15.28515625" style="26" customWidth="1"/>
    <col min="7180" max="7424" width="9.140625" style="26"/>
    <col min="7425" max="7425" width="12.85546875" style="26" customWidth="1"/>
    <col min="7426" max="7426" width="34.85546875" style="26" customWidth="1"/>
    <col min="7427" max="7427" width="19.140625" style="26" customWidth="1"/>
    <col min="7428" max="7429" width="12.140625" style="26" customWidth="1"/>
    <col min="7430" max="7430" width="17.85546875" style="26" customWidth="1"/>
    <col min="7431" max="7431" width="39.28515625" style="26" customWidth="1"/>
    <col min="7432" max="7432" width="9.28515625" style="26" customWidth="1"/>
    <col min="7433" max="7433" width="10.7109375" style="26" customWidth="1"/>
    <col min="7434" max="7434" width="12.140625" style="26" customWidth="1"/>
    <col min="7435" max="7435" width="15.28515625" style="26" customWidth="1"/>
    <col min="7436" max="7680" width="9.140625" style="26"/>
    <col min="7681" max="7681" width="12.85546875" style="26" customWidth="1"/>
    <col min="7682" max="7682" width="34.85546875" style="26" customWidth="1"/>
    <col min="7683" max="7683" width="19.140625" style="26" customWidth="1"/>
    <col min="7684" max="7685" width="12.140625" style="26" customWidth="1"/>
    <col min="7686" max="7686" width="17.85546875" style="26" customWidth="1"/>
    <col min="7687" max="7687" width="39.28515625" style="26" customWidth="1"/>
    <col min="7688" max="7688" width="9.28515625" style="26" customWidth="1"/>
    <col min="7689" max="7689" width="10.7109375" style="26" customWidth="1"/>
    <col min="7690" max="7690" width="12.140625" style="26" customWidth="1"/>
    <col min="7691" max="7691" width="15.28515625" style="26" customWidth="1"/>
    <col min="7692" max="7936" width="9.140625" style="26"/>
    <col min="7937" max="7937" width="12.85546875" style="26" customWidth="1"/>
    <col min="7938" max="7938" width="34.85546875" style="26" customWidth="1"/>
    <col min="7939" max="7939" width="19.140625" style="26" customWidth="1"/>
    <col min="7940" max="7941" width="12.140625" style="26" customWidth="1"/>
    <col min="7942" max="7942" width="17.85546875" style="26" customWidth="1"/>
    <col min="7943" max="7943" width="39.28515625" style="26" customWidth="1"/>
    <col min="7944" max="7944" width="9.28515625" style="26" customWidth="1"/>
    <col min="7945" max="7945" width="10.7109375" style="26" customWidth="1"/>
    <col min="7946" max="7946" width="12.140625" style="26" customWidth="1"/>
    <col min="7947" max="7947" width="15.28515625" style="26" customWidth="1"/>
    <col min="7948" max="8192" width="9.140625" style="26"/>
    <col min="8193" max="8193" width="12.85546875" style="26" customWidth="1"/>
    <col min="8194" max="8194" width="34.85546875" style="26" customWidth="1"/>
    <col min="8195" max="8195" width="19.140625" style="26" customWidth="1"/>
    <col min="8196" max="8197" width="12.140625" style="26" customWidth="1"/>
    <col min="8198" max="8198" width="17.85546875" style="26" customWidth="1"/>
    <col min="8199" max="8199" width="39.28515625" style="26" customWidth="1"/>
    <col min="8200" max="8200" width="9.28515625" style="26" customWidth="1"/>
    <col min="8201" max="8201" width="10.7109375" style="26" customWidth="1"/>
    <col min="8202" max="8202" width="12.140625" style="26" customWidth="1"/>
    <col min="8203" max="8203" width="15.28515625" style="26" customWidth="1"/>
    <col min="8204" max="8448" width="9.140625" style="26"/>
    <col min="8449" max="8449" width="12.85546875" style="26" customWidth="1"/>
    <col min="8450" max="8450" width="34.85546875" style="26" customWidth="1"/>
    <col min="8451" max="8451" width="19.140625" style="26" customWidth="1"/>
    <col min="8452" max="8453" width="12.140625" style="26" customWidth="1"/>
    <col min="8454" max="8454" width="17.85546875" style="26" customWidth="1"/>
    <col min="8455" max="8455" width="39.28515625" style="26" customWidth="1"/>
    <col min="8456" max="8456" width="9.28515625" style="26" customWidth="1"/>
    <col min="8457" max="8457" width="10.7109375" style="26" customWidth="1"/>
    <col min="8458" max="8458" width="12.140625" style="26" customWidth="1"/>
    <col min="8459" max="8459" width="15.28515625" style="26" customWidth="1"/>
    <col min="8460" max="8704" width="9.140625" style="26"/>
    <col min="8705" max="8705" width="12.85546875" style="26" customWidth="1"/>
    <col min="8706" max="8706" width="34.85546875" style="26" customWidth="1"/>
    <col min="8707" max="8707" width="19.140625" style="26" customWidth="1"/>
    <col min="8708" max="8709" width="12.140625" style="26" customWidth="1"/>
    <col min="8710" max="8710" width="17.85546875" style="26" customWidth="1"/>
    <col min="8711" max="8711" width="39.28515625" style="26" customWidth="1"/>
    <col min="8712" max="8712" width="9.28515625" style="26" customWidth="1"/>
    <col min="8713" max="8713" width="10.7109375" style="26" customWidth="1"/>
    <col min="8714" max="8714" width="12.140625" style="26" customWidth="1"/>
    <col min="8715" max="8715" width="15.28515625" style="26" customWidth="1"/>
    <col min="8716" max="8960" width="9.140625" style="26"/>
    <col min="8961" max="8961" width="12.85546875" style="26" customWidth="1"/>
    <col min="8962" max="8962" width="34.85546875" style="26" customWidth="1"/>
    <col min="8963" max="8963" width="19.140625" style="26" customWidth="1"/>
    <col min="8964" max="8965" width="12.140625" style="26" customWidth="1"/>
    <col min="8966" max="8966" width="17.85546875" style="26" customWidth="1"/>
    <col min="8967" max="8967" width="39.28515625" style="26" customWidth="1"/>
    <col min="8968" max="8968" width="9.28515625" style="26" customWidth="1"/>
    <col min="8969" max="8969" width="10.7109375" style="26" customWidth="1"/>
    <col min="8970" max="8970" width="12.140625" style="26" customWidth="1"/>
    <col min="8971" max="8971" width="15.28515625" style="26" customWidth="1"/>
    <col min="8972" max="9216" width="9.140625" style="26"/>
    <col min="9217" max="9217" width="12.85546875" style="26" customWidth="1"/>
    <col min="9218" max="9218" width="34.85546875" style="26" customWidth="1"/>
    <col min="9219" max="9219" width="19.140625" style="26" customWidth="1"/>
    <col min="9220" max="9221" width="12.140625" style="26" customWidth="1"/>
    <col min="9222" max="9222" width="17.85546875" style="26" customWidth="1"/>
    <col min="9223" max="9223" width="39.28515625" style="26" customWidth="1"/>
    <col min="9224" max="9224" width="9.28515625" style="26" customWidth="1"/>
    <col min="9225" max="9225" width="10.7109375" style="26" customWidth="1"/>
    <col min="9226" max="9226" width="12.140625" style="26" customWidth="1"/>
    <col min="9227" max="9227" width="15.28515625" style="26" customWidth="1"/>
    <col min="9228" max="9472" width="9.140625" style="26"/>
    <col min="9473" max="9473" width="12.85546875" style="26" customWidth="1"/>
    <col min="9474" max="9474" width="34.85546875" style="26" customWidth="1"/>
    <col min="9475" max="9475" width="19.140625" style="26" customWidth="1"/>
    <col min="9476" max="9477" width="12.140625" style="26" customWidth="1"/>
    <col min="9478" max="9478" width="17.85546875" style="26" customWidth="1"/>
    <col min="9479" max="9479" width="39.28515625" style="26" customWidth="1"/>
    <col min="9480" max="9480" width="9.28515625" style="26" customWidth="1"/>
    <col min="9481" max="9481" width="10.7109375" style="26" customWidth="1"/>
    <col min="9482" max="9482" width="12.140625" style="26" customWidth="1"/>
    <col min="9483" max="9483" width="15.28515625" style="26" customWidth="1"/>
    <col min="9484" max="9728" width="9.140625" style="26"/>
    <col min="9729" max="9729" width="12.85546875" style="26" customWidth="1"/>
    <col min="9730" max="9730" width="34.85546875" style="26" customWidth="1"/>
    <col min="9731" max="9731" width="19.140625" style="26" customWidth="1"/>
    <col min="9732" max="9733" width="12.140625" style="26" customWidth="1"/>
    <col min="9734" max="9734" width="17.85546875" style="26" customWidth="1"/>
    <col min="9735" max="9735" width="39.28515625" style="26" customWidth="1"/>
    <col min="9736" max="9736" width="9.28515625" style="26" customWidth="1"/>
    <col min="9737" max="9737" width="10.7109375" style="26" customWidth="1"/>
    <col min="9738" max="9738" width="12.140625" style="26" customWidth="1"/>
    <col min="9739" max="9739" width="15.28515625" style="26" customWidth="1"/>
    <col min="9740" max="9984" width="9.140625" style="26"/>
    <col min="9985" max="9985" width="12.85546875" style="26" customWidth="1"/>
    <col min="9986" max="9986" width="34.85546875" style="26" customWidth="1"/>
    <col min="9987" max="9987" width="19.140625" style="26" customWidth="1"/>
    <col min="9988" max="9989" width="12.140625" style="26" customWidth="1"/>
    <col min="9990" max="9990" width="17.85546875" style="26" customWidth="1"/>
    <col min="9991" max="9991" width="39.28515625" style="26" customWidth="1"/>
    <col min="9992" max="9992" width="9.28515625" style="26" customWidth="1"/>
    <col min="9993" max="9993" width="10.7109375" style="26" customWidth="1"/>
    <col min="9994" max="9994" width="12.140625" style="26" customWidth="1"/>
    <col min="9995" max="9995" width="15.28515625" style="26" customWidth="1"/>
    <col min="9996" max="10240" width="9.140625" style="26"/>
    <col min="10241" max="10241" width="12.85546875" style="26" customWidth="1"/>
    <col min="10242" max="10242" width="34.85546875" style="26" customWidth="1"/>
    <col min="10243" max="10243" width="19.140625" style="26" customWidth="1"/>
    <col min="10244" max="10245" width="12.140625" style="26" customWidth="1"/>
    <col min="10246" max="10246" width="17.85546875" style="26" customWidth="1"/>
    <col min="10247" max="10247" width="39.28515625" style="26" customWidth="1"/>
    <col min="10248" max="10248" width="9.28515625" style="26" customWidth="1"/>
    <col min="10249" max="10249" width="10.7109375" style="26" customWidth="1"/>
    <col min="10250" max="10250" width="12.140625" style="26" customWidth="1"/>
    <col min="10251" max="10251" width="15.28515625" style="26" customWidth="1"/>
    <col min="10252" max="10496" width="9.140625" style="26"/>
    <col min="10497" max="10497" width="12.85546875" style="26" customWidth="1"/>
    <col min="10498" max="10498" width="34.85546875" style="26" customWidth="1"/>
    <col min="10499" max="10499" width="19.140625" style="26" customWidth="1"/>
    <col min="10500" max="10501" width="12.140625" style="26" customWidth="1"/>
    <col min="10502" max="10502" width="17.85546875" style="26" customWidth="1"/>
    <col min="10503" max="10503" width="39.28515625" style="26" customWidth="1"/>
    <col min="10504" max="10504" width="9.28515625" style="26" customWidth="1"/>
    <col min="10505" max="10505" width="10.7109375" style="26" customWidth="1"/>
    <col min="10506" max="10506" width="12.140625" style="26" customWidth="1"/>
    <col min="10507" max="10507" width="15.28515625" style="26" customWidth="1"/>
    <col min="10508" max="10752" width="9.140625" style="26"/>
    <col min="10753" max="10753" width="12.85546875" style="26" customWidth="1"/>
    <col min="10754" max="10754" width="34.85546875" style="26" customWidth="1"/>
    <col min="10755" max="10755" width="19.140625" style="26" customWidth="1"/>
    <col min="10756" max="10757" width="12.140625" style="26" customWidth="1"/>
    <col min="10758" max="10758" width="17.85546875" style="26" customWidth="1"/>
    <col min="10759" max="10759" width="39.28515625" style="26" customWidth="1"/>
    <col min="10760" max="10760" width="9.28515625" style="26" customWidth="1"/>
    <col min="10761" max="10761" width="10.7109375" style="26" customWidth="1"/>
    <col min="10762" max="10762" width="12.140625" style="26" customWidth="1"/>
    <col min="10763" max="10763" width="15.28515625" style="26" customWidth="1"/>
    <col min="10764" max="11008" width="9.140625" style="26"/>
    <col min="11009" max="11009" width="12.85546875" style="26" customWidth="1"/>
    <col min="11010" max="11010" width="34.85546875" style="26" customWidth="1"/>
    <col min="11011" max="11011" width="19.140625" style="26" customWidth="1"/>
    <col min="11012" max="11013" width="12.140625" style="26" customWidth="1"/>
    <col min="11014" max="11014" width="17.85546875" style="26" customWidth="1"/>
    <col min="11015" max="11015" width="39.28515625" style="26" customWidth="1"/>
    <col min="11016" max="11016" width="9.28515625" style="26" customWidth="1"/>
    <col min="11017" max="11017" width="10.7109375" style="26" customWidth="1"/>
    <col min="11018" max="11018" width="12.140625" style="26" customWidth="1"/>
    <col min="11019" max="11019" width="15.28515625" style="26" customWidth="1"/>
    <col min="11020" max="11264" width="9.140625" style="26"/>
    <col min="11265" max="11265" width="12.85546875" style="26" customWidth="1"/>
    <col min="11266" max="11266" width="34.85546875" style="26" customWidth="1"/>
    <col min="11267" max="11267" width="19.140625" style="26" customWidth="1"/>
    <col min="11268" max="11269" width="12.140625" style="26" customWidth="1"/>
    <col min="11270" max="11270" width="17.85546875" style="26" customWidth="1"/>
    <col min="11271" max="11271" width="39.28515625" style="26" customWidth="1"/>
    <col min="11272" max="11272" width="9.28515625" style="26" customWidth="1"/>
    <col min="11273" max="11273" width="10.7109375" style="26" customWidth="1"/>
    <col min="11274" max="11274" width="12.140625" style="26" customWidth="1"/>
    <col min="11275" max="11275" width="15.28515625" style="26" customWidth="1"/>
    <col min="11276" max="11520" width="9.140625" style="26"/>
    <col min="11521" max="11521" width="12.85546875" style="26" customWidth="1"/>
    <col min="11522" max="11522" width="34.85546875" style="26" customWidth="1"/>
    <col min="11523" max="11523" width="19.140625" style="26" customWidth="1"/>
    <col min="11524" max="11525" width="12.140625" style="26" customWidth="1"/>
    <col min="11526" max="11526" width="17.85546875" style="26" customWidth="1"/>
    <col min="11527" max="11527" width="39.28515625" style="26" customWidth="1"/>
    <col min="11528" max="11528" width="9.28515625" style="26" customWidth="1"/>
    <col min="11529" max="11529" width="10.7109375" style="26" customWidth="1"/>
    <col min="11530" max="11530" width="12.140625" style="26" customWidth="1"/>
    <col min="11531" max="11531" width="15.28515625" style="26" customWidth="1"/>
    <col min="11532" max="11776" width="9.140625" style="26"/>
    <col min="11777" max="11777" width="12.85546875" style="26" customWidth="1"/>
    <col min="11778" max="11778" width="34.85546875" style="26" customWidth="1"/>
    <col min="11779" max="11779" width="19.140625" style="26" customWidth="1"/>
    <col min="11780" max="11781" width="12.140625" style="26" customWidth="1"/>
    <col min="11782" max="11782" width="17.85546875" style="26" customWidth="1"/>
    <col min="11783" max="11783" width="39.28515625" style="26" customWidth="1"/>
    <col min="11784" max="11784" width="9.28515625" style="26" customWidth="1"/>
    <col min="11785" max="11785" width="10.7109375" style="26" customWidth="1"/>
    <col min="11786" max="11786" width="12.140625" style="26" customWidth="1"/>
    <col min="11787" max="11787" width="15.28515625" style="26" customWidth="1"/>
    <col min="11788" max="12032" width="9.140625" style="26"/>
    <col min="12033" max="12033" width="12.85546875" style="26" customWidth="1"/>
    <col min="12034" max="12034" width="34.85546875" style="26" customWidth="1"/>
    <col min="12035" max="12035" width="19.140625" style="26" customWidth="1"/>
    <col min="12036" max="12037" width="12.140625" style="26" customWidth="1"/>
    <col min="12038" max="12038" width="17.85546875" style="26" customWidth="1"/>
    <col min="12039" max="12039" width="39.28515625" style="26" customWidth="1"/>
    <col min="12040" max="12040" width="9.28515625" style="26" customWidth="1"/>
    <col min="12041" max="12041" width="10.7109375" style="26" customWidth="1"/>
    <col min="12042" max="12042" width="12.140625" style="26" customWidth="1"/>
    <col min="12043" max="12043" width="15.28515625" style="26" customWidth="1"/>
    <col min="12044" max="12288" width="9.140625" style="26"/>
    <col min="12289" max="12289" width="12.85546875" style="26" customWidth="1"/>
    <col min="12290" max="12290" width="34.85546875" style="26" customWidth="1"/>
    <col min="12291" max="12291" width="19.140625" style="26" customWidth="1"/>
    <col min="12292" max="12293" width="12.140625" style="26" customWidth="1"/>
    <col min="12294" max="12294" width="17.85546875" style="26" customWidth="1"/>
    <col min="12295" max="12295" width="39.28515625" style="26" customWidth="1"/>
    <col min="12296" max="12296" width="9.28515625" style="26" customWidth="1"/>
    <col min="12297" max="12297" width="10.7109375" style="26" customWidth="1"/>
    <col min="12298" max="12298" width="12.140625" style="26" customWidth="1"/>
    <col min="12299" max="12299" width="15.28515625" style="26" customWidth="1"/>
    <col min="12300" max="12544" width="9.140625" style="26"/>
    <col min="12545" max="12545" width="12.85546875" style="26" customWidth="1"/>
    <col min="12546" max="12546" width="34.85546875" style="26" customWidth="1"/>
    <col min="12547" max="12547" width="19.140625" style="26" customWidth="1"/>
    <col min="12548" max="12549" width="12.140625" style="26" customWidth="1"/>
    <col min="12550" max="12550" width="17.85546875" style="26" customWidth="1"/>
    <col min="12551" max="12551" width="39.28515625" style="26" customWidth="1"/>
    <col min="12552" max="12552" width="9.28515625" style="26" customWidth="1"/>
    <col min="12553" max="12553" width="10.7109375" style="26" customWidth="1"/>
    <col min="12554" max="12554" width="12.140625" style="26" customWidth="1"/>
    <col min="12555" max="12555" width="15.28515625" style="26" customWidth="1"/>
    <col min="12556" max="12800" width="9.140625" style="26"/>
    <col min="12801" max="12801" width="12.85546875" style="26" customWidth="1"/>
    <col min="12802" max="12802" width="34.85546875" style="26" customWidth="1"/>
    <col min="12803" max="12803" width="19.140625" style="26" customWidth="1"/>
    <col min="12804" max="12805" width="12.140625" style="26" customWidth="1"/>
    <col min="12806" max="12806" width="17.85546875" style="26" customWidth="1"/>
    <col min="12807" max="12807" width="39.28515625" style="26" customWidth="1"/>
    <col min="12808" max="12808" width="9.28515625" style="26" customWidth="1"/>
    <col min="12809" max="12809" width="10.7109375" style="26" customWidth="1"/>
    <col min="12810" max="12810" width="12.140625" style="26" customWidth="1"/>
    <col min="12811" max="12811" width="15.28515625" style="26" customWidth="1"/>
    <col min="12812" max="13056" width="9.140625" style="26"/>
    <col min="13057" max="13057" width="12.85546875" style="26" customWidth="1"/>
    <col min="13058" max="13058" width="34.85546875" style="26" customWidth="1"/>
    <col min="13059" max="13059" width="19.140625" style="26" customWidth="1"/>
    <col min="13060" max="13061" width="12.140625" style="26" customWidth="1"/>
    <col min="13062" max="13062" width="17.85546875" style="26" customWidth="1"/>
    <col min="13063" max="13063" width="39.28515625" style="26" customWidth="1"/>
    <col min="13064" max="13064" width="9.28515625" style="26" customWidth="1"/>
    <col min="13065" max="13065" width="10.7109375" style="26" customWidth="1"/>
    <col min="13066" max="13066" width="12.140625" style="26" customWidth="1"/>
    <col min="13067" max="13067" width="15.28515625" style="26" customWidth="1"/>
    <col min="13068" max="13312" width="9.140625" style="26"/>
    <col min="13313" max="13313" width="12.85546875" style="26" customWidth="1"/>
    <col min="13314" max="13314" width="34.85546875" style="26" customWidth="1"/>
    <col min="13315" max="13315" width="19.140625" style="26" customWidth="1"/>
    <col min="13316" max="13317" width="12.140625" style="26" customWidth="1"/>
    <col min="13318" max="13318" width="17.85546875" style="26" customWidth="1"/>
    <col min="13319" max="13319" width="39.28515625" style="26" customWidth="1"/>
    <col min="13320" max="13320" width="9.28515625" style="26" customWidth="1"/>
    <col min="13321" max="13321" width="10.7109375" style="26" customWidth="1"/>
    <col min="13322" max="13322" width="12.140625" style="26" customWidth="1"/>
    <col min="13323" max="13323" width="15.28515625" style="26" customWidth="1"/>
    <col min="13324" max="13568" width="9.140625" style="26"/>
    <col min="13569" max="13569" width="12.85546875" style="26" customWidth="1"/>
    <col min="13570" max="13570" width="34.85546875" style="26" customWidth="1"/>
    <col min="13571" max="13571" width="19.140625" style="26" customWidth="1"/>
    <col min="13572" max="13573" width="12.140625" style="26" customWidth="1"/>
    <col min="13574" max="13574" width="17.85546875" style="26" customWidth="1"/>
    <col min="13575" max="13575" width="39.28515625" style="26" customWidth="1"/>
    <col min="13576" max="13576" width="9.28515625" style="26" customWidth="1"/>
    <col min="13577" max="13577" width="10.7109375" style="26" customWidth="1"/>
    <col min="13578" max="13578" width="12.140625" style="26" customWidth="1"/>
    <col min="13579" max="13579" width="15.28515625" style="26" customWidth="1"/>
    <col min="13580" max="13824" width="9.140625" style="26"/>
    <col min="13825" max="13825" width="12.85546875" style="26" customWidth="1"/>
    <col min="13826" max="13826" width="34.85546875" style="26" customWidth="1"/>
    <col min="13827" max="13827" width="19.140625" style="26" customWidth="1"/>
    <col min="13828" max="13829" width="12.140625" style="26" customWidth="1"/>
    <col min="13830" max="13830" width="17.85546875" style="26" customWidth="1"/>
    <col min="13831" max="13831" width="39.28515625" style="26" customWidth="1"/>
    <col min="13832" max="13832" width="9.28515625" style="26" customWidth="1"/>
    <col min="13833" max="13833" width="10.7109375" style="26" customWidth="1"/>
    <col min="13834" max="13834" width="12.140625" style="26" customWidth="1"/>
    <col min="13835" max="13835" width="15.28515625" style="26" customWidth="1"/>
    <col min="13836" max="14080" width="9.140625" style="26"/>
    <col min="14081" max="14081" width="12.85546875" style="26" customWidth="1"/>
    <col min="14082" max="14082" width="34.85546875" style="26" customWidth="1"/>
    <col min="14083" max="14083" width="19.140625" style="26" customWidth="1"/>
    <col min="14084" max="14085" width="12.140625" style="26" customWidth="1"/>
    <col min="14086" max="14086" width="17.85546875" style="26" customWidth="1"/>
    <col min="14087" max="14087" width="39.28515625" style="26" customWidth="1"/>
    <col min="14088" max="14088" width="9.28515625" style="26" customWidth="1"/>
    <col min="14089" max="14089" width="10.7109375" style="26" customWidth="1"/>
    <col min="14090" max="14090" width="12.140625" style="26" customWidth="1"/>
    <col min="14091" max="14091" width="15.28515625" style="26" customWidth="1"/>
    <col min="14092" max="14336" width="9.140625" style="26"/>
    <col min="14337" max="14337" width="12.85546875" style="26" customWidth="1"/>
    <col min="14338" max="14338" width="34.85546875" style="26" customWidth="1"/>
    <col min="14339" max="14339" width="19.140625" style="26" customWidth="1"/>
    <col min="14340" max="14341" width="12.140625" style="26" customWidth="1"/>
    <col min="14342" max="14342" width="17.85546875" style="26" customWidth="1"/>
    <col min="14343" max="14343" width="39.28515625" style="26" customWidth="1"/>
    <col min="14344" max="14344" width="9.28515625" style="26" customWidth="1"/>
    <col min="14345" max="14345" width="10.7109375" style="26" customWidth="1"/>
    <col min="14346" max="14346" width="12.140625" style="26" customWidth="1"/>
    <col min="14347" max="14347" width="15.28515625" style="26" customWidth="1"/>
    <col min="14348" max="14592" width="9.140625" style="26"/>
    <col min="14593" max="14593" width="12.85546875" style="26" customWidth="1"/>
    <col min="14594" max="14594" width="34.85546875" style="26" customWidth="1"/>
    <col min="14595" max="14595" width="19.140625" style="26" customWidth="1"/>
    <col min="14596" max="14597" width="12.140625" style="26" customWidth="1"/>
    <col min="14598" max="14598" width="17.85546875" style="26" customWidth="1"/>
    <col min="14599" max="14599" width="39.28515625" style="26" customWidth="1"/>
    <col min="14600" max="14600" width="9.28515625" style="26" customWidth="1"/>
    <col min="14601" max="14601" width="10.7109375" style="26" customWidth="1"/>
    <col min="14602" max="14602" width="12.140625" style="26" customWidth="1"/>
    <col min="14603" max="14603" width="15.28515625" style="26" customWidth="1"/>
    <col min="14604" max="14848" width="9.140625" style="26"/>
    <col min="14849" max="14849" width="12.85546875" style="26" customWidth="1"/>
    <col min="14850" max="14850" width="34.85546875" style="26" customWidth="1"/>
    <col min="14851" max="14851" width="19.140625" style="26" customWidth="1"/>
    <col min="14852" max="14853" width="12.140625" style="26" customWidth="1"/>
    <col min="14854" max="14854" width="17.85546875" style="26" customWidth="1"/>
    <col min="14855" max="14855" width="39.28515625" style="26" customWidth="1"/>
    <col min="14856" max="14856" width="9.28515625" style="26" customWidth="1"/>
    <col min="14857" max="14857" width="10.7109375" style="26" customWidth="1"/>
    <col min="14858" max="14858" width="12.140625" style="26" customWidth="1"/>
    <col min="14859" max="14859" width="15.28515625" style="26" customWidth="1"/>
    <col min="14860" max="15104" width="9.140625" style="26"/>
    <col min="15105" max="15105" width="12.85546875" style="26" customWidth="1"/>
    <col min="15106" max="15106" width="34.85546875" style="26" customWidth="1"/>
    <col min="15107" max="15107" width="19.140625" style="26" customWidth="1"/>
    <col min="15108" max="15109" width="12.140625" style="26" customWidth="1"/>
    <col min="15110" max="15110" width="17.85546875" style="26" customWidth="1"/>
    <col min="15111" max="15111" width="39.28515625" style="26" customWidth="1"/>
    <col min="15112" max="15112" width="9.28515625" style="26" customWidth="1"/>
    <col min="15113" max="15113" width="10.7109375" style="26" customWidth="1"/>
    <col min="15114" max="15114" width="12.140625" style="26" customWidth="1"/>
    <col min="15115" max="15115" width="15.28515625" style="26" customWidth="1"/>
    <col min="15116" max="15360" width="9.140625" style="26"/>
    <col min="15361" max="15361" width="12.85546875" style="26" customWidth="1"/>
    <col min="15362" max="15362" width="34.85546875" style="26" customWidth="1"/>
    <col min="15363" max="15363" width="19.140625" style="26" customWidth="1"/>
    <col min="15364" max="15365" width="12.140625" style="26" customWidth="1"/>
    <col min="15366" max="15366" width="17.85546875" style="26" customWidth="1"/>
    <col min="15367" max="15367" width="39.28515625" style="26" customWidth="1"/>
    <col min="15368" max="15368" width="9.28515625" style="26" customWidth="1"/>
    <col min="15369" max="15369" width="10.7109375" style="26" customWidth="1"/>
    <col min="15370" max="15370" width="12.140625" style="26" customWidth="1"/>
    <col min="15371" max="15371" width="15.28515625" style="26" customWidth="1"/>
    <col min="15372" max="15616" width="9.140625" style="26"/>
    <col min="15617" max="15617" width="12.85546875" style="26" customWidth="1"/>
    <col min="15618" max="15618" width="34.85546875" style="26" customWidth="1"/>
    <col min="15619" max="15619" width="19.140625" style="26" customWidth="1"/>
    <col min="15620" max="15621" width="12.140625" style="26" customWidth="1"/>
    <col min="15622" max="15622" width="17.85546875" style="26" customWidth="1"/>
    <col min="15623" max="15623" width="39.28515625" style="26" customWidth="1"/>
    <col min="15624" max="15624" width="9.28515625" style="26" customWidth="1"/>
    <col min="15625" max="15625" width="10.7109375" style="26" customWidth="1"/>
    <col min="15626" max="15626" width="12.140625" style="26" customWidth="1"/>
    <col min="15627" max="15627" width="15.28515625" style="26" customWidth="1"/>
    <col min="15628" max="15872" width="9.140625" style="26"/>
    <col min="15873" max="15873" width="12.85546875" style="26" customWidth="1"/>
    <col min="15874" max="15874" width="34.85546875" style="26" customWidth="1"/>
    <col min="15875" max="15875" width="19.140625" style="26" customWidth="1"/>
    <col min="15876" max="15877" width="12.140625" style="26" customWidth="1"/>
    <col min="15878" max="15878" width="17.85546875" style="26" customWidth="1"/>
    <col min="15879" max="15879" width="39.28515625" style="26" customWidth="1"/>
    <col min="15880" max="15880" width="9.28515625" style="26" customWidth="1"/>
    <col min="15881" max="15881" width="10.7109375" style="26" customWidth="1"/>
    <col min="15882" max="15882" width="12.140625" style="26" customWidth="1"/>
    <col min="15883" max="15883" width="15.28515625" style="26" customWidth="1"/>
    <col min="15884" max="16128" width="9.140625" style="26"/>
    <col min="16129" max="16129" width="12.85546875" style="26" customWidth="1"/>
    <col min="16130" max="16130" width="34.85546875" style="26" customWidth="1"/>
    <col min="16131" max="16131" width="19.140625" style="26" customWidth="1"/>
    <col min="16132" max="16133" width="12.140625" style="26" customWidth="1"/>
    <col min="16134" max="16134" width="17.85546875" style="26" customWidth="1"/>
    <col min="16135" max="16135" width="39.28515625" style="26" customWidth="1"/>
    <col min="16136" max="16136" width="9.28515625" style="26" customWidth="1"/>
    <col min="16137" max="16137" width="10.7109375" style="26" customWidth="1"/>
    <col min="16138" max="16138" width="12.140625" style="26" customWidth="1"/>
    <col min="16139" max="16139" width="15.28515625" style="26" customWidth="1"/>
    <col min="16140" max="16384" width="9.140625" style="26"/>
  </cols>
  <sheetData>
    <row r="1" spans="1:11" s="5" customFormat="1" ht="26.25" customHeight="1" x14ac:dyDescent="0.2">
      <c r="A1" s="1"/>
      <c r="B1" s="2" t="s">
        <v>0</v>
      </c>
      <c r="C1" s="2" t="s">
        <v>1</v>
      </c>
      <c r="D1" s="2"/>
      <c r="E1" s="3">
        <f>COUNT(A4:A471)</f>
        <v>0</v>
      </c>
      <c r="F1" s="83" t="s">
        <v>2</v>
      </c>
      <c r="G1" s="83"/>
      <c r="H1" s="84" t="s">
        <v>3</v>
      </c>
      <c r="I1" s="84"/>
      <c r="J1" s="4"/>
      <c r="K1" s="3">
        <f>SUM(H4:H471)</f>
        <v>0</v>
      </c>
    </row>
    <row r="2" spans="1:11" s="5" customFormat="1" ht="22.5" customHeight="1" thickBot="1" x14ac:dyDescent="0.25">
      <c r="A2" s="6" t="s">
        <v>4</v>
      </c>
      <c r="B2" s="7"/>
      <c r="C2" s="8"/>
      <c r="D2" s="9"/>
      <c r="E2" s="9"/>
      <c r="F2" s="9"/>
      <c r="G2" s="85"/>
      <c r="H2" s="85"/>
      <c r="I2" s="85"/>
      <c r="J2" s="10"/>
      <c r="K2" s="10"/>
    </row>
    <row r="3" spans="1:11" s="5" customFormat="1" ht="22.5" customHeight="1" x14ac:dyDescent="0.2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2" t="s">
        <v>15</v>
      </c>
    </row>
    <row r="4" spans="1:11" s="5" customFormat="1" ht="15" customHeight="1" x14ac:dyDescent="0.2">
      <c r="A4" s="13"/>
      <c r="B4" s="14" t="str">
        <f>IF(A4="","",_xlfn.XLOOKUP(A4,'DISPATCH SHEET'!B$3:B$121,'DISPATCH SHEET'!C$3:C$121,""))</f>
        <v/>
      </c>
      <c r="C4" s="14" t="str">
        <f>IF(ISBLANK(A4),"",_xlfn.XLOOKUP(A4,'DISPATCH SHEET'!C$3:C$121,'DISPATCH SHEET'!#REF!,""))</f>
        <v/>
      </c>
      <c r="D4" s="14"/>
      <c r="E4" s="15"/>
      <c r="F4" s="16"/>
      <c r="G4" s="17" t="s">
        <v>0</v>
      </c>
      <c r="H4" s="15"/>
      <c r="I4" s="14" t="s">
        <v>0</v>
      </c>
      <c r="J4" s="14"/>
      <c r="K4" s="18"/>
    </row>
    <row r="5" spans="1:11" s="5" customFormat="1" ht="15" customHeight="1" x14ac:dyDescent="0.2">
      <c r="A5" s="13"/>
      <c r="B5" s="14" t="str">
        <f>IF(A5="","",_xlfn.XLOOKUP(A5,'DISPATCH SHEET'!B$3:B$121,'DISPATCH SHEET'!C$3:C$121,""))</f>
        <v/>
      </c>
      <c r="C5" s="14" t="str">
        <f>IF(ISBLANK(A5),"",_xlfn.XLOOKUP(A5,'DISPATCH SHEET'!B$3:B$121,'DISPATCH SHEET'!#REF!,""))</f>
        <v/>
      </c>
      <c r="D5" s="14"/>
      <c r="E5" s="15"/>
      <c r="F5" s="16"/>
      <c r="G5" s="17" t="s">
        <v>0</v>
      </c>
      <c r="H5" s="15"/>
      <c r="I5" s="14" t="s">
        <v>0</v>
      </c>
      <c r="J5" s="14"/>
      <c r="K5" s="18"/>
    </row>
    <row r="6" spans="1:11" s="5" customFormat="1" ht="15" customHeight="1" x14ac:dyDescent="0.2">
      <c r="A6" s="13"/>
      <c r="B6" s="14" t="str">
        <f>IF(A6="","",_xlfn.XLOOKUP(A6,'DISPATCH SHEET'!B$3:B$121,'DISPATCH SHEET'!C$3:C$121,""))</f>
        <v/>
      </c>
      <c r="C6" s="14" t="str">
        <f>IF(ISBLANK(A6),"",_xlfn.XLOOKUP(A6,'DISPATCH SHEET'!B$3:B$121,'DISPATCH SHEET'!#REF!,""))</f>
        <v/>
      </c>
      <c r="D6" s="14"/>
      <c r="E6" s="15"/>
      <c r="F6" s="16"/>
      <c r="G6" s="17" t="s">
        <v>0</v>
      </c>
      <c r="H6" s="15"/>
      <c r="I6" s="14" t="s">
        <v>0</v>
      </c>
      <c r="J6" s="14"/>
      <c r="K6" s="18"/>
    </row>
    <row r="7" spans="1:11" s="5" customFormat="1" ht="15" customHeight="1" x14ac:dyDescent="0.2">
      <c r="A7" s="13"/>
      <c r="B7" s="14" t="str">
        <f>IF(A7="","",_xlfn.XLOOKUP(A7,'DISPATCH SHEET'!B$3:B$121,'DISPATCH SHEET'!C$3:C$121,""))</f>
        <v/>
      </c>
      <c r="C7" s="14" t="str">
        <f>IF(ISBLANK(A7),"",_xlfn.XLOOKUP(A7,'DISPATCH SHEET'!B$3:B$121,'DISPATCH SHEET'!#REF!,""))</f>
        <v/>
      </c>
      <c r="D7" s="14"/>
      <c r="E7" s="15"/>
      <c r="F7" s="16"/>
      <c r="G7" s="17" t="s">
        <v>0</v>
      </c>
      <c r="H7" s="15"/>
      <c r="I7" s="14" t="s">
        <v>0</v>
      </c>
      <c r="J7" s="14"/>
      <c r="K7" s="18"/>
    </row>
    <row r="8" spans="1:11" s="5" customFormat="1" ht="15" customHeight="1" x14ac:dyDescent="0.2">
      <c r="A8" s="13"/>
      <c r="B8" s="14" t="str">
        <f>IF(A8="","",_xlfn.XLOOKUP(A8,'DISPATCH SHEET'!B$3:B$121,'DISPATCH SHEET'!C$3:C$121,""))</f>
        <v/>
      </c>
      <c r="C8" s="14" t="str">
        <f>IF(ISBLANK(A8),"",_xlfn.XLOOKUP(A8,'DISPATCH SHEET'!B$3:B$121,'DISPATCH SHEET'!#REF!,""))</f>
        <v/>
      </c>
      <c r="D8" s="14"/>
      <c r="E8" s="15"/>
      <c r="F8" s="16"/>
      <c r="G8" s="17" t="s">
        <v>0</v>
      </c>
      <c r="H8" s="15"/>
      <c r="I8" s="14" t="s">
        <v>0</v>
      </c>
      <c r="J8" s="14"/>
      <c r="K8" s="18"/>
    </row>
    <row r="9" spans="1:11" s="5" customFormat="1" ht="15" customHeight="1" x14ac:dyDescent="0.2">
      <c r="A9" s="13"/>
      <c r="B9" s="14" t="str">
        <f>IF(A9="","",_xlfn.XLOOKUP(A9,'DISPATCH SHEET'!B$3:B$121,'DISPATCH SHEET'!C$3:C$121,""))</f>
        <v/>
      </c>
      <c r="C9" s="14" t="str">
        <f>IF(ISBLANK(A9),"",_xlfn.XLOOKUP(A9,'DISPATCH SHEET'!B$3:B$121,'DISPATCH SHEET'!#REF!,""))</f>
        <v/>
      </c>
      <c r="D9" s="14"/>
      <c r="E9" s="15"/>
      <c r="F9" s="16"/>
      <c r="G9" s="17" t="s">
        <v>0</v>
      </c>
      <c r="H9" s="15"/>
      <c r="I9" s="14" t="s">
        <v>0</v>
      </c>
      <c r="J9" s="14"/>
      <c r="K9" s="18"/>
    </row>
    <row r="10" spans="1:11" s="5" customFormat="1" ht="15" customHeight="1" x14ac:dyDescent="0.2">
      <c r="A10" s="13"/>
      <c r="B10" s="14" t="str">
        <f>IF(A10="","",_xlfn.XLOOKUP(A10,'DISPATCH SHEET'!B$3:B$121,'DISPATCH SHEET'!C$3:C$121,""))</f>
        <v/>
      </c>
      <c r="C10" s="14" t="str">
        <f>IF(ISBLANK(A10),"",_xlfn.XLOOKUP(A10,'DISPATCH SHEET'!B$3:B$121,'DISPATCH SHEET'!#REF!,""))</f>
        <v/>
      </c>
      <c r="D10" s="14"/>
      <c r="E10" s="15"/>
      <c r="F10" s="16"/>
      <c r="G10" s="17" t="s">
        <v>0</v>
      </c>
      <c r="H10" s="15"/>
      <c r="I10" s="14" t="s">
        <v>0</v>
      </c>
      <c r="J10" s="14"/>
      <c r="K10" s="18"/>
    </row>
    <row r="11" spans="1:11" s="5" customFormat="1" ht="15" customHeight="1" x14ac:dyDescent="0.2">
      <c r="A11" s="13"/>
      <c r="B11" s="14" t="str">
        <f>IF(A11="","",_xlfn.XLOOKUP(A11,'DISPATCH SHEET'!B$3:B$121,'DISPATCH SHEET'!C$3:C$121,""))</f>
        <v/>
      </c>
      <c r="C11" s="14" t="str">
        <f>IF(ISBLANK(A11),"",_xlfn.XLOOKUP(A11,'DISPATCH SHEET'!B$3:B$121,'DISPATCH SHEET'!#REF!,""))</f>
        <v/>
      </c>
      <c r="D11" s="14"/>
      <c r="E11" s="15"/>
      <c r="F11" s="16"/>
      <c r="G11" s="17" t="s">
        <v>0</v>
      </c>
      <c r="H11" s="15"/>
      <c r="I11" s="14" t="s">
        <v>0</v>
      </c>
      <c r="J11" s="14"/>
      <c r="K11" s="18"/>
    </row>
    <row r="12" spans="1:11" s="5" customFormat="1" ht="15" customHeight="1" x14ac:dyDescent="0.2">
      <c r="A12" s="13"/>
      <c r="B12" s="14" t="str">
        <f>IF(A12="","",_xlfn.XLOOKUP(A12,'DISPATCH SHEET'!B$3:B$121,'DISPATCH SHEET'!C$3:C$121,""))</f>
        <v/>
      </c>
      <c r="C12" s="14" t="str">
        <f>IF(ISBLANK(A12),"",_xlfn.XLOOKUP(A12,'DISPATCH SHEET'!B$3:B$121,'DISPATCH SHEET'!#REF!,""))</f>
        <v/>
      </c>
      <c r="D12" s="14"/>
      <c r="E12" s="15"/>
      <c r="F12" s="16"/>
      <c r="G12" s="17" t="s">
        <v>0</v>
      </c>
      <c r="H12" s="15"/>
      <c r="I12" s="14" t="s">
        <v>0</v>
      </c>
      <c r="J12" s="14"/>
      <c r="K12" s="18"/>
    </row>
    <row r="13" spans="1:11" s="5" customFormat="1" ht="15" customHeight="1" x14ac:dyDescent="0.2">
      <c r="A13" s="13"/>
      <c r="B13" s="14" t="str">
        <f>IF(A13="","",_xlfn.XLOOKUP(A13,'DISPATCH SHEET'!B$3:B$121,'DISPATCH SHEET'!C$3:C$121,""))</f>
        <v/>
      </c>
      <c r="C13" s="14" t="str">
        <f>IF(ISBLANK(A13),"",_xlfn.XLOOKUP(A13,'DISPATCH SHEET'!B$3:B$121,'DISPATCH SHEET'!#REF!,""))</f>
        <v/>
      </c>
      <c r="D13" s="14"/>
      <c r="E13" s="15"/>
      <c r="F13" s="16"/>
      <c r="G13" s="17" t="s">
        <v>0</v>
      </c>
      <c r="H13" s="15"/>
      <c r="I13" s="14" t="s">
        <v>0</v>
      </c>
      <c r="J13" s="14"/>
      <c r="K13" s="18"/>
    </row>
    <row r="14" spans="1:11" s="5" customFormat="1" ht="15" customHeight="1" x14ac:dyDescent="0.2">
      <c r="A14" s="13"/>
      <c r="B14" s="14" t="str">
        <f>IF(A14="","",_xlfn.XLOOKUP(A14,'DISPATCH SHEET'!B$3:B$121,'DISPATCH SHEET'!C$3:C$121,""))</f>
        <v/>
      </c>
      <c r="C14" s="14" t="str">
        <f>IF(ISBLANK(A14),"",_xlfn.XLOOKUP(A14,'DISPATCH SHEET'!B$3:B$121,'DISPATCH SHEET'!#REF!,""))</f>
        <v/>
      </c>
      <c r="D14" s="14"/>
      <c r="E14" s="15"/>
      <c r="F14" s="16"/>
      <c r="G14" s="17" t="s">
        <v>0</v>
      </c>
      <c r="H14" s="15"/>
      <c r="I14" s="14" t="s">
        <v>0</v>
      </c>
      <c r="J14" s="14"/>
      <c r="K14" s="18"/>
    </row>
    <row r="15" spans="1:11" s="5" customFormat="1" ht="15" customHeight="1" x14ac:dyDescent="0.2">
      <c r="A15" s="13"/>
      <c r="B15" s="14" t="str">
        <f>IF(A15="","",_xlfn.XLOOKUP(A15,'DISPATCH SHEET'!B$3:B$121,'DISPATCH SHEET'!C$3:C$121,""))</f>
        <v/>
      </c>
      <c r="C15" s="14" t="str">
        <f>IF(ISBLANK(A15),"",_xlfn.XLOOKUP(A15,'DISPATCH SHEET'!B$3:B$121,'DISPATCH SHEET'!#REF!,""))</f>
        <v/>
      </c>
      <c r="D15" s="14"/>
      <c r="E15" s="15"/>
      <c r="F15" s="16"/>
      <c r="G15" s="17" t="s">
        <v>0</v>
      </c>
      <c r="H15" s="15"/>
      <c r="I15" s="14" t="s">
        <v>0</v>
      </c>
      <c r="J15" s="14"/>
      <c r="K15" s="18"/>
    </row>
    <row r="16" spans="1:11" s="5" customFormat="1" ht="15" customHeight="1" x14ac:dyDescent="0.2">
      <c r="A16" s="13"/>
      <c r="B16" s="14" t="str">
        <f>IF(A16="","",_xlfn.XLOOKUP(A16,'DISPATCH SHEET'!B$3:B$121,'DISPATCH SHEET'!C$3:C$121,""))</f>
        <v/>
      </c>
      <c r="C16" s="14" t="str">
        <f>IF(ISBLANK(A16),"",_xlfn.XLOOKUP(A16,'DISPATCH SHEET'!B$3:B$121,'DISPATCH SHEET'!#REF!,""))</f>
        <v/>
      </c>
      <c r="D16" s="14"/>
      <c r="E16" s="15"/>
      <c r="F16" s="16"/>
      <c r="G16" s="17" t="s">
        <v>0</v>
      </c>
      <c r="H16" s="15"/>
      <c r="I16" s="14" t="s">
        <v>0</v>
      </c>
      <c r="J16" s="14"/>
      <c r="K16" s="18"/>
    </row>
    <row r="17" spans="1:11" s="5" customFormat="1" ht="15" customHeight="1" x14ac:dyDescent="0.2">
      <c r="A17" s="13"/>
      <c r="B17" s="14" t="str">
        <f>IF(A17="","",_xlfn.XLOOKUP(A17,'DISPATCH SHEET'!B$3:B$121,'DISPATCH SHEET'!C$3:C$121,""))</f>
        <v/>
      </c>
      <c r="C17" s="14" t="str">
        <f>IF(ISBLANK(A17),"",_xlfn.XLOOKUP(A17,'DISPATCH SHEET'!B$3:B$121,'DISPATCH SHEET'!#REF!,""))</f>
        <v/>
      </c>
      <c r="D17" s="14"/>
      <c r="E17" s="15"/>
      <c r="F17" s="16"/>
      <c r="G17" s="17" t="s">
        <v>0</v>
      </c>
      <c r="H17" s="15"/>
      <c r="I17" s="14" t="s">
        <v>0</v>
      </c>
      <c r="J17" s="14"/>
      <c r="K17" s="18"/>
    </row>
    <row r="18" spans="1:11" s="5" customFormat="1" ht="15" customHeight="1" x14ac:dyDescent="0.2">
      <c r="A18" s="13"/>
      <c r="B18" s="14" t="str">
        <f>IF(A18="","",_xlfn.XLOOKUP(A18,'DISPATCH SHEET'!B$3:B$121,'DISPATCH SHEET'!C$3:C$121,""))</f>
        <v/>
      </c>
      <c r="C18" s="14" t="str">
        <f>IF(ISBLANK(A18),"",_xlfn.XLOOKUP(A18,'DISPATCH SHEET'!B$3:B$121,'DISPATCH SHEET'!#REF!,""))</f>
        <v/>
      </c>
      <c r="D18" s="14"/>
      <c r="E18" s="15"/>
      <c r="F18" s="16"/>
      <c r="G18" s="17" t="s">
        <v>0</v>
      </c>
      <c r="H18" s="15"/>
      <c r="I18" s="14" t="s">
        <v>0</v>
      </c>
      <c r="J18" s="14"/>
      <c r="K18" s="18"/>
    </row>
    <row r="19" spans="1:11" s="5" customFormat="1" ht="15" customHeight="1" x14ac:dyDescent="0.2">
      <c r="A19" s="13"/>
      <c r="B19" s="14" t="str">
        <f>IF(A19="","",_xlfn.XLOOKUP(A19,'DISPATCH SHEET'!B$3:B$121,'DISPATCH SHEET'!C$3:C$121,""))</f>
        <v/>
      </c>
      <c r="C19" s="14" t="str">
        <f>IF(ISBLANK(A19),"",_xlfn.XLOOKUP(A19,'DISPATCH SHEET'!B$3:B$121,'DISPATCH SHEET'!#REF!,""))</f>
        <v/>
      </c>
      <c r="D19" s="14"/>
      <c r="E19" s="15"/>
      <c r="F19" s="16"/>
      <c r="G19" s="17" t="s">
        <v>0</v>
      </c>
      <c r="H19" s="15"/>
      <c r="I19" s="14" t="s">
        <v>0</v>
      </c>
      <c r="J19" s="14"/>
      <c r="K19" s="18"/>
    </row>
    <row r="20" spans="1:11" s="5" customFormat="1" ht="15" customHeight="1" x14ac:dyDescent="0.2">
      <c r="A20" s="13"/>
      <c r="B20" s="14" t="str">
        <f>IF(A20="","",_xlfn.XLOOKUP(A20,'DISPATCH SHEET'!B$3:B$121,'DISPATCH SHEET'!C$3:C$121,""))</f>
        <v/>
      </c>
      <c r="C20" s="14" t="str">
        <f>IF(ISBLANK(A20),"",_xlfn.XLOOKUP(A20,'DISPATCH SHEET'!B$3:B$121,'DISPATCH SHEET'!#REF!,""))</f>
        <v/>
      </c>
      <c r="D20" s="14"/>
      <c r="E20" s="15"/>
      <c r="F20" s="16"/>
      <c r="G20" s="17" t="s">
        <v>0</v>
      </c>
      <c r="H20" s="15"/>
      <c r="I20" s="14" t="s">
        <v>0</v>
      </c>
      <c r="J20" s="14"/>
      <c r="K20" s="18"/>
    </row>
    <row r="21" spans="1:11" s="5" customFormat="1" ht="15" customHeight="1" x14ac:dyDescent="0.2">
      <c r="A21" s="13"/>
      <c r="B21" s="14" t="str">
        <f>IF(A21="","",_xlfn.XLOOKUP(A21,'DISPATCH SHEET'!B$3:B$121,'DISPATCH SHEET'!C$3:C$121,""))</f>
        <v/>
      </c>
      <c r="C21" s="14" t="str">
        <f>IF(ISBLANK(A21),"",_xlfn.XLOOKUP(A21,'DISPATCH SHEET'!B$3:B$121,'DISPATCH SHEET'!#REF!,""))</f>
        <v/>
      </c>
      <c r="D21" s="14"/>
      <c r="E21" s="15"/>
      <c r="F21" s="16"/>
      <c r="G21" s="17" t="s">
        <v>0</v>
      </c>
      <c r="H21" s="15"/>
      <c r="I21" s="14" t="s">
        <v>0</v>
      </c>
      <c r="J21" s="14"/>
      <c r="K21" s="18"/>
    </row>
    <row r="22" spans="1:11" s="5" customFormat="1" ht="15" customHeight="1" x14ac:dyDescent="0.2">
      <c r="A22" s="13"/>
      <c r="B22" s="14" t="str">
        <f>IF(A22="","",_xlfn.XLOOKUP(A22,'DISPATCH SHEET'!B$3:B$121,'DISPATCH SHEET'!C$3:C$121,""))</f>
        <v/>
      </c>
      <c r="C22" s="14" t="str">
        <f>IF(ISBLANK(A22),"",_xlfn.XLOOKUP(A22,'DISPATCH SHEET'!B$3:B$121,'DISPATCH SHEET'!#REF!,""))</f>
        <v/>
      </c>
      <c r="D22" s="14"/>
      <c r="E22" s="15"/>
      <c r="F22" s="16"/>
      <c r="G22" s="17" t="s">
        <v>0</v>
      </c>
      <c r="H22" s="15"/>
      <c r="I22" s="14" t="s">
        <v>0</v>
      </c>
      <c r="J22" s="14"/>
      <c r="K22" s="18"/>
    </row>
    <row r="23" spans="1:11" s="5" customFormat="1" ht="15" customHeight="1" x14ac:dyDescent="0.2">
      <c r="A23" s="13"/>
      <c r="B23" s="14" t="str">
        <f>IF(A23="","",_xlfn.XLOOKUP(A23,'DISPATCH SHEET'!B$3:B$121,'DISPATCH SHEET'!C$3:C$121,""))</f>
        <v/>
      </c>
      <c r="C23" s="14" t="str">
        <f>IF(ISBLANK(A23),"",_xlfn.XLOOKUP(A23,'DISPATCH SHEET'!B$3:B$121,'DISPATCH SHEET'!#REF!,""))</f>
        <v/>
      </c>
      <c r="D23" s="14"/>
      <c r="E23" s="15"/>
      <c r="F23" s="16"/>
      <c r="G23" s="17" t="s">
        <v>0</v>
      </c>
      <c r="H23" s="15"/>
      <c r="I23" s="14" t="s">
        <v>0</v>
      </c>
      <c r="J23" s="14"/>
      <c r="K23" s="18"/>
    </row>
    <row r="24" spans="1:11" s="5" customFormat="1" ht="15" customHeight="1" x14ac:dyDescent="0.2">
      <c r="A24" s="13"/>
      <c r="B24" s="14" t="str">
        <f>IF(A24="","",_xlfn.XLOOKUP(A24,'DISPATCH SHEET'!B$3:B$121,'DISPATCH SHEET'!C$3:C$121,""))</f>
        <v/>
      </c>
      <c r="C24" s="14" t="str">
        <f>IF(ISBLANK(A24),"",_xlfn.XLOOKUP(A24,'DISPATCH SHEET'!B$3:B$121,'DISPATCH SHEET'!#REF!,""))</f>
        <v/>
      </c>
      <c r="D24" s="14"/>
      <c r="E24" s="15"/>
      <c r="F24" s="16"/>
      <c r="G24" s="17" t="s">
        <v>0</v>
      </c>
      <c r="H24" s="15"/>
      <c r="I24" s="14" t="s">
        <v>0</v>
      </c>
      <c r="J24" s="14"/>
      <c r="K24" s="18"/>
    </row>
    <row r="25" spans="1:11" s="5" customFormat="1" ht="15" customHeight="1" x14ac:dyDescent="0.2">
      <c r="A25" s="13"/>
      <c r="B25" s="14" t="str">
        <f>IF(A25="","",_xlfn.XLOOKUP(A25,'DISPATCH SHEET'!B$3:B$121,'DISPATCH SHEET'!C$3:C$121,""))</f>
        <v/>
      </c>
      <c r="C25" s="14" t="str">
        <f>IF(ISBLANK(A25),"",_xlfn.XLOOKUP(A25,'DISPATCH SHEET'!B$3:B$121,'DISPATCH SHEET'!#REF!,""))</f>
        <v/>
      </c>
      <c r="D25" s="14"/>
      <c r="E25" s="15"/>
      <c r="F25" s="16"/>
      <c r="G25" s="17" t="s">
        <v>0</v>
      </c>
      <c r="H25" s="15"/>
      <c r="I25" s="14" t="s">
        <v>0</v>
      </c>
      <c r="J25" s="14"/>
      <c r="K25" s="18"/>
    </row>
    <row r="26" spans="1:11" s="5" customFormat="1" ht="15" customHeight="1" x14ac:dyDescent="0.2">
      <c r="A26" s="13"/>
      <c r="B26" s="14" t="str">
        <f>IF(A26="","",_xlfn.XLOOKUP(A26,'DISPATCH SHEET'!B$3:B$121,'DISPATCH SHEET'!C$3:C$121,""))</f>
        <v/>
      </c>
      <c r="C26" s="14" t="str">
        <f>IF(ISBLANK(A26),"",_xlfn.XLOOKUP(A26,'DISPATCH SHEET'!B$3:B$121,'DISPATCH SHEET'!#REF!,""))</f>
        <v/>
      </c>
      <c r="D26" s="14"/>
      <c r="E26" s="15"/>
      <c r="F26" s="16"/>
      <c r="G26" s="17" t="s">
        <v>0</v>
      </c>
      <c r="H26" s="15"/>
      <c r="I26" s="14" t="s">
        <v>0</v>
      </c>
      <c r="J26" s="14"/>
      <c r="K26" s="18"/>
    </row>
    <row r="27" spans="1:11" s="5" customFormat="1" ht="15" customHeight="1" x14ac:dyDescent="0.2">
      <c r="A27" s="13"/>
      <c r="B27" s="14" t="str">
        <f>IF(A27="","",_xlfn.XLOOKUP(A27,'DISPATCH SHEET'!B$3:B$121,'DISPATCH SHEET'!C$3:C$121,""))</f>
        <v/>
      </c>
      <c r="C27" s="14" t="str">
        <f>IF(ISBLANK(A27),"",_xlfn.XLOOKUP(A27,'DISPATCH SHEET'!B$3:B$121,'DISPATCH SHEET'!#REF!,""))</f>
        <v/>
      </c>
      <c r="D27" s="14"/>
      <c r="E27" s="15"/>
      <c r="F27" s="16"/>
      <c r="G27" s="17" t="s">
        <v>0</v>
      </c>
      <c r="H27" s="15"/>
      <c r="I27" s="14" t="s">
        <v>0</v>
      </c>
      <c r="J27" s="14"/>
      <c r="K27" s="18"/>
    </row>
    <row r="28" spans="1:11" s="5" customFormat="1" ht="15" customHeight="1" x14ac:dyDescent="0.2">
      <c r="A28" s="13"/>
      <c r="B28" s="14" t="str">
        <f>IF(A28="","",_xlfn.XLOOKUP(A28,'DISPATCH SHEET'!B$3:B$121,'DISPATCH SHEET'!C$3:C$121,""))</f>
        <v/>
      </c>
      <c r="C28" s="14" t="str">
        <f>IF(ISBLANK(A28),"",_xlfn.XLOOKUP(A28,'DISPATCH SHEET'!B$3:B$121,'DISPATCH SHEET'!#REF!,""))</f>
        <v/>
      </c>
      <c r="D28" s="14"/>
      <c r="E28" s="15"/>
      <c r="F28" s="16"/>
      <c r="G28" s="17" t="s">
        <v>0</v>
      </c>
      <c r="H28" s="15"/>
      <c r="I28" s="14" t="s">
        <v>0</v>
      </c>
      <c r="J28" s="14"/>
      <c r="K28" s="18"/>
    </row>
    <row r="29" spans="1:11" s="5" customFormat="1" ht="15" customHeight="1" x14ac:dyDescent="0.2">
      <c r="A29" s="13"/>
      <c r="B29" s="14" t="str">
        <f>IF(A29="","",_xlfn.XLOOKUP(A29,'DISPATCH SHEET'!B$3:B$121,'DISPATCH SHEET'!C$3:C$121,""))</f>
        <v/>
      </c>
      <c r="C29" s="14" t="str">
        <f>IF(ISBLANK(A29),"",_xlfn.XLOOKUP(A29,'DISPATCH SHEET'!B$3:B$121,'DISPATCH SHEET'!#REF!,""))</f>
        <v/>
      </c>
      <c r="D29" s="14"/>
      <c r="E29" s="15"/>
      <c r="F29" s="16"/>
      <c r="G29" s="17" t="s">
        <v>0</v>
      </c>
      <c r="H29" s="15"/>
      <c r="I29" s="14" t="s">
        <v>0</v>
      </c>
      <c r="J29" s="14"/>
      <c r="K29" s="18"/>
    </row>
    <row r="30" spans="1:11" s="5" customFormat="1" ht="15" customHeight="1" x14ac:dyDescent="0.2">
      <c r="A30" s="13"/>
      <c r="B30" s="14" t="str">
        <f>IF(A30="","",_xlfn.XLOOKUP(A30,'DISPATCH SHEET'!B$3:B$121,'DISPATCH SHEET'!C$3:C$121,""))</f>
        <v/>
      </c>
      <c r="C30" s="14" t="str">
        <f>IF(ISBLANK(A30),"",_xlfn.XLOOKUP(A30,'DISPATCH SHEET'!B$3:B$121,'DISPATCH SHEET'!#REF!,""))</f>
        <v/>
      </c>
      <c r="D30" s="14"/>
      <c r="E30" s="15"/>
      <c r="F30" s="16"/>
      <c r="G30" s="17" t="s">
        <v>0</v>
      </c>
      <c r="H30" s="15"/>
      <c r="I30" s="14" t="s">
        <v>0</v>
      </c>
      <c r="J30" s="14"/>
      <c r="K30" s="18"/>
    </row>
    <row r="31" spans="1:11" s="5" customFormat="1" ht="15" customHeight="1" x14ac:dyDescent="0.2">
      <c r="A31" s="13"/>
      <c r="B31" s="14" t="str">
        <f>IF(A31="","",_xlfn.XLOOKUP(A31,'DISPATCH SHEET'!B$3:B$121,'DISPATCH SHEET'!C$3:C$121,""))</f>
        <v/>
      </c>
      <c r="C31" s="14" t="str">
        <f>IF(ISBLANK(A31),"",_xlfn.XLOOKUP(A31,'DISPATCH SHEET'!B$3:B$121,'DISPATCH SHEET'!#REF!,""))</f>
        <v/>
      </c>
      <c r="D31" s="14"/>
      <c r="E31" s="15"/>
      <c r="F31" s="16"/>
      <c r="G31" s="17" t="s">
        <v>0</v>
      </c>
      <c r="H31" s="15"/>
      <c r="I31" s="14" t="s">
        <v>0</v>
      </c>
      <c r="J31" s="14"/>
      <c r="K31" s="18"/>
    </row>
    <row r="32" spans="1:11" s="5" customFormat="1" ht="15" customHeight="1" x14ac:dyDescent="0.2">
      <c r="A32" s="13"/>
      <c r="B32" s="14" t="str">
        <f>IF(A32="","",_xlfn.XLOOKUP(A32,'DISPATCH SHEET'!B$3:B$121,'DISPATCH SHEET'!C$3:C$121,""))</f>
        <v/>
      </c>
      <c r="C32" s="14" t="str">
        <f>IF(ISBLANK(A32),"",_xlfn.XLOOKUP(A32,'DISPATCH SHEET'!B$3:B$121,'DISPATCH SHEET'!#REF!,""))</f>
        <v/>
      </c>
      <c r="D32" s="14"/>
      <c r="E32" s="15"/>
      <c r="F32" s="16"/>
      <c r="G32" s="17" t="s">
        <v>0</v>
      </c>
      <c r="H32" s="15"/>
      <c r="I32" s="14" t="s">
        <v>0</v>
      </c>
      <c r="J32" s="14"/>
      <c r="K32" s="18"/>
    </row>
    <row r="33" spans="1:11" s="5" customFormat="1" ht="15" customHeight="1" x14ac:dyDescent="0.2">
      <c r="A33" s="13"/>
      <c r="B33" s="14" t="str">
        <f>IF(A33="","",_xlfn.XLOOKUP(A33,'DISPATCH SHEET'!B$3:B$121,'DISPATCH SHEET'!C$3:C$121,""))</f>
        <v/>
      </c>
      <c r="C33" s="14" t="str">
        <f>IF(ISBLANK(A33),"",_xlfn.XLOOKUP(A33,'DISPATCH SHEET'!B$3:B$121,'DISPATCH SHEET'!#REF!,""))</f>
        <v/>
      </c>
      <c r="D33" s="14"/>
      <c r="E33" s="15"/>
      <c r="F33" s="16"/>
      <c r="G33" s="17" t="s">
        <v>0</v>
      </c>
      <c r="H33" s="15"/>
      <c r="I33" s="14" t="s">
        <v>0</v>
      </c>
      <c r="J33" s="14"/>
      <c r="K33" s="18"/>
    </row>
    <row r="34" spans="1:11" s="5" customFormat="1" ht="15" customHeight="1" x14ac:dyDescent="0.2">
      <c r="A34" s="13"/>
      <c r="B34" s="14" t="str">
        <f>IF(A34="","",_xlfn.XLOOKUP(A34,'DISPATCH SHEET'!B$3:B$121,'DISPATCH SHEET'!C$3:C$121,""))</f>
        <v/>
      </c>
      <c r="C34" s="14" t="str">
        <f>IF(ISBLANK(A34),"",_xlfn.XLOOKUP(A34,'DISPATCH SHEET'!B$3:B$121,'DISPATCH SHEET'!#REF!,""))</f>
        <v/>
      </c>
      <c r="D34" s="14"/>
      <c r="E34" s="15"/>
      <c r="F34" s="16"/>
      <c r="G34" s="17" t="s">
        <v>0</v>
      </c>
      <c r="H34" s="15"/>
      <c r="I34" s="14" t="s">
        <v>0</v>
      </c>
      <c r="J34" s="14"/>
      <c r="K34" s="18"/>
    </row>
    <row r="35" spans="1:11" s="5" customFormat="1" ht="15" customHeight="1" x14ac:dyDescent="0.2">
      <c r="A35" s="13"/>
      <c r="B35" s="14" t="str">
        <f>IF(A35="","",_xlfn.XLOOKUP(A35,'DISPATCH SHEET'!B$3:B$121,'DISPATCH SHEET'!C$3:C$121,""))</f>
        <v/>
      </c>
      <c r="C35" s="14" t="str">
        <f>IF(ISBLANK(A35),"",_xlfn.XLOOKUP(A35,'DISPATCH SHEET'!B$3:B$121,'DISPATCH SHEET'!#REF!,""))</f>
        <v/>
      </c>
      <c r="D35" s="14"/>
      <c r="E35" s="15"/>
      <c r="F35" s="16"/>
      <c r="G35" s="17" t="s">
        <v>0</v>
      </c>
      <c r="H35" s="15"/>
      <c r="I35" s="14" t="s">
        <v>0</v>
      </c>
      <c r="J35" s="14"/>
      <c r="K35" s="18"/>
    </row>
    <row r="36" spans="1:11" s="5" customFormat="1" ht="15" customHeight="1" x14ac:dyDescent="0.2">
      <c r="A36" s="13"/>
      <c r="B36" s="14" t="str">
        <f>IF(A36="","",_xlfn.XLOOKUP(A36,'DISPATCH SHEET'!B$3:B$121,'DISPATCH SHEET'!C$3:C$121,""))</f>
        <v/>
      </c>
      <c r="C36" s="14" t="str">
        <f>IF(ISBLANK(A36),"",_xlfn.XLOOKUP(A36,'DISPATCH SHEET'!B$3:B$121,'DISPATCH SHEET'!#REF!,""))</f>
        <v/>
      </c>
      <c r="D36" s="14"/>
      <c r="E36" s="15"/>
      <c r="F36" s="16"/>
      <c r="G36" s="17" t="s">
        <v>0</v>
      </c>
      <c r="H36" s="15"/>
      <c r="I36" s="14" t="s">
        <v>0</v>
      </c>
      <c r="J36" s="14"/>
      <c r="K36" s="18"/>
    </row>
    <row r="37" spans="1:11" s="5" customFormat="1" ht="15" customHeight="1" x14ac:dyDescent="0.2">
      <c r="A37" s="13"/>
      <c r="B37" s="14" t="str">
        <f>IF(A37="","",_xlfn.XLOOKUP(A37,'DISPATCH SHEET'!B$3:B$121,'DISPATCH SHEET'!C$3:C$121,""))</f>
        <v/>
      </c>
      <c r="C37" s="14" t="str">
        <f>IF(ISBLANK(A37),"",_xlfn.XLOOKUP(A37,'DISPATCH SHEET'!B$3:B$121,'DISPATCH SHEET'!#REF!,""))</f>
        <v/>
      </c>
      <c r="D37" s="14"/>
      <c r="E37" s="15"/>
      <c r="F37" s="16"/>
      <c r="G37" s="17" t="s">
        <v>0</v>
      </c>
      <c r="H37" s="15"/>
      <c r="I37" s="14" t="s">
        <v>0</v>
      </c>
      <c r="J37" s="14"/>
      <c r="K37" s="18"/>
    </row>
    <row r="38" spans="1:11" s="5" customFormat="1" ht="15" customHeight="1" x14ac:dyDescent="0.2">
      <c r="A38" s="13"/>
      <c r="B38" s="14" t="str">
        <f>IF(A38="","",_xlfn.XLOOKUP(A38,'DISPATCH SHEET'!B$3:B$121,'DISPATCH SHEET'!C$3:C$121,""))</f>
        <v/>
      </c>
      <c r="C38" s="14" t="str">
        <f>IF(ISBLANK(A38),"",_xlfn.XLOOKUP(A38,'DISPATCH SHEET'!B$3:B$121,'DISPATCH SHEET'!#REF!,""))</f>
        <v/>
      </c>
      <c r="D38" s="14"/>
      <c r="E38" s="15"/>
      <c r="F38" s="16"/>
      <c r="G38" s="17" t="s">
        <v>0</v>
      </c>
      <c r="H38" s="15"/>
      <c r="I38" s="14" t="s">
        <v>0</v>
      </c>
      <c r="J38" s="14"/>
      <c r="K38" s="18"/>
    </row>
    <row r="39" spans="1:11" s="5" customFormat="1" ht="15" customHeight="1" x14ac:dyDescent="0.2">
      <c r="A39" s="13"/>
      <c r="B39" s="14" t="str">
        <f>IF(A39="","",_xlfn.XLOOKUP(A39,'DISPATCH SHEET'!B$3:B$121,'DISPATCH SHEET'!C$3:C$121,""))</f>
        <v/>
      </c>
      <c r="C39" s="14" t="str">
        <f>IF(ISBLANK(A39),"",_xlfn.XLOOKUP(A39,'DISPATCH SHEET'!B$3:B$121,'DISPATCH SHEET'!#REF!,""))</f>
        <v/>
      </c>
      <c r="D39" s="14"/>
      <c r="E39" s="15"/>
      <c r="F39" s="16"/>
      <c r="G39" s="17" t="s">
        <v>0</v>
      </c>
      <c r="H39" s="15"/>
      <c r="I39" s="14" t="s">
        <v>0</v>
      </c>
      <c r="J39" s="14"/>
      <c r="K39" s="18"/>
    </row>
    <row r="40" spans="1:11" s="5" customFormat="1" ht="15" customHeight="1" x14ac:dyDescent="0.2">
      <c r="A40" s="13"/>
      <c r="B40" s="14" t="str">
        <f>IF(A40="","",_xlfn.XLOOKUP(A40,'DISPATCH SHEET'!B$3:B$121,'DISPATCH SHEET'!C$3:C$121,""))</f>
        <v/>
      </c>
      <c r="C40" s="14" t="str">
        <f>IF(ISBLANK(A40),"",_xlfn.XLOOKUP(A40,'DISPATCH SHEET'!B$3:B$121,'DISPATCH SHEET'!#REF!,""))</f>
        <v/>
      </c>
      <c r="D40" s="14"/>
      <c r="E40" s="15"/>
      <c r="F40" s="16"/>
      <c r="G40" s="17" t="s">
        <v>0</v>
      </c>
      <c r="H40" s="15"/>
      <c r="I40" s="14" t="s">
        <v>0</v>
      </c>
      <c r="J40" s="14"/>
      <c r="K40" s="18"/>
    </row>
    <row r="41" spans="1:11" s="5" customFormat="1" ht="15" customHeight="1" x14ac:dyDescent="0.2">
      <c r="A41" s="13"/>
      <c r="B41" s="14" t="str">
        <f>IF(A41="","",_xlfn.XLOOKUP(A41,'DISPATCH SHEET'!B$3:B$121,'DISPATCH SHEET'!C$3:C$121,""))</f>
        <v/>
      </c>
      <c r="C41" s="14" t="str">
        <f>IF(ISBLANK(A41),"",_xlfn.XLOOKUP(A41,'DISPATCH SHEET'!B$3:B$121,'DISPATCH SHEET'!#REF!,""))</f>
        <v/>
      </c>
      <c r="D41" s="14"/>
      <c r="E41" s="15"/>
      <c r="F41" s="16"/>
      <c r="G41" s="17" t="s">
        <v>0</v>
      </c>
      <c r="H41" s="15"/>
      <c r="I41" s="14" t="s">
        <v>0</v>
      </c>
      <c r="J41" s="14"/>
      <c r="K41" s="18"/>
    </row>
    <row r="42" spans="1:11" s="5" customFormat="1" ht="15" customHeight="1" x14ac:dyDescent="0.2">
      <c r="A42" s="13"/>
      <c r="B42" s="14" t="str">
        <f>IF(A42="","",_xlfn.XLOOKUP(A42,'DISPATCH SHEET'!B$3:B$121,'DISPATCH SHEET'!C$3:C$121,""))</f>
        <v/>
      </c>
      <c r="C42" s="14" t="str">
        <f>IF(ISBLANK(A42),"",_xlfn.XLOOKUP(A42,'DISPATCH SHEET'!B$3:B$121,'DISPATCH SHEET'!#REF!,""))</f>
        <v/>
      </c>
      <c r="D42" s="14"/>
      <c r="E42" s="15"/>
      <c r="F42" s="16"/>
      <c r="G42" s="17" t="s">
        <v>0</v>
      </c>
      <c r="H42" s="15"/>
      <c r="I42" s="14" t="s">
        <v>0</v>
      </c>
      <c r="J42" s="14"/>
      <c r="K42" s="18"/>
    </row>
    <row r="43" spans="1:11" s="5" customFormat="1" ht="15" customHeight="1" x14ac:dyDescent="0.2">
      <c r="A43" s="13"/>
      <c r="B43" s="14" t="str">
        <f>IF(A43="","",_xlfn.XLOOKUP(A43,'DISPATCH SHEET'!B$3:B$121,'DISPATCH SHEET'!C$3:C$121,""))</f>
        <v/>
      </c>
      <c r="C43" s="14" t="str">
        <f>IF(ISBLANK(A43),"",_xlfn.XLOOKUP(A43,'DISPATCH SHEET'!B$3:B$121,'DISPATCH SHEET'!#REF!,""))</f>
        <v/>
      </c>
      <c r="D43" s="14"/>
      <c r="E43" s="15"/>
      <c r="F43" s="16"/>
      <c r="G43" s="17" t="s">
        <v>0</v>
      </c>
      <c r="H43" s="15"/>
      <c r="I43" s="14" t="s">
        <v>0</v>
      </c>
      <c r="J43" s="14"/>
      <c r="K43" s="18"/>
    </row>
    <row r="44" spans="1:11" s="5" customFormat="1" ht="15" customHeight="1" x14ac:dyDescent="0.2">
      <c r="A44" s="13"/>
      <c r="B44" s="14" t="str">
        <f>IF(A44="","",_xlfn.XLOOKUP(A44,'DISPATCH SHEET'!B$3:B$121,'DISPATCH SHEET'!C$3:C$121,""))</f>
        <v/>
      </c>
      <c r="C44" s="14" t="str">
        <f>IF(ISBLANK(A44),"",_xlfn.XLOOKUP(A44,'DISPATCH SHEET'!B$3:B$121,'DISPATCH SHEET'!#REF!,""))</f>
        <v/>
      </c>
      <c r="D44" s="14"/>
      <c r="E44" s="15"/>
      <c r="F44" s="16"/>
      <c r="G44" s="17" t="s">
        <v>0</v>
      </c>
      <c r="H44" s="15"/>
      <c r="I44" s="14" t="s">
        <v>0</v>
      </c>
      <c r="J44" s="14"/>
      <c r="K44" s="18"/>
    </row>
    <row r="45" spans="1:11" s="5" customFormat="1" ht="15" customHeight="1" x14ac:dyDescent="0.2">
      <c r="A45" s="13"/>
      <c r="B45" s="14" t="str">
        <f>IF(A45="","",_xlfn.XLOOKUP(A45,'DISPATCH SHEET'!B$3:B$121,'DISPATCH SHEET'!C$3:C$121,""))</f>
        <v/>
      </c>
      <c r="C45" s="14" t="str">
        <f>IF(ISBLANK(A45),"",_xlfn.XLOOKUP(A45,'DISPATCH SHEET'!B$3:B$121,'DISPATCH SHEET'!#REF!,""))</f>
        <v/>
      </c>
      <c r="D45" s="14"/>
      <c r="E45" s="15"/>
      <c r="F45" s="16"/>
      <c r="G45" s="17" t="s">
        <v>0</v>
      </c>
      <c r="H45" s="15"/>
      <c r="I45" s="14" t="s">
        <v>0</v>
      </c>
      <c r="J45" s="14"/>
      <c r="K45" s="18"/>
    </row>
    <row r="46" spans="1:11" s="5" customFormat="1" ht="15" customHeight="1" x14ac:dyDescent="0.2">
      <c r="A46" s="13"/>
      <c r="B46" s="14" t="str">
        <f>IF(A46="","",_xlfn.XLOOKUP(A46,'DISPATCH SHEET'!B$3:B$121,'DISPATCH SHEET'!C$3:C$121,""))</f>
        <v/>
      </c>
      <c r="C46" s="14" t="str">
        <f>IF(ISBLANK(A46),"",_xlfn.XLOOKUP(A46,'DISPATCH SHEET'!B$3:B$121,'DISPATCH SHEET'!#REF!,""))</f>
        <v/>
      </c>
      <c r="D46" s="14"/>
      <c r="E46" s="15"/>
      <c r="F46" s="16"/>
      <c r="G46" s="17" t="s">
        <v>0</v>
      </c>
      <c r="H46" s="15"/>
      <c r="I46" s="14" t="s">
        <v>0</v>
      </c>
      <c r="J46" s="14"/>
      <c r="K46" s="18"/>
    </row>
    <row r="47" spans="1:11" s="5" customFormat="1" ht="15" customHeight="1" x14ac:dyDescent="0.2">
      <c r="A47" s="13"/>
      <c r="B47" s="14" t="str">
        <f>IF(A47="","",_xlfn.XLOOKUP(A47,'DISPATCH SHEET'!B$3:B$121,'DISPATCH SHEET'!C$3:C$121,""))</f>
        <v/>
      </c>
      <c r="C47" s="14" t="str">
        <f>IF(ISBLANK(A47),"",_xlfn.XLOOKUP(A47,'DISPATCH SHEET'!B$3:B$121,'DISPATCH SHEET'!#REF!,""))</f>
        <v/>
      </c>
      <c r="D47" s="14"/>
      <c r="E47" s="15"/>
      <c r="F47" s="16"/>
      <c r="G47" s="17" t="s">
        <v>0</v>
      </c>
      <c r="H47" s="15"/>
      <c r="I47" s="14" t="s">
        <v>0</v>
      </c>
      <c r="J47" s="14"/>
      <c r="K47" s="18"/>
    </row>
    <row r="48" spans="1:11" s="5" customFormat="1" ht="15" customHeight="1" x14ac:dyDescent="0.2">
      <c r="A48" s="13"/>
      <c r="B48" s="14" t="str">
        <f>IF(A48="","",_xlfn.XLOOKUP(A48,'DISPATCH SHEET'!B$3:B$121,'DISPATCH SHEET'!C$3:C$121,""))</f>
        <v/>
      </c>
      <c r="C48" s="14" t="str">
        <f>IF(ISBLANK(A48),"",_xlfn.XLOOKUP(A48,'DISPATCH SHEET'!B$3:B$121,'DISPATCH SHEET'!#REF!,""))</f>
        <v/>
      </c>
      <c r="D48" s="14"/>
      <c r="E48" s="15"/>
      <c r="F48" s="16"/>
      <c r="G48" s="17" t="s">
        <v>0</v>
      </c>
      <c r="H48" s="15"/>
      <c r="I48" s="14" t="s">
        <v>0</v>
      </c>
      <c r="J48" s="14"/>
      <c r="K48" s="18"/>
    </row>
    <row r="49" spans="1:11" s="5" customFormat="1" ht="15" customHeight="1" x14ac:dyDescent="0.2">
      <c r="A49" s="13"/>
      <c r="B49" s="14" t="str">
        <f>IF(A49="","",_xlfn.XLOOKUP(A49,'DISPATCH SHEET'!B$3:B$121,'DISPATCH SHEET'!C$3:C$121,""))</f>
        <v/>
      </c>
      <c r="C49" s="14" t="str">
        <f>IF(ISBLANK(A49),"",_xlfn.XLOOKUP(A49,'DISPATCH SHEET'!B$3:B$121,'DISPATCH SHEET'!#REF!,""))</f>
        <v/>
      </c>
      <c r="D49" s="14"/>
      <c r="E49" s="15"/>
      <c r="F49" s="16"/>
      <c r="G49" s="17" t="s">
        <v>0</v>
      </c>
      <c r="H49" s="15"/>
      <c r="I49" s="14" t="s">
        <v>0</v>
      </c>
      <c r="J49" s="14"/>
      <c r="K49" s="18"/>
    </row>
    <row r="50" spans="1:11" s="5" customFormat="1" ht="15" customHeight="1" x14ac:dyDescent="0.2">
      <c r="A50" s="13"/>
      <c r="B50" s="14" t="str">
        <f>IF(A50="","",_xlfn.XLOOKUP(A50,'DISPATCH SHEET'!B$3:B$121,'DISPATCH SHEET'!C$3:C$121,""))</f>
        <v/>
      </c>
      <c r="C50" s="14" t="str">
        <f>IF(ISBLANK(A50),"",_xlfn.XLOOKUP(A50,'DISPATCH SHEET'!B$3:B$121,'DISPATCH SHEET'!#REF!,""))</f>
        <v/>
      </c>
      <c r="D50" s="14"/>
      <c r="E50" s="15"/>
      <c r="F50" s="16"/>
      <c r="G50" s="17" t="s">
        <v>0</v>
      </c>
      <c r="H50" s="15"/>
      <c r="I50" s="14" t="s">
        <v>0</v>
      </c>
      <c r="J50" s="14"/>
      <c r="K50" s="18"/>
    </row>
    <row r="51" spans="1:11" s="5" customFormat="1" ht="15" customHeight="1" x14ac:dyDescent="0.2">
      <c r="A51" s="13"/>
      <c r="B51" s="14" t="str">
        <f>IF(A51="","",_xlfn.XLOOKUP(A51,'DISPATCH SHEET'!B$3:B$121,'DISPATCH SHEET'!C$3:C$121,""))</f>
        <v/>
      </c>
      <c r="C51" s="14" t="str">
        <f>IF(ISBLANK(A51),"",_xlfn.XLOOKUP(A51,'DISPATCH SHEET'!B$3:B$121,'DISPATCH SHEET'!#REF!,""))</f>
        <v/>
      </c>
      <c r="D51" s="14"/>
      <c r="E51" s="15"/>
      <c r="F51" s="16"/>
      <c r="G51" s="17" t="s">
        <v>0</v>
      </c>
      <c r="H51" s="15"/>
      <c r="I51" s="14" t="s">
        <v>0</v>
      </c>
      <c r="J51" s="14"/>
      <c r="K51" s="18"/>
    </row>
    <row r="52" spans="1:11" s="5" customFormat="1" ht="15" customHeight="1" x14ac:dyDescent="0.2">
      <c r="A52" s="13"/>
      <c r="B52" s="14" t="str">
        <f>IF(A52="","",_xlfn.XLOOKUP(A52,'DISPATCH SHEET'!B$3:B$121,'DISPATCH SHEET'!C$3:C$121,""))</f>
        <v/>
      </c>
      <c r="C52" s="14" t="str">
        <f>IF(ISBLANK(A52),"",_xlfn.XLOOKUP(A52,'DISPATCH SHEET'!B$3:B$121,'DISPATCH SHEET'!#REF!,""))</f>
        <v/>
      </c>
      <c r="D52" s="14"/>
      <c r="E52" s="15"/>
      <c r="F52" s="16"/>
      <c r="G52" s="17" t="s">
        <v>0</v>
      </c>
      <c r="H52" s="15"/>
      <c r="I52" s="14" t="s">
        <v>0</v>
      </c>
      <c r="J52" s="14"/>
      <c r="K52" s="18"/>
    </row>
    <row r="53" spans="1:11" s="5" customFormat="1" ht="15" customHeight="1" x14ac:dyDescent="0.2">
      <c r="A53" s="13"/>
      <c r="B53" s="14" t="str">
        <f>IF(A53="","",_xlfn.XLOOKUP(A53,'DISPATCH SHEET'!B$3:B$121,'DISPATCH SHEET'!C$3:C$121,""))</f>
        <v/>
      </c>
      <c r="C53" s="14" t="str">
        <f>IF(ISBLANK(A53),"",_xlfn.XLOOKUP(A53,'DISPATCH SHEET'!B$3:B$121,'DISPATCH SHEET'!#REF!,""))</f>
        <v/>
      </c>
      <c r="D53" s="14"/>
      <c r="E53" s="15"/>
      <c r="F53" s="16"/>
      <c r="G53" s="17" t="s">
        <v>0</v>
      </c>
      <c r="H53" s="15"/>
      <c r="I53" s="14" t="s">
        <v>0</v>
      </c>
      <c r="J53" s="14"/>
      <c r="K53" s="18"/>
    </row>
    <row r="54" spans="1:11" s="5" customFormat="1" ht="15" customHeight="1" x14ac:dyDescent="0.2">
      <c r="A54" s="13"/>
      <c r="B54" s="14" t="str">
        <f>IF(A54="","",_xlfn.XLOOKUP(A54,'DISPATCH SHEET'!B$3:B$121,'DISPATCH SHEET'!C$3:C$121,""))</f>
        <v/>
      </c>
      <c r="C54" s="14" t="str">
        <f>IF(ISBLANK(A54),"",_xlfn.XLOOKUP(A54,'DISPATCH SHEET'!B$3:B$121,'DISPATCH SHEET'!#REF!,""))</f>
        <v/>
      </c>
      <c r="D54" s="14"/>
      <c r="E54" s="15"/>
      <c r="F54" s="16"/>
      <c r="G54" s="17" t="s">
        <v>0</v>
      </c>
      <c r="H54" s="15"/>
      <c r="I54" s="14" t="s">
        <v>0</v>
      </c>
      <c r="J54" s="14"/>
      <c r="K54" s="18"/>
    </row>
    <row r="55" spans="1:11" s="5" customFormat="1" ht="15" customHeight="1" x14ac:dyDescent="0.2">
      <c r="A55" s="13"/>
      <c r="B55" s="14" t="str">
        <f>IF(A55="","",_xlfn.XLOOKUP(A55,'DISPATCH SHEET'!B$3:B$121,'DISPATCH SHEET'!C$3:C$121,""))</f>
        <v/>
      </c>
      <c r="C55" s="14" t="str">
        <f>IF(ISBLANK(A55),"",_xlfn.XLOOKUP(A55,'DISPATCH SHEET'!B$3:B$121,'DISPATCH SHEET'!#REF!,""))</f>
        <v/>
      </c>
      <c r="D55" s="14"/>
      <c r="E55" s="15"/>
      <c r="F55" s="16"/>
      <c r="G55" s="17" t="s">
        <v>0</v>
      </c>
      <c r="H55" s="15"/>
      <c r="I55" s="14" t="s">
        <v>0</v>
      </c>
      <c r="J55" s="14"/>
      <c r="K55" s="18"/>
    </row>
    <row r="56" spans="1:11" s="5" customFormat="1" ht="15" customHeight="1" x14ac:dyDescent="0.2">
      <c r="A56" s="13"/>
      <c r="B56" s="14" t="str">
        <f>IF(A56="","",_xlfn.XLOOKUP(A56,'DISPATCH SHEET'!B$3:B$121,'DISPATCH SHEET'!C$3:C$121,""))</f>
        <v/>
      </c>
      <c r="C56" s="14" t="str">
        <f>IF(ISBLANK(A56),"",_xlfn.XLOOKUP(A56,'DISPATCH SHEET'!B$3:B$121,'DISPATCH SHEET'!#REF!,""))</f>
        <v/>
      </c>
      <c r="D56" s="14"/>
      <c r="E56" s="15"/>
      <c r="F56" s="16"/>
      <c r="G56" s="17" t="s">
        <v>0</v>
      </c>
      <c r="H56" s="15"/>
      <c r="I56" s="14" t="s">
        <v>0</v>
      </c>
      <c r="J56" s="14"/>
      <c r="K56" s="18"/>
    </row>
    <row r="57" spans="1:11" s="5" customFormat="1" ht="15" customHeight="1" x14ac:dyDescent="0.2">
      <c r="A57" s="13"/>
      <c r="B57" s="14" t="str">
        <f>IF(A57="","",_xlfn.XLOOKUP(A57,'DISPATCH SHEET'!B$3:B$121,'DISPATCH SHEET'!C$3:C$121,""))</f>
        <v/>
      </c>
      <c r="C57" s="14" t="str">
        <f>IF(ISBLANK(A57),"",_xlfn.XLOOKUP(A57,'DISPATCH SHEET'!B$3:B$121,'DISPATCH SHEET'!#REF!,""))</f>
        <v/>
      </c>
      <c r="D57" s="14"/>
      <c r="E57" s="15"/>
      <c r="F57" s="16"/>
      <c r="G57" s="17" t="s">
        <v>0</v>
      </c>
      <c r="H57" s="15"/>
      <c r="I57" s="14" t="s">
        <v>0</v>
      </c>
      <c r="J57" s="14"/>
      <c r="K57" s="18"/>
    </row>
    <row r="58" spans="1:11" s="5" customFormat="1" ht="15" customHeight="1" x14ac:dyDescent="0.2">
      <c r="A58" s="13"/>
      <c r="B58" s="14" t="str">
        <f>IF(A58="","",_xlfn.XLOOKUP(A58,'DISPATCH SHEET'!B$3:B$121,'DISPATCH SHEET'!C$3:C$121,""))</f>
        <v/>
      </c>
      <c r="C58" s="14" t="str">
        <f>IF(ISBLANK(A58),"",_xlfn.XLOOKUP(A58,'DISPATCH SHEET'!B$3:B$121,'DISPATCH SHEET'!#REF!,""))</f>
        <v/>
      </c>
      <c r="D58" s="14"/>
      <c r="E58" s="15"/>
      <c r="F58" s="16"/>
      <c r="G58" s="17" t="s">
        <v>0</v>
      </c>
      <c r="H58" s="15"/>
      <c r="I58" s="14" t="s">
        <v>0</v>
      </c>
      <c r="J58" s="14"/>
      <c r="K58" s="18"/>
    </row>
    <row r="59" spans="1:11" s="5" customFormat="1" ht="15" customHeight="1" x14ac:dyDescent="0.2">
      <c r="A59" s="13"/>
      <c r="B59" s="14" t="str">
        <f>IF(A59="","",_xlfn.XLOOKUP(A59,'DISPATCH SHEET'!B$3:B$121,'DISPATCH SHEET'!C$3:C$121,""))</f>
        <v/>
      </c>
      <c r="C59" s="14" t="str">
        <f>IF(ISBLANK(A59),"",_xlfn.XLOOKUP(A59,'DISPATCH SHEET'!B$3:B$121,'DISPATCH SHEET'!#REF!,""))</f>
        <v/>
      </c>
      <c r="D59" s="14"/>
      <c r="E59" s="15"/>
      <c r="F59" s="16"/>
      <c r="G59" s="17" t="s">
        <v>0</v>
      </c>
      <c r="H59" s="15"/>
      <c r="I59" s="14" t="s">
        <v>0</v>
      </c>
      <c r="J59" s="14"/>
      <c r="K59" s="18"/>
    </row>
    <row r="60" spans="1:11" s="5" customFormat="1" ht="15" customHeight="1" x14ac:dyDescent="0.2">
      <c r="A60" s="13"/>
      <c r="B60" s="14" t="str">
        <f>IF(A60="","",_xlfn.XLOOKUP(A60,'DISPATCH SHEET'!B$3:B$121,'DISPATCH SHEET'!C$3:C$121,""))</f>
        <v/>
      </c>
      <c r="C60" s="14" t="str">
        <f>IF(ISBLANK(A60),"",_xlfn.XLOOKUP(A60,'DISPATCH SHEET'!B$3:B$121,'DISPATCH SHEET'!#REF!,""))</f>
        <v/>
      </c>
      <c r="D60" s="14"/>
      <c r="E60" s="15"/>
      <c r="F60" s="16"/>
      <c r="G60" s="17" t="s">
        <v>0</v>
      </c>
      <c r="H60" s="15"/>
      <c r="I60" s="14" t="s">
        <v>0</v>
      </c>
      <c r="J60" s="14"/>
      <c r="K60" s="18"/>
    </row>
    <row r="61" spans="1:11" s="5" customFormat="1" ht="15" customHeight="1" x14ac:dyDescent="0.2">
      <c r="A61" s="13"/>
      <c r="B61" s="14" t="str">
        <f>IF(A61="","",_xlfn.XLOOKUP(A61,'DISPATCH SHEET'!B$3:B$121,'DISPATCH SHEET'!C$3:C$121,""))</f>
        <v/>
      </c>
      <c r="C61" s="14" t="str">
        <f>IF(ISBLANK(A61),"",_xlfn.XLOOKUP(A61,'DISPATCH SHEET'!B$3:B$121,'DISPATCH SHEET'!#REF!,""))</f>
        <v/>
      </c>
      <c r="D61" s="14"/>
      <c r="E61" s="15"/>
      <c r="F61" s="16"/>
      <c r="G61" s="17" t="s">
        <v>0</v>
      </c>
      <c r="H61" s="15"/>
      <c r="I61" s="14" t="s">
        <v>0</v>
      </c>
      <c r="J61" s="14"/>
      <c r="K61" s="18"/>
    </row>
    <row r="62" spans="1:11" s="5" customFormat="1" ht="15" customHeight="1" x14ac:dyDescent="0.2">
      <c r="A62" s="13"/>
      <c r="B62" s="14" t="str">
        <f>IF(A62="","",_xlfn.XLOOKUP(A62,'DISPATCH SHEET'!B$3:B$121,'DISPATCH SHEET'!C$3:C$121,""))</f>
        <v/>
      </c>
      <c r="C62" s="14" t="str">
        <f>IF(ISBLANK(A62),"",_xlfn.XLOOKUP(A62,'DISPATCH SHEET'!B$3:B$121,'DISPATCH SHEET'!#REF!,""))</f>
        <v/>
      </c>
      <c r="D62" s="14"/>
      <c r="E62" s="15"/>
      <c r="F62" s="16"/>
      <c r="G62" s="17" t="s">
        <v>0</v>
      </c>
      <c r="H62" s="15"/>
      <c r="I62" s="14" t="s">
        <v>0</v>
      </c>
      <c r="J62" s="14"/>
      <c r="K62" s="18"/>
    </row>
    <row r="63" spans="1:11" s="5" customFormat="1" ht="15" customHeight="1" x14ac:dyDescent="0.2">
      <c r="A63" s="13"/>
      <c r="B63" s="14" t="str">
        <f>IF(A63="","",_xlfn.XLOOKUP(A63,'DISPATCH SHEET'!B$3:B$121,'DISPATCH SHEET'!C$3:C$121,""))</f>
        <v/>
      </c>
      <c r="C63" s="14" t="str">
        <f>IF(ISBLANK(A63),"",_xlfn.XLOOKUP(A63,'DISPATCH SHEET'!B$3:B$121,'DISPATCH SHEET'!#REF!,""))</f>
        <v/>
      </c>
      <c r="D63" s="14"/>
      <c r="E63" s="15"/>
      <c r="F63" s="16"/>
      <c r="G63" s="17" t="s">
        <v>0</v>
      </c>
      <c r="H63" s="15"/>
      <c r="I63" s="14" t="s">
        <v>0</v>
      </c>
      <c r="J63" s="14"/>
      <c r="K63" s="18"/>
    </row>
    <row r="64" spans="1:11" s="5" customFormat="1" ht="15" customHeight="1" x14ac:dyDescent="0.2">
      <c r="A64" s="13"/>
      <c r="B64" s="14" t="str">
        <f>IF(A64="","",_xlfn.XLOOKUP(A64,'DISPATCH SHEET'!B$3:B$121,'DISPATCH SHEET'!C$3:C$121,""))</f>
        <v/>
      </c>
      <c r="C64" s="14" t="str">
        <f>IF(ISBLANK(A64),"",_xlfn.XLOOKUP(A64,'DISPATCH SHEET'!B$3:B$121,'DISPATCH SHEET'!#REF!,""))</f>
        <v/>
      </c>
      <c r="D64" s="14"/>
      <c r="E64" s="15"/>
      <c r="F64" s="16"/>
      <c r="G64" s="17" t="s">
        <v>0</v>
      </c>
      <c r="H64" s="15"/>
      <c r="I64" s="14" t="s">
        <v>0</v>
      </c>
      <c r="J64" s="14"/>
      <c r="K64" s="18"/>
    </row>
    <row r="65" spans="1:11" s="5" customFormat="1" ht="15" customHeight="1" x14ac:dyDescent="0.2">
      <c r="A65" s="13"/>
      <c r="B65" s="14" t="str">
        <f>IF(A65="","",_xlfn.XLOOKUP(A65,'DISPATCH SHEET'!B$3:B$121,'DISPATCH SHEET'!C$3:C$121,""))</f>
        <v/>
      </c>
      <c r="C65" s="14" t="str">
        <f>IF(ISBLANK(A65),"",_xlfn.XLOOKUP(A65,'DISPATCH SHEET'!B$3:B$121,'DISPATCH SHEET'!#REF!,""))</f>
        <v/>
      </c>
      <c r="D65" s="14"/>
      <c r="E65" s="15"/>
      <c r="F65" s="16"/>
      <c r="G65" s="17" t="s">
        <v>0</v>
      </c>
      <c r="H65" s="15"/>
      <c r="I65" s="14" t="s">
        <v>0</v>
      </c>
      <c r="J65" s="14"/>
      <c r="K65" s="18"/>
    </row>
    <row r="66" spans="1:11" s="5" customFormat="1" ht="15" customHeight="1" x14ac:dyDescent="0.2">
      <c r="A66" s="13"/>
      <c r="B66" s="14" t="str">
        <f>IF(A66="","",_xlfn.XLOOKUP(A66,'DISPATCH SHEET'!B$3:B$121,'DISPATCH SHEET'!C$3:C$121,""))</f>
        <v/>
      </c>
      <c r="C66" s="14" t="str">
        <f>IF(ISBLANK(A66),"",_xlfn.XLOOKUP(A66,'DISPATCH SHEET'!B$3:B$121,'DISPATCH SHEET'!#REF!,""))</f>
        <v/>
      </c>
      <c r="D66" s="14"/>
      <c r="E66" s="15"/>
      <c r="F66" s="16"/>
      <c r="G66" s="17" t="s">
        <v>0</v>
      </c>
      <c r="H66" s="15"/>
      <c r="I66" s="14" t="s">
        <v>0</v>
      </c>
      <c r="J66" s="14"/>
      <c r="K66" s="18"/>
    </row>
    <row r="67" spans="1:11" s="5" customFormat="1" ht="15" customHeight="1" x14ac:dyDescent="0.2">
      <c r="A67" s="13"/>
      <c r="B67" s="14" t="str">
        <f>IF(A67="","",_xlfn.XLOOKUP(A67,'DISPATCH SHEET'!B$3:B$121,'DISPATCH SHEET'!C$3:C$121,""))</f>
        <v/>
      </c>
      <c r="C67" s="14" t="str">
        <f>IF(ISBLANK(A67),"",_xlfn.XLOOKUP(A67,'DISPATCH SHEET'!B$3:B$121,'DISPATCH SHEET'!#REF!,""))</f>
        <v/>
      </c>
      <c r="D67" s="14"/>
      <c r="E67" s="15"/>
      <c r="F67" s="16"/>
      <c r="G67" s="17" t="s">
        <v>0</v>
      </c>
      <c r="H67" s="15"/>
      <c r="I67" s="14" t="s">
        <v>0</v>
      </c>
      <c r="J67" s="14"/>
      <c r="K67" s="18"/>
    </row>
    <row r="68" spans="1:11" s="5" customFormat="1" ht="15" customHeight="1" x14ac:dyDescent="0.2">
      <c r="A68" s="13"/>
      <c r="B68" s="14" t="str">
        <f>IF(A68="","",_xlfn.XLOOKUP(A68,'DISPATCH SHEET'!B$3:B$121,'DISPATCH SHEET'!C$3:C$121,""))</f>
        <v/>
      </c>
      <c r="C68" s="14" t="str">
        <f>IF(ISBLANK(A68),"",_xlfn.XLOOKUP(A68,'DISPATCH SHEET'!B$3:B$121,'DISPATCH SHEET'!#REF!,""))</f>
        <v/>
      </c>
      <c r="D68" s="14"/>
      <c r="E68" s="15"/>
      <c r="F68" s="16"/>
      <c r="G68" s="17" t="s">
        <v>0</v>
      </c>
      <c r="H68" s="15"/>
      <c r="I68" s="14" t="s">
        <v>0</v>
      </c>
      <c r="J68" s="14"/>
      <c r="K68" s="18"/>
    </row>
    <row r="69" spans="1:11" s="5" customFormat="1" ht="15" customHeight="1" x14ac:dyDescent="0.2">
      <c r="A69" s="13"/>
      <c r="B69" s="14" t="str">
        <f>IF(A69="","",_xlfn.XLOOKUP(A69,'DISPATCH SHEET'!B$3:B$121,'DISPATCH SHEET'!C$3:C$121,""))</f>
        <v/>
      </c>
      <c r="C69" s="14" t="str">
        <f>IF(ISBLANK(A69),"",_xlfn.XLOOKUP(A69,'DISPATCH SHEET'!B$3:B$121,'DISPATCH SHEET'!#REF!,""))</f>
        <v/>
      </c>
      <c r="D69" s="14"/>
      <c r="E69" s="15"/>
      <c r="F69" s="16"/>
      <c r="G69" s="17" t="s">
        <v>0</v>
      </c>
      <c r="H69" s="15"/>
      <c r="I69" s="14" t="s">
        <v>0</v>
      </c>
      <c r="J69" s="14"/>
      <c r="K69" s="18"/>
    </row>
    <row r="70" spans="1:11" s="5" customFormat="1" ht="15" customHeight="1" x14ac:dyDescent="0.2">
      <c r="A70" s="13"/>
      <c r="B70" s="14" t="str">
        <f>IF(A70="","",_xlfn.XLOOKUP(A70,'DISPATCH SHEET'!B$3:B$121,'DISPATCH SHEET'!C$3:C$121,""))</f>
        <v/>
      </c>
      <c r="C70" s="14" t="str">
        <f>IF(ISBLANK(A70),"",_xlfn.XLOOKUP(A70,'DISPATCH SHEET'!B$3:B$121,'DISPATCH SHEET'!#REF!,""))</f>
        <v/>
      </c>
      <c r="D70" s="14"/>
      <c r="E70" s="15"/>
      <c r="F70" s="16"/>
      <c r="G70" s="17" t="s">
        <v>0</v>
      </c>
      <c r="H70" s="15"/>
      <c r="I70" s="14" t="s">
        <v>0</v>
      </c>
      <c r="J70" s="14"/>
      <c r="K70" s="18"/>
    </row>
    <row r="71" spans="1:11" s="5" customFormat="1" ht="15" customHeight="1" x14ac:dyDescent="0.2">
      <c r="A71" s="13"/>
      <c r="B71" s="14" t="str">
        <f>IF(A71="","",_xlfn.XLOOKUP(A71,'DISPATCH SHEET'!B$3:B$121,'DISPATCH SHEET'!C$3:C$121,""))</f>
        <v/>
      </c>
      <c r="C71" s="14" t="str">
        <f>IF(ISBLANK(A71),"",_xlfn.XLOOKUP(A71,'DISPATCH SHEET'!B$3:B$121,'DISPATCH SHEET'!#REF!,""))</f>
        <v/>
      </c>
      <c r="D71" s="14"/>
      <c r="E71" s="15"/>
      <c r="F71" s="16"/>
      <c r="G71" s="17" t="s">
        <v>0</v>
      </c>
      <c r="H71" s="15"/>
      <c r="I71" s="14" t="s">
        <v>0</v>
      </c>
      <c r="J71" s="14"/>
      <c r="K71" s="18"/>
    </row>
    <row r="72" spans="1:11" s="5" customFormat="1" ht="15" customHeight="1" x14ac:dyDescent="0.2">
      <c r="A72" s="13"/>
      <c r="B72" s="14" t="str">
        <f>IF(A72="","",_xlfn.XLOOKUP(A72,'DISPATCH SHEET'!B$3:B$121,'DISPATCH SHEET'!C$3:C$121,""))</f>
        <v/>
      </c>
      <c r="C72" s="14" t="str">
        <f>IF(ISBLANK(A72),"",_xlfn.XLOOKUP(A72,'DISPATCH SHEET'!B$3:B$121,'DISPATCH SHEET'!#REF!,""))</f>
        <v/>
      </c>
      <c r="D72" s="14"/>
      <c r="E72" s="15"/>
      <c r="F72" s="16"/>
      <c r="G72" s="17" t="s">
        <v>0</v>
      </c>
      <c r="H72" s="15"/>
      <c r="I72" s="14" t="s">
        <v>0</v>
      </c>
      <c r="J72" s="14"/>
      <c r="K72" s="18"/>
    </row>
    <row r="73" spans="1:11" s="5" customFormat="1" ht="15" customHeight="1" x14ac:dyDescent="0.2">
      <c r="A73" s="13"/>
      <c r="B73" s="14" t="str">
        <f>IF(A73="","",_xlfn.XLOOKUP(A73,'DISPATCH SHEET'!B$3:B$121,'DISPATCH SHEET'!C$3:C$121,""))</f>
        <v/>
      </c>
      <c r="C73" s="14" t="str">
        <f>IF(ISBLANK(A73),"",_xlfn.XLOOKUP(A73,'DISPATCH SHEET'!B$3:B$121,'DISPATCH SHEET'!#REF!,""))</f>
        <v/>
      </c>
      <c r="D73" s="14"/>
      <c r="E73" s="15"/>
      <c r="F73" s="16"/>
      <c r="G73" s="17" t="s">
        <v>0</v>
      </c>
      <c r="H73" s="15"/>
      <c r="I73" s="14" t="s">
        <v>0</v>
      </c>
      <c r="J73" s="14"/>
      <c r="K73" s="18"/>
    </row>
    <row r="74" spans="1:11" s="5" customFormat="1" ht="15" customHeight="1" x14ac:dyDescent="0.2">
      <c r="A74" s="13"/>
      <c r="B74" s="14" t="str">
        <f>IF(A74="","",_xlfn.XLOOKUP(A74,'DISPATCH SHEET'!B$3:B$121,'DISPATCH SHEET'!C$3:C$121,""))</f>
        <v/>
      </c>
      <c r="C74" s="14" t="str">
        <f>IF(ISBLANK(A74),"",_xlfn.XLOOKUP(A74,'DISPATCH SHEET'!B$3:B$121,'DISPATCH SHEET'!#REF!,""))</f>
        <v/>
      </c>
      <c r="D74" s="14"/>
      <c r="E74" s="15"/>
      <c r="F74" s="16"/>
      <c r="G74" s="17" t="s">
        <v>0</v>
      </c>
      <c r="H74" s="15"/>
      <c r="I74" s="14" t="s">
        <v>0</v>
      </c>
      <c r="J74" s="14"/>
      <c r="K74" s="18"/>
    </row>
    <row r="75" spans="1:11" s="5" customFormat="1" ht="15" customHeight="1" x14ac:dyDescent="0.2">
      <c r="A75" s="13"/>
      <c r="B75" s="14" t="str">
        <f>IF(A75="","",_xlfn.XLOOKUP(A75,'DISPATCH SHEET'!B$3:B$121,'DISPATCH SHEET'!C$3:C$121,""))</f>
        <v/>
      </c>
      <c r="C75" s="14" t="str">
        <f>IF(ISBLANK(A75),"",_xlfn.XLOOKUP(A75,'DISPATCH SHEET'!B$3:B$121,'DISPATCH SHEET'!#REF!,""))</f>
        <v/>
      </c>
      <c r="D75" s="14"/>
      <c r="E75" s="15"/>
      <c r="F75" s="16"/>
      <c r="G75" s="17" t="s">
        <v>0</v>
      </c>
      <c r="H75" s="15"/>
      <c r="I75" s="14" t="s">
        <v>0</v>
      </c>
      <c r="J75" s="14"/>
      <c r="K75" s="18"/>
    </row>
    <row r="76" spans="1:11" s="5" customFormat="1" ht="15" customHeight="1" x14ac:dyDescent="0.2">
      <c r="A76" s="13"/>
      <c r="B76" s="14" t="str">
        <f>IF(A76="","",_xlfn.XLOOKUP(A76,'DISPATCH SHEET'!B$3:B$121,'DISPATCH SHEET'!C$3:C$121,""))</f>
        <v/>
      </c>
      <c r="C76" s="14" t="str">
        <f>IF(ISBLANK(A76),"",_xlfn.XLOOKUP(A76,'DISPATCH SHEET'!B$3:B$121,'DISPATCH SHEET'!#REF!,""))</f>
        <v/>
      </c>
      <c r="D76" s="14"/>
      <c r="E76" s="15"/>
      <c r="F76" s="16"/>
      <c r="G76" s="17" t="s">
        <v>0</v>
      </c>
      <c r="H76" s="15"/>
      <c r="I76" s="14" t="s">
        <v>0</v>
      </c>
      <c r="J76" s="14"/>
      <c r="K76" s="18"/>
    </row>
    <row r="77" spans="1:11" s="5" customFormat="1" ht="15" customHeight="1" x14ac:dyDescent="0.2">
      <c r="A77" s="13"/>
      <c r="B77" s="14" t="str">
        <f>IF(A77="","",_xlfn.XLOOKUP(A77,'DISPATCH SHEET'!B$3:B$121,'DISPATCH SHEET'!C$3:C$121,""))</f>
        <v/>
      </c>
      <c r="C77" s="14" t="str">
        <f>IF(ISBLANK(A77),"",_xlfn.XLOOKUP(A77,'DISPATCH SHEET'!B$3:B$121,'DISPATCH SHEET'!#REF!,""))</f>
        <v/>
      </c>
      <c r="D77" s="14"/>
      <c r="E77" s="15"/>
      <c r="F77" s="16"/>
      <c r="G77" s="17" t="s">
        <v>0</v>
      </c>
      <c r="H77" s="15"/>
      <c r="I77" s="14" t="s">
        <v>0</v>
      </c>
      <c r="J77" s="14"/>
      <c r="K77" s="18"/>
    </row>
    <row r="78" spans="1:11" s="5" customFormat="1" ht="15" customHeight="1" x14ac:dyDescent="0.2">
      <c r="A78" s="13"/>
      <c r="B78" s="14" t="str">
        <f>IF(A78="","",_xlfn.XLOOKUP(A78,'DISPATCH SHEET'!B$3:B$121,'DISPATCH SHEET'!C$3:C$121,""))</f>
        <v/>
      </c>
      <c r="C78" s="14" t="str">
        <f>IF(ISBLANK(A78),"",_xlfn.XLOOKUP(A78,'DISPATCH SHEET'!B$3:B$121,'DISPATCH SHEET'!#REF!,""))</f>
        <v/>
      </c>
      <c r="D78" s="14"/>
      <c r="E78" s="15"/>
      <c r="F78" s="16"/>
      <c r="G78" s="17" t="s">
        <v>0</v>
      </c>
      <c r="H78" s="15"/>
      <c r="I78" s="14" t="s">
        <v>0</v>
      </c>
      <c r="J78" s="14"/>
      <c r="K78" s="18"/>
    </row>
    <row r="79" spans="1:11" s="5" customFormat="1" ht="15" customHeight="1" x14ac:dyDescent="0.2">
      <c r="A79" s="13"/>
      <c r="B79" s="14" t="str">
        <f>IF(A79="","",_xlfn.XLOOKUP(A79,'DISPATCH SHEET'!B$3:B$121,'DISPATCH SHEET'!C$3:C$121,""))</f>
        <v/>
      </c>
      <c r="C79" s="14" t="str">
        <f>IF(ISBLANK(A79),"",_xlfn.XLOOKUP(A79,'DISPATCH SHEET'!B$3:B$121,'DISPATCH SHEET'!#REF!,""))</f>
        <v/>
      </c>
      <c r="D79" s="14"/>
      <c r="E79" s="15"/>
      <c r="F79" s="16"/>
      <c r="G79" s="17" t="s">
        <v>0</v>
      </c>
      <c r="H79" s="15"/>
      <c r="I79" s="14" t="s">
        <v>0</v>
      </c>
      <c r="J79" s="14"/>
      <c r="K79" s="18"/>
    </row>
    <row r="80" spans="1:11" s="5" customFormat="1" ht="15" customHeight="1" x14ac:dyDescent="0.2">
      <c r="A80" s="13"/>
      <c r="B80" s="14" t="str">
        <f>IF(A80="","",_xlfn.XLOOKUP(A80,'DISPATCH SHEET'!B$3:B$121,'DISPATCH SHEET'!C$3:C$121,""))</f>
        <v/>
      </c>
      <c r="C80" s="14" t="str">
        <f>IF(ISBLANK(A80),"",_xlfn.XLOOKUP(A80,'DISPATCH SHEET'!B$3:B$121,'DISPATCH SHEET'!#REF!,""))</f>
        <v/>
      </c>
      <c r="D80" s="14"/>
      <c r="E80" s="15"/>
      <c r="F80" s="16"/>
      <c r="G80" s="17" t="s">
        <v>0</v>
      </c>
      <c r="H80" s="15"/>
      <c r="I80" s="14" t="s">
        <v>0</v>
      </c>
      <c r="J80" s="14"/>
      <c r="K80" s="18"/>
    </row>
    <row r="81" spans="1:11" s="5" customFormat="1" ht="15" customHeight="1" x14ac:dyDescent="0.2">
      <c r="A81" s="13"/>
      <c r="B81" s="14" t="str">
        <f>IF(A81="","",_xlfn.XLOOKUP(A81,'DISPATCH SHEET'!B$3:B$121,'DISPATCH SHEET'!C$3:C$121,""))</f>
        <v/>
      </c>
      <c r="C81" s="14" t="str">
        <f>IF(ISBLANK(A81),"",_xlfn.XLOOKUP(A81,'DISPATCH SHEET'!B$3:B$121,'DISPATCH SHEET'!#REF!,""))</f>
        <v/>
      </c>
      <c r="D81" s="14"/>
      <c r="E81" s="15"/>
      <c r="F81" s="16"/>
      <c r="G81" s="17" t="s">
        <v>0</v>
      </c>
      <c r="H81" s="15"/>
      <c r="I81" s="14" t="s">
        <v>0</v>
      </c>
      <c r="J81" s="14"/>
      <c r="K81" s="18"/>
    </row>
    <row r="82" spans="1:11" s="5" customFormat="1" ht="15" customHeight="1" x14ac:dyDescent="0.2">
      <c r="A82" s="13"/>
      <c r="B82" s="14" t="str">
        <f>IF(A82="","",_xlfn.XLOOKUP(A82,'DISPATCH SHEET'!B$3:B$121,'DISPATCH SHEET'!C$3:C$121,""))</f>
        <v/>
      </c>
      <c r="C82" s="14" t="str">
        <f>IF(ISBLANK(A82),"",_xlfn.XLOOKUP(A82,'DISPATCH SHEET'!B$3:B$121,'DISPATCH SHEET'!#REF!,""))</f>
        <v/>
      </c>
      <c r="D82" s="14"/>
      <c r="E82" s="15"/>
      <c r="F82" s="16"/>
      <c r="G82" s="17" t="s">
        <v>0</v>
      </c>
      <c r="H82" s="15"/>
      <c r="I82" s="14" t="s">
        <v>0</v>
      </c>
      <c r="J82" s="14"/>
      <c r="K82" s="18"/>
    </row>
    <row r="83" spans="1:11" s="5" customFormat="1" ht="15" customHeight="1" x14ac:dyDescent="0.2">
      <c r="A83" s="13"/>
      <c r="B83" s="14" t="str">
        <f>IF(A83="","",_xlfn.XLOOKUP(A83,'DISPATCH SHEET'!B$3:B$121,'DISPATCH SHEET'!C$3:C$121,""))</f>
        <v/>
      </c>
      <c r="C83" s="14" t="str">
        <f>IF(ISBLANK(A83),"",_xlfn.XLOOKUP(A83,'DISPATCH SHEET'!B$3:B$121,'DISPATCH SHEET'!#REF!,""))</f>
        <v/>
      </c>
      <c r="D83" s="14"/>
      <c r="E83" s="15"/>
      <c r="F83" s="16"/>
      <c r="G83" s="17" t="s">
        <v>0</v>
      </c>
      <c r="H83" s="15"/>
      <c r="I83" s="14" t="s">
        <v>0</v>
      </c>
      <c r="J83" s="14"/>
      <c r="K83" s="18"/>
    </row>
    <row r="84" spans="1:11" s="5" customFormat="1" ht="15" customHeight="1" x14ac:dyDescent="0.2">
      <c r="A84" s="13"/>
      <c r="B84" s="14" t="str">
        <f>IF(A84="","",_xlfn.XLOOKUP(A84,'DISPATCH SHEET'!B$3:B$121,'DISPATCH SHEET'!C$3:C$121,""))</f>
        <v/>
      </c>
      <c r="C84" s="14" t="str">
        <f>IF(ISBLANK(A84),"",_xlfn.XLOOKUP(A84,'DISPATCH SHEET'!B$3:B$121,'DISPATCH SHEET'!#REF!,""))</f>
        <v/>
      </c>
      <c r="D84" s="14"/>
      <c r="E84" s="15"/>
      <c r="F84" s="16"/>
      <c r="G84" s="17" t="s">
        <v>0</v>
      </c>
      <c r="H84" s="15"/>
      <c r="I84" s="14" t="s">
        <v>0</v>
      </c>
      <c r="J84" s="14"/>
      <c r="K84" s="18"/>
    </row>
    <row r="85" spans="1:11" s="5" customFormat="1" ht="15" customHeight="1" x14ac:dyDescent="0.2">
      <c r="A85" s="13"/>
      <c r="B85" s="14" t="str">
        <f>IF(A85="","",_xlfn.XLOOKUP(A85,'DISPATCH SHEET'!B$3:B$121,'DISPATCH SHEET'!C$3:C$121,""))</f>
        <v/>
      </c>
      <c r="C85" s="14" t="str">
        <f>IF(ISBLANK(A85),"",_xlfn.XLOOKUP(A85,'DISPATCH SHEET'!B$3:B$121,'DISPATCH SHEET'!#REF!,""))</f>
        <v/>
      </c>
      <c r="D85" s="14"/>
      <c r="E85" s="15"/>
      <c r="F85" s="16"/>
      <c r="G85" s="17" t="s">
        <v>0</v>
      </c>
      <c r="H85" s="15"/>
      <c r="I85" s="14" t="s">
        <v>0</v>
      </c>
      <c r="J85" s="14"/>
      <c r="K85" s="18"/>
    </row>
    <row r="86" spans="1:11" s="5" customFormat="1" ht="15" customHeight="1" x14ac:dyDescent="0.2">
      <c r="A86" s="13"/>
      <c r="B86" s="14" t="str">
        <f>IF(A86="","",_xlfn.XLOOKUP(A86,'DISPATCH SHEET'!B$3:B$121,'DISPATCH SHEET'!C$3:C$121,""))</f>
        <v/>
      </c>
      <c r="C86" s="14" t="str">
        <f>IF(ISBLANK(A86),"",_xlfn.XLOOKUP(A86,'DISPATCH SHEET'!B$3:B$121,'DISPATCH SHEET'!#REF!,""))</f>
        <v/>
      </c>
      <c r="D86" s="14"/>
      <c r="E86" s="15"/>
      <c r="F86" s="16"/>
      <c r="G86" s="17" t="s">
        <v>0</v>
      </c>
      <c r="H86" s="15"/>
      <c r="I86" s="14" t="s">
        <v>0</v>
      </c>
      <c r="J86" s="14"/>
      <c r="K86" s="18"/>
    </row>
    <row r="87" spans="1:11" s="5" customFormat="1" ht="15" customHeight="1" x14ac:dyDescent="0.2">
      <c r="A87" s="13"/>
      <c r="B87" s="14" t="str">
        <f>IF(A87="","",_xlfn.XLOOKUP(A87,'DISPATCH SHEET'!B$3:B$121,'DISPATCH SHEET'!C$3:C$121,""))</f>
        <v/>
      </c>
      <c r="C87" s="14" t="str">
        <f>IF(ISBLANK(A87),"",_xlfn.XLOOKUP(A87,'DISPATCH SHEET'!B$3:B$121,'DISPATCH SHEET'!#REF!,""))</f>
        <v/>
      </c>
      <c r="D87" s="14"/>
      <c r="E87" s="15"/>
      <c r="F87" s="16"/>
      <c r="G87" s="17" t="s">
        <v>0</v>
      </c>
      <c r="H87" s="15"/>
      <c r="I87" s="14" t="s">
        <v>0</v>
      </c>
      <c r="J87" s="14"/>
      <c r="K87" s="18"/>
    </row>
    <row r="88" spans="1:11" s="5" customFormat="1" ht="15" customHeight="1" x14ac:dyDescent="0.2">
      <c r="A88" s="13"/>
      <c r="B88" s="14" t="str">
        <f>IF(A88="","",_xlfn.XLOOKUP(A88,'DISPATCH SHEET'!B$3:B$121,'DISPATCH SHEET'!C$3:C$121,""))</f>
        <v/>
      </c>
      <c r="C88" s="14" t="str">
        <f>IF(ISBLANK(A88),"",_xlfn.XLOOKUP(A88,'DISPATCH SHEET'!B$3:B$121,'DISPATCH SHEET'!#REF!,""))</f>
        <v/>
      </c>
      <c r="D88" s="14"/>
      <c r="E88" s="15"/>
      <c r="F88" s="16"/>
      <c r="G88" s="17" t="s">
        <v>0</v>
      </c>
      <c r="H88" s="15"/>
      <c r="I88" s="14" t="s">
        <v>0</v>
      </c>
      <c r="J88" s="14"/>
      <c r="K88" s="18"/>
    </row>
    <row r="89" spans="1:11" s="5" customFormat="1" ht="15" customHeight="1" x14ac:dyDescent="0.2">
      <c r="A89" s="13"/>
      <c r="B89" s="14" t="str">
        <f>IF(A89="","",_xlfn.XLOOKUP(A89,'DISPATCH SHEET'!B$3:B$121,'DISPATCH SHEET'!C$3:C$121,""))</f>
        <v/>
      </c>
      <c r="C89" s="14" t="str">
        <f>IF(ISBLANK(A89),"",_xlfn.XLOOKUP(A89,'DISPATCH SHEET'!B$3:B$121,'DISPATCH SHEET'!#REF!,""))</f>
        <v/>
      </c>
      <c r="D89" s="14"/>
      <c r="E89" s="15"/>
      <c r="F89" s="16"/>
      <c r="G89" s="17" t="s">
        <v>0</v>
      </c>
      <c r="H89" s="15"/>
      <c r="I89" s="14" t="s">
        <v>0</v>
      </c>
      <c r="J89" s="14"/>
      <c r="K89" s="18"/>
    </row>
    <row r="90" spans="1:11" s="5" customFormat="1" ht="15" customHeight="1" x14ac:dyDescent="0.2">
      <c r="A90" s="13"/>
      <c r="B90" s="14" t="str">
        <f>IF(A90="","",_xlfn.XLOOKUP(A90,'DISPATCH SHEET'!B$3:B$121,'DISPATCH SHEET'!C$3:C$121,""))</f>
        <v/>
      </c>
      <c r="C90" s="14" t="str">
        <f>IF(ISBLANK(A90),"",_xlfn.XLOOKUP(A90,'DISPATCH SHEET'!B$3:B$121,'DISPATCH SHEET'!#REF!,""))</f>
        <v/>
      </c>
      <c r="D90" s="14"/>
      <c r="E90" s="15"/>
      <c r="F90" s="16"/>
      <c r="G90" s="17" t="s">
        <v>0</v>
      </c>
      <c r="H90" s="15"/>
      <c r="I90" s="14" t="s">
        <v>0</v>
      </c>
      <c r="J90" s="14"/>
      <c r="K90" s="18"/>
    </row>
    <row r="91" spans="1:11" s="5" customFormat="1" ht="15" customHeight="1" x14ac:dyDescent="0.2">
      <c r="A91" s="13"/>
      <c r="B91" s="14" t="str">
        <f>IF(A91="","",_xlfn.XLOOKUP(A91,'DISPATCH SHEET'!B$3:B$121,'DISPATCH SHEET'!C$3:C$121,""))</f>
        <v/>
      </c>
      <c r="C91" s="14" t="str">
        <f>IF(ISBLANK(A91),"",_xlfn.XLOOKUP(A91,'DISPATCH SHEET'!B$3:B$121,'DISPATCH SHEET'!#REF!,""))</f>
        <v/>
      </c>
      <c r="D91" s="14"/>
      <c r="E91" s="15"/>
      <c r="F91" s="16"/>
      <c r="G91" s="17" t="s">
        <v>0</v>
      </c>
      <c r="H91" s="15"/>
      <c r="I91" s="14" t="s">
        <v>0</v>
      </c>
      <c r="J91" s="14"/>
      <c r="K91" s="18"/>
    </row>
    <row r="92" spans="1:11" s="5" customFormat="1" ht="15" customHeight="1" x14ac:dyDescent="0.2">
      <c r="A92" s="13"/>
      <c r="B92" s="14" t="str">
        <f>IF(A92="","",_xlfn.XLOOKUP(A92,'DISPATCH SHEET'!B$3:B$121,'DISPATCH SHEET'!C$3:C$121,""))</f>
        <v/>
      </c>
      <c r="C92" s="14" t="str">
        <f>IF(ISBLANK(A92),"",_xlfn.XLOOKUP(A92,'DISPATCH SHEET'!B$3:B$121,'DISPATCH SHEET'!#REF!,""))</f>
        <v/>
      </c>
      <c r="D92" s="14"/>
      <c r="E92" s="15"/>
      <c r="F92" s="16"/>
      <c r="G92" s="17" t="s">
        <v>0</v>
      </c>
      <c r="H92" s="15"/>
      <c r="I92" s="14" t="s">
        <v>0</v>
      </c>
      <c r="J92" s="14"/>
      <c r="K92" s="18"/>
    </row>
    <row r="93" spans="1:11" s="5" customFormat="1" ht="15" customHeight="1" x14ac:dyDescent="0.2">
      <c r="A93" s="13"/>
      <c r="B93" s="14" t="str">
        <f>IF(A93="","",_xlfn.XLOOKUP(A93,'DISPATCH SHEET'!B$3:B$121,'DISPATCH SHEET'!C$3:C$121,""))</f>
        <v/>
      </c>
      <c r="C93" s="14" t="str">
        <f>IF(ISBLANK(A93),"",_xlfn.XLOOKUP(A93,'DISPATCH SHEET'!B$3:B$121,'DISPATCH SHEET'!#REF!,""))</f>
        <v/>
      </c>
      <c r="D93" s="14"/>
      <c r="E93" s="15"/>
      <c r="F93" s="16"/>
      <c r="G93" s="17" t="s">
        <v>0</v>
      </c>
      <c r="H93" s="15"/>
      <c r="I93" s="14" t="s">
        <v>0</v>
      </c>
      <c r="J93" s="14"/>
      <c r="K93" s="18"/>
    </row>
    <row r="94" spans="1:11" s="5" customFormat="1" ht="15" customHeight="1" x14ac:dyDescent="0.2">
      <c r="A94" s="13"/>
      <c r="B94" s="14" t="str">
        <f>IF(A94="","",_xlfn.XLOOKUP(A94,'DISPATCH SHEET'!B$3:B$121,'DISPATCH SHEET'!C$3:C$121,""))</f>
        <v/>
      </c>
      <c r="C94" s="14" t="str">
        <f>IF(ISBLANK(A94),"",_xlfn.XLOOKUP(A94,'DISPATCH SHEET'!B$3:B$121,'DISPATCH SHEET'!#REF!,""))</f>
        <v/>
      </c>
      <c r="D94" s="14"/>
      <c r="E94" s="15"/>
      <c r="F94" s="16"/>
      <c r="G94" s="17" t="s">
        <v>0</v>
      </c>
      <c r="H94" s="15"/>
      <c r="I94" s="14" t="s">
        <v>0</v>
      </c>
      <c r="J94" s="14"/>
      <c r="K94" s="18"/>
    </row>
    <row r="95" spans="1:11" s="5" customFormat="1" ht="15" customHeight="1" x14ac:dyDescent="0.2">
      <c r="A95" s="13"/>
      <c r="B95" s="14" t="str">
        <f>IF(A95="","",_xlfn.XLOOKUP(A95,'DISPATCH SHEET'!B$3:B$121,'DISPATCH SHEET'!C$3:C$121,""))</f>
        <v/>
      </c>
      <c r="C95" s="14" t="str">
        <f>IF(ISBLANK(A95),"",_xlfn.XLOOKUP(A95,'DISPATCH SHEET'!B$3:B$121,'DISPATCH SHEET'!#REF!,""))</f>
        <v/>
      </c>
      <c r="D95" s="14"/>
      <c r="E95" s="15"/>
      <c r="F95" s="16"/>
      <c r="G95" s="17" t="s">
        <v>0</v>
      </c>
      <c r="H95" s="15"/>
      <c r="I95" s="14" t="s">
        <v>0</v>
      </c>
      <c r="J95" s="14"/>
      <c r="K95" s="18"/>
    </row>
    <row r="96" spans="1:11" s="5" customFormat="1" ht="15" customHeight="1" x14ac:dyDescent="0.2">
      <c r="A96" s="13"/>
      <c r="B96" s="14" t="str">
        <f>IF(A96="","",_xlfn.XLOOKUP(A96,'DISPATCH SHEET'!B$3:B$121,'DISPATCH SHEET'!C$3:C$121,""))</f>
        <v/>
      </c>
      <c r="C96" s="14" t="str">
        <f>IF(ISBLANK(A96),"",_xlfn.XLOOKUP(A96,'DISPATCH SHEET'!B$3:B$121,'DISPATCH SHEET'!#REF!,""))</f>
        <v/>
      </c>
      <c r="D96" s="14"/>
      <c r="E96" s="15"/>
      <c r="F96" s="16"/>
      <c r="G96" s="17" t="s">
        <v>0</v>
      </c>
      <c r="H96" s="15"/>
      <c r="I96" s="14" t="s">
        <v>0</v>
      </c>
      <c r="J96" s="14"/>
      <c r="K96" s="18"/>
    </row>
    <row r="97" spans="1:12" s="5" customFormat="1" ht="15" customHeight="1" x14ac:dyDescent="0.2">
      <c r="A97" s="13"/>
      <c r="B97" s="14" t="str">
        <f>IF(A97="","",_xlfn.XLOOKUP(A97,'DISPATCH SHEET'!B$3:B$121,'DISPATCH SHEET'!C$3:C$121,""))</f>
        <v/>
      </c>
      <c r="C97" s="14" t="str">
        <f>IF(ISBLANK(A97),"",_xlfn.XLOOKUP(A97,'DISPATCH SHEET'!B$3:B$121,'DISPATCH SHEET'!#REF!,""))</f>
        <v/>
      </c>
      <c r="D97" s="14"/>
      <c r="E97" s="15"/>
      <c r="F97" s="16"/>
      <c r="G97" s="17" t="s">
        <v>0</v>
      </c>
      <c r="H97" s="15"/>
      <c r="I97" s="14" t="s">
        <v>0</v>
      </c>
      <c r="J97" s="14"/>
      <c r="K97" s="18"/>
    </row>
    <row r="98" spans="1:12" s="5" customFormat="1" ht="15" customHeight="1" x14ac:dyDescent="0.2">
      <c r="A98" s="13"/>
      <c r="B98" s="14" t="str">
        <f>IF(A98="","",_xlfn.XLOOKUP(A98,'DISPATCH SHEET'!B$3:B$121,'DISPATCH SHEET'!C$3:C$121,""))</f>
        <v/>
      </c>
      <c r="C98" s="14" t="str">
        <f>IF(ISBLANK(A98),"",_xlfn.XLOOKUP(A98,'DISPATCH SHEET'!B$3:B$121,'DISPATCH SHEET'!#REF!,""))</f>
        <v/>
      </c>
      <c r="D98" s="14"/>
      <c r="E98" s="15"/>
      <c r="F98" s="16"/>
      <c r="G98" s="17" t="s">
        <v>0</v>
      </c>
      <c r="H98" s="15"/>
      <c r="I98" s="14" t="s">
        <v>0</v>
      </c>
      <c r="J98" s="14"/>
      <c r="K98" s="18"/>
    </row>
    <row r="99" spans="1:12" s="5" customFormat="1" ht="15" customHeight="1" x14ac:dyDescent="0.2">
      <c r="A99" s="13"/>
      <c r="B99" s="14" t="str">
        <f>IF(A99="","",_xlfn.XLOOKUP(A99,'DISPATCH SHEET'!B$3:B$121,'DISPATCH SHEET'!C$3:C$121,""))</f>
        <v/>
      </c>
      <c r="C99" s="14" t="str">
        <f>IF(ISBLANK(A99),"",_xlfn.XLOOKUP(A99,'DISPATCH SHEET'!B$3:B$121,'DISPATCH SHEET'!#REF!,""))</f>
        <v/>
      </c>
      <c r="D99" s="14"/>
      <c r="E99" s="15"/>
      <c r="F99" s="16"/>
      <c r="G99" s="17" t="s">
        <v>0</v>
      </c>
      <c r="H99" s="15"/>
      <c r="I99" s="14" t="s">
        <v>0</v>
      </c>
      <c r="J99" s="14"/>
      <c r="K99" s="18"/>
    </row>
    <row r="100" spans="1:12" s="5" customFormat="1" ht="15" customHeight="1" x14ac:dyDescent="0.2">
      <c r="A100" s="13"/>
      <c r="B100" s="14" t="str">
        <f>IF(A100="","",_xlfn.XLOOKUP(A100,'DISPATCH SHEET'!B$3:B$121,'DISPATCH SHEET'!C$3:C$121,""))</f>
        <v/>
      </c>
      <c r="C100" s="14" t="str">
        <f>IF(ISBLANK(A100),"",_xlfn.XLOOKUP(A100,'DISPATCH SHEET'!B$3:B$121,'DISPATCH SHEET'!#REF!,""))</f>
        <v/>
      </c>
      <c r="D100" s="14"/>
      <c r="E100" s="15"/>
      <c r="F100" s="16"/>
      <c r="G100" s="17" t="s">
        <v>0</v>
      </c>
      <c r="H100" s="15"/>
      <c r="I100" s="14" t="s">
        <v>0</v>
      </c>
      <c r="J100" s="14"/>
      <c r="K100" s="18"/>
    </row>
    <row r="101" spans="1:12" s="5" customFormat="1" ht="15" customHeight="1" x14ac:dyDescent="0.2">
      <c r="A101" s="13"/>
      <c r="B101" s="14" t="str">
        <f>IF(A101="","",_xlfn.XLOOKUP(A101,'DISPATCH SHEET'!B$3:B$121,'DISPATCH SHEET'!C$3:C$121,""))</f>
        <v/>
      </c>
      <c r="C101" s="14" t="str">
        <f>IF(ISBLANK(A101),"",_xlfn.XLOOKUP(A101,'DISPATCH SHEET'!B$3:B$121,'DISPATCH SHEET'!#REF!,""))</f>
        <v/>
      </c>
      <c r="D101" s="14"/>
      <c r="E101" s="15"/>
      <c r="F101" s="16"/>
      <c r="G101" s="17" t="s">
        <v>0</v>
      </c>
      <c r="H101" s="15"/>
      <c r="I101" s="14" t="s">
        <v>0</v>
      </c>
      <c r="J101" s="14"/>
      <c r="K101" s="18"/>
    </row>
    <row r="102" spans="1:12" s="5" customFormat="1" ht="15" customHeight="1" x14ac:dyDescent="0.2">
      <c r="A102" s="13"/>
      <c r="B102" s="14" t="str">
        <f>IF(A102="","",_xlfn.XLOOKUP(A102,'DISPATCH SHEET'!B$3:B$121,'DISPATCH SHEET'!C$3:C$121,""))</f>
        <v/>
      </c>
      <c r="C102" s="14" t="str">
        <f>IF(ISBLANK(A102),"",_xlfn.XLOOKUP(A102,'DISPATCH SHEET'!B$3:B$121,'DISPATCH SHEET'!#REF!,""))</f>
        <v/>
      </c>
      <c r="D102" s="14"/>
      <c r="E102" s="15"/>
      <c r="F102" s="16"/>
      <c r="G102" s="17" t="s">
        <v>0</v>
      </c>
      <c r="H102" s="15"/>
      <c r="I102" s="14" t="s">
        <v>0</v>
      </c>
      <c r="J102" s="14"/>
      <c r="K102" s="18"/>
    </row>
    <row r="103" spans="1:12" s="5" customFormat="1" ht="15" customHeight="1" x14ac:dyDescent="0.2">
      <c r="A103" s="13"/>
      <c r="B103" s="14" t="str">
        <f>IF(A103="","",_xlfn.XLOOKUP(A103,'DISPATCH SHEET'!B$3:B$121,'DISPATCH SHEET'!C$3:C$121,""))</f>
        <v/>
      </c>
      <c r="C103" s="14" t="str">
        <f>IF(ISBLANK(A103),"",_xlfn.XLOOKUP(A103,'DISPATCH SHEET'!B$3:B$121,'DISPATCH SHEET'!#REF!,""))</f>
        <v/>
      </c>
      <c r="D103" s="14"/>
      <c r="E103" s="15"/>
      <c r="F103" s="16"/>
      <c r="G103" s="17" t="s">
        <v>0</v>
      </c>
      <c r="H103" s="15"/>
      <c r="I103" s="14" t="s">
        <v>0</v>
      </c>
      <c r="J103" s="14"/>
      <c r="K103" s="18"/>
    </row>
    <row r="104" spans="1:12" s="5" customFormat="1" ht="15" customHeight="1" x14ac:dyDescent="0.2">
      <c r="A104" s="13"/>
      <c r="B104" s="14" t="str">
        <f>IF(A104="","",_xlfn.XLOOKUP(A104,'DISPATCH SHEET'!B$3:B$121,'DISPATCH SHEET'!C$3:C$121,""))</f>
        <v/>
      </c>
      <c r="C104" s="14" t="str">
        <f>IF(ISBLANK(A104),"",_xlfn.XLOOKUP(A104,'DISPATCH SHEET'!B$3:B$121,'DISPATCH SHEET'!#REF!,""))</f>
        <v/>
      </c>
      <c r="D104" s="14"/>
      <c r="E104" s="15"/>
      <c r="F104" s="16"/>
      <c r="G104" s="17" t="s">
        <v>0</v>
      </c>
      <c r="H104" s="15"/>
      <c r="I104" s="14" t="s">
        <v>0</v>
      </c>
      <c r="J104" s="14"/>
      <c r="K104" s="18"/>
    </row>
    <row r="105" spans="1:12" s="5" customFormat="1" ht="15" customHeight="1" x14ac:dyDescent="0.2">
      <c r="A105" s="13"/>
      <c r="B105" s="14" t="str">
        <f>IF(A105="","",_xlfn.XLOOKUP(A105,'DISPATCH SHEET'!B$3:B$121,'DISPATCH SHEET'!C$3:C$121,""))</f>
        <v/>
      </c>
      <c r="C105" s="14" t="str">
        <f>IF(ISBLANK(A105),"",_xlfn.XLOOKUP(A105,'DISPATCH SHEET'!B$3:B$121,'DISPATCH SHEET'!#REF!,""))</f>
        <v/>
      </c>
      <c r="D105" s="14"/>
      <c r="E105" s="15"/>
      <c r="F105" s="16"/>
      <c r="G105" s="17" t="s">
        <v>0</v>
      </c>
      <c r="H105" s="15"/>
      <c r="I105" s="14" t="s">
        <v>0</v>
      </c>
      <c r="J105" s="14"/>
      <c r="K105" s="18"/>
    </row>
    <row r="106" spans="1:12" s="5" customFormat="1" ht="15" customHeight="1" x14ac:dyDescent="0.2">
      <c r="A106" s="13"/>
      <c r="B106" s="14" t="str">
        <f>IF(A106="","",_xlfn.XLOOKUP(A106,'DISPATCH SHEET'!B$3:B$121,'DISPATCH SHEET'!C$3:C$121,""))</f>
        <v/>
      </c>
      <c r="C106" s="14" t="str">
        <f>IF(ISBLANK(A106),"",_xlfn.XLOOKUP(A106,'DISPATCH SHEET'!B$3:B$121,'DISPATCH SHEET'!#REF!,""))</f>
        <v/>
      </c>
      <c r="D106" s="14"/>
      <c r="E106" s="15"/>
      <c r="F106" s="16"/>
      <c r="G106" s="17" t="s">
        <v>0</v>
      </c>
      <c r="H106" s="15"/>
      <c r="I106" s="14" t="s">
        <v>0</v>
      </c>
      <c r="J106" s="14"/>
      <c r="K106" s="18"/>
      <c r="L106" s="19"/>
    </row>
    <row r="107" spans="1:12" s="5" customFormat="1" ht="15" customHeight="1" x14ac:dyDescent="0.2">
      <c r="A107" s="13"/>
      <c r="B107" s="14" t="str">
        <f>IF(A107="","",_xlfn.XLOOKUP(A107,'DISPATCH SHEET'!B$3:B$121,'DISPATCH SHEET'!C$3:C$121,""))</f>
        <v/>
      </c>
      <c r="C107" s="14" t="str">
        <f>IF(ISBLANK(A107),"",_xlfn.XLOOKUP(A107,'DISPATCH SHEET'!B$3:B$121,'DISPATCH SHEET'!#REF!,""))</f>
        <v/>
      </c>
      <c r="D107" s="14"/>
      <c r="E107" s="15"/>
      <c r="F107" s="16"/>
      <c r="G107" s="17" t="s">
        <v>0</v>
      </c>
      <c r="H107" s="15"/>
      <c r="I107" s="14" t="s">
        <v>0</v>
      </c>
      <c r="J107" s="14"/>
      <c r="K107" s="18"/>
    </row>
    <row r="108" spans="1:12" s="5" customFormat="1" ht="15" customHeight="1" x14ac:dyDescent="0.2">
      <c r="A108" s="13"/>
      <c r="B108" s="14" t="str">
        <f>IF(A108="","",_xlfn.XLOOKUP(A108,'DISPATCH SHEET'!B$3:B$121,'DISPATCH SHEET'!C$3:C$121,""))</f>
        <v/>
      </c>
      <c r="C108" s="14" t="str">
        <f>IF(ISBLANK(A108),"",_xlfn.XLOOKUP(A108,'DISPATCH SHEET'!B$3:B$121,'DISPATCH SHEET'!#REF!,""))</f>
        <v/>
      </c>
      <c r="D108" s="14"/>
      <c r="E108" s="15"/>
      <c r="F108" s="16"/>
      <c r="G108" s="17" t="s">
        <v>0</v>
      </c>
      <c r="H108" s="15"/>
      <c r="I108" s="14" t="s">
        <v>0</v>
      </c>
      <c r="J108" s="14"/>
      <c r="K108" s="18"/>
    </row>
    <row r="109" spans="1:12" s="5" customFormat="1" ht="15" customHeight="1" x14ac:dyDescent="0.2">
      <c r="A109" s="13"/>
      <c r="B109" s="14" t="str">
        <f>IF(A109="","",_xlfn.XLOOKUP(A109,'DISPATCH SHEET'!B$3:B$121,'DISPATCH SHEET'!C$3:C$121,""))</f>
        <v/>
      </c>
      <c r="C109" s="14" t="str">
        <f>IF(ISBLANK(A109),"",_xlfn.XLOOKUP(A109,'DISPATCH SHEET'!B$3:B$121,'DISPATCH SHEET'!#REF!,""))</f>
        <v/>
      </c>
      <c r="D109" s="14"/>
      <c r="E109" s="15"/>
      <c r="F109" s="16"/>
      <c r="G109" s="17" t="s">
        <v>0</v>
      </c>
      <c r="H109" s="15"/>
      <c r="I109" s="14" t="s">
        <v>0</v>
      </c>
      <c r="J109" s="14"/>
      <c r="K109" s="18"/>
    </row>
    <row r="110" spans="1:12" s="5" customFormat="1" ht="15" customHeight="1" x14ac:dyDescent="0.2">
      <c r="A110" s="13"/>
      <c r="B110" s="14" t="str">
        <f>IF(A110="","",_xlfn.XLOOKUP(A110,'DISPATCH SHEET'!B$3:B$121,'DISPATCH SHEET'!C$3:C$121,""))</f>
        <v/>
      </c>
      <c r="C110" s="14" t="str">
        <f>IF(ISBLANK(A110),"",_xlfn.XLOOKUP(A110,'DISPATCH SHEET'!B$3:B$121,'DISPATCH SHEET'!#REF!,""))</f>
        <v/>
      </c>
      <c r="D110" s="14"/>
      <c r="E110" s="15"/>
      <c r="F110" s="16"/>
      <c r="G110" s="17" t="s">
        <v>0</v>
      </c>
      <c r="H110" s="15"/>
      <c r="I110" s="14" t="s">
        <v>0</v>
      </c>
      <c r="J110" s="14"/>
      <c r="K110" s="18"/>
    </row>
    <row r="111" spans="1:12" s="5" customFormat="1" ht="15" customHeight="1" x14ac:dyDescent="0.2">
      <c r="A111" s="13"/>
      <c r="B111" s="14" t="str">
        <f>IF(A111="","",_xlfn.XLOOKUP(A111,'DISPATCH SHEET'!B$3:B$121,'DISPATCH SHEET'!C$3:C$121,""))</f>
        <v/>
      </c>
      <c r="C111" s="14" t="str">
        <f>IF(ISBLANK(A111),"",_xlfn.XLOOKUP(A111,'DISPATCH SHEET'!B$3:B$121,'DISPATCH SHEET'!#REF!,""))</f>
        <v/>
      </c>
      <c r="D111" s="14"/>
      <c r="E111" s="15"/>
      <c r="F111" s="16"/>
      <c r="G111" s="17" t="s">
        <v>0</v>
      </c>
      <c r="H111" s="15"/>
      <c r="I111" s="14" t="s">
        <v>0</v>
      </c>
      <c r="J111" s="14"/>
      <c r="K111" s="18"/>
    </row>
    <row r="112" spans="1:12" s="5" customFormat="1" ht="15" customHeight="1" x14ac:dyDescent="0.2">
      <c r="A112" s="13"/>
      <c r="B112" s="14" t="str">
        <f>IF(A112="","",_xlfn.XLOOKUP(A112,'DISPATCH SHEET'!B$3:B$121,'DISPATCH SHEET'!C$3:C$121,""))</f>
        <v/>
      </c>
      <c r="C112" s="14" t="str">
        <f>IF(ISBLANK(A112),"",_xlfn.XLOOKUP(A112,'DISPATCH SHEET'!B$3:B$121,'DISPATCH SHEET'!#REF!,""))</f>
        <v/>
      </c>
      <c r="D112" s="14"/>
      <c r="E112" s="15"/>
      <c r="F112" s="16"/>
      <c r="G112" s="17" t="s">
        <v>0</v>
      </c>
      <c r="H112" s="15"/>
      <c r="I112" s="14" t="s">
        <v>0</v>
      </c>
      <c r="J112" s="14"/>
      <c r="K112" s="18"/>
    </row>
    <row r="113" spans="1:11" s="5" customFormat="1" ht="15" customHeight="1" x14ac:dyDescent="0.2">
      <c r="A113" s="13"/>
      <c r="B113" s="14" t="str">
        <f>IF(A113="","",_xlfn.XLOOKUP(A113,'DISPATCH SHEET'!B$3:B$121,'DISPATCH SHEET'!C$3:C$121,""))</f>
        <v/>
      </c>
      <c r="C113" s="14" t="str">
        <f>IF(ISBLANK(A113),"",_xlfn.XLOOKUP(A113,'DISPATCH SHEET'!B$3:B$121,'DISPATCH SHEET'!#REF!,""))</f>
        <v/>
      </c>
      <c r="D113" s="14"/>
      <c r="E113" s="15"/>
      <c r="F113" s="16"/>
      <c r="G113" s="17" t="s">
        <v>0</v>
      </c>
      <c r="H113" s="15"/>
      <c r="I113" s="14" t="s">
        <v>0</v>
      </c>
      <c r="J113" s="14"/>
      <c r="K113" s="18"/>
    </row>
    <row r="114" spans="1:11" s="5" customFormat="1" ht="15" customHeight="1" x14ac:dyDescent="0.2">
      <c r="A114" s="13"/>
      <c r="B114" s="14" t="str">
        <f>IF(A114="","",_xlfn.XLOOKUP(A114,'DISPATCH SHEET'!B$3:B$121,'DISPATCH SHEET'!C$3:C$121,""))</f>
        <v/>
      </c>
      <c r="C114" s="14" t="str">
        <f>IF(ISBLANK(A114),"",_xlfn.XLOOKUP(A114,'DISPATCH SHEET'!B$3:B$121,'DISPATCH SHEET'!#REF!,""))</f>
        <v/>
      </c>
      <c r="D114" s="14"/>
      <c r="E114" s="15"/>
      <c r="F114" s="16"/>
      <c r="G114" s="17" t="s">
        <v>0</v>
      </c>
      <c r="H114" s="15"/>
      <c r="I114" s="14" t="s">
        <v>0</v>
      </c>
      <c r="J114" s="14"/>
      <c r="K114" s="18"/>
    </row>
    <row r="115" spans="1:11" s="5" customFormat="1" ht="15" customHeight="1" x14ac:dyDescent="0.2">
      <c r="A115" s="13"/>
      <c r="B115" s="14" t="str">
        <f>IF(A115="","",_xlfn.XLOOKUP(A115,'DISPATCH SHEET'!B$3:B$121,'DISPATCH SHEET'!C$3:C$121,""))</f>
        <v/>
      </c>
      <c r="C115" s="14" t="str">
        <f>IF(ISBLANK(A115),"",_xlfn.XLOOKUP(A115,'DISPATCH SHEET'!B$3:B$121,'DISPATCH SHEET'!#REF!,""))</f>
        <v/>
      </c>
      <c r="D115" s="14"/>
      <c r="E115" s="15"/>
      <c r="F115" s="16"/>
      <c r="G115" s="17" t="s">
        <v>0</v>
      </c>
      <c r="H115" s="15"/>
      <c r="I115" s="14" t="s">
        <v>0</v>
      </c>
      <c r="J115" s="14"/>
      <c r="K115" s="18"/>
    </row>
    <row r="116" spans="1:11" s="5" customFormat="1" ht="15" customHeight="1" x14ac:dyDescent="0.2">
      <c r="A116" s="13"/>
      <c r="B116" s="14" t="str">
        <f>IF(A116="","",_xlfn.XLOOKUP(A116,'DISPATCH SHEET'!B$3:B$121,'DISPATCH SHEET'!C$3:C$121,""))</f>
        <v/>
      </c>
      <c r="C116" s="14" t="str">
        <f>IF(ISBLANK(A116),"",_xlfn.XLOOKUP(A116,'DISPATCH SHEET'!B$3:B$121,'DISPATCH SHEET'!#REF!,""))</f>
        <v/>
      </c>
      <c r="D116" s="14"/>
      <c r="E116" s="15"/>
      <c r="F116" s="16"/>
      <c r="G116" s="17" t="s">
        <v>0</v>
      </c>
      <c r="H116" s="15"/>
      <c r="I116" s="14" t="s">
        <v>0</v>
      </c>
      <c r="J116" s="14"/>
      <c r="K116" s="18"/>
    </row>
    <row r="117" spans="1:11" s="5" customFormat="1" ht="15" customHeight="1" x14ac:dyDescent="0.2">
      <c r="A117" s="13"/>
      <c r="B117" s="14" t="str">
        <f>IF(A117="","",_xlfn.XLOOKUP(A117,'DISPATCH SHEET'!B$3:B$121,'DISPATCH SHEET'!C$3:C$121,""))</f>
        <v/>
      </c>
      <c r="C117" s="14" t="str">
        <f>IF(ISBLANK(A117),"",_xlfn.XLOOKUP(A117,'DISPATCH SHEET'!B$3:B$121,'DISPATCH SHEET'!#REF!,""))</f>
        <v/>
      </c>
      <c r="D117" s="14"/>
      <c r="E117" s="15"/>
      <c r="F117" s="16"/>
      <c r="G117" s="17" t="s">
        <v>0</v>
      </c>
      <c r="H117" s="15"/>
      <c r="I117" s="14" t="s">
        <v>0</v>
      </c>
      <c r="J117" s="14"/>
      <c r="K117" s="18"/>
    </row>
    <row r="118" spans="1:11" s="5" customFormat="1" ht="15" customHeight="1" x14ac:dyDescent="0.2">
      <c r="A118" s="13"/>
      <c r="B118" s="14" t="str">
        <f>IF(A118="","",_xlfn.XLOOKUP(A118,'DISPATCH SHEET'!B$3:B$121,'DISPATCH SHEET'!C$3:C$121,""))</f>
        <v/>
      </c>
      <c r="C118" s="14" t="str">
        <f>IF(ISBLANK(A118),"",_xlfn.XLOOKUP(A118,'DISPATCH SHEET'!B$3:B$121,'DISPATCH SHEET'!#REF!,""))</f>
        <v/>
      </c>
      <c r="D118" s="14"/>
      <c r="E118" s="15"/>
      <c r="F118" s="16"/>
      <c r="G118" s="17" t="s">
        <v>0</v>
      </c>
      <c r="H118" s="15"/>
      <c r="I118" s="14" t="s">
        <v>0</v>
      </c>
      <c r="J118" s="14"/>
      <c r="K118" s="18"/>
    </row>
    <row r="119" spans="1:11" s="5" customFormat="1" ht="15" customHeight="1" x14ac:dyDescent="0.2">
      <c r="A119" s="13"/>
      <c r="B119" s="14" t="str">
        <f>IF(A119="","",_xlfn.XLOOKUP(A119,'DISPATCH SHEET'!B$3:B$121,'DISPATCH SHEET'!C$3:C$121,""))</f>
        <v/>
      </c>
      <c r="C119" s="14" t="str">
        <f>IF(ISBLANK(A119),"",_xlfn.XLOOKUP(A119,'DISPATCH SHEET'!B$3:B$121,'DISPATCH SHEET'!#REF!,""))</f>
        <v/>
      </c>
      <c r="D119" s="14"/>
      <c r="E119" s="15"/>
      <c r="F119" s="16"/>
      <c r="G119" s="17" t="s">
        <v>0</v>
      </c>
      <c r="H119" s="15"/>
      <c r="I119" s="14" t="s">
        <v>0</v>
      </c>
      <c r="J119" s="14"/>
      <c r="K119" s="18"/>
    </row>
    <row r="120" spans="1:11" s="5" customFormat="1" ht="15" customHeight="1" x14ac:dyDescent="0.2">
      <c r="A120" s="13"/>
      <c r="B120" s="14" t="str">
        <f>IF(A120="","",_xlfn.XLOOKUP(A120,'DISPATCH SHEET'!B$3:B$121,'DISPATCH SHEET'!C$3:C$121,""))</f>
        <v/>
      </c>
      <c r="C120" s="14" t="str">
        <f>IF(ISBLANK(A120),"",_xlfn.XLOOKUP(A120,'DISPATCH SHEET'!B$3:B$121,'DISPATCH SHEET'!#REF!,""))</f>
        <v/>
      </c>
      <c r="D120" s="14"/>
      <c r="E120" s="15"/>
      <c r="F120" s="16"/>
      <c r="G120" s="17" t="s">
        <v>0</v>
      </c>
      <c r="H120" s="15"/>
      <c r="I120" s="14" t="s">
        <v>0</v>
      </c>
      <c r="J120" s="14"/>
      <c r="K120" s="18"/>
    </row>
    <row r="121" spans="1:11" s="5" customFormat="1" ht="15" customHeight="1" x14ac:dyDescent="0.2">
      <c r="A121" s="13"/>
      <c r="B121" s="14" t="str">
        <f>IF(A121="","",_xlfn.XLOOKUP(A121,'DISPATCH SHEET'!B$3:B$121,'DISPATCH SHEET'!C$3:C$121,""))</f>
        <v/>
      </c>
      <c r="C121" s="14" t="str">
        <f>IF(ISBLANK(A121),"",_xlfn.XLOOKUP(A121,'DISPATCH SHEET'!B$3:B$121,'DISPATCH SHEET'!#REF!,""))</f>
        <v/>
      </c>
      <c r="D121" s="14"/>
      <c r="E121" s="15"/>
      <c r="F121" s="16"/>
      <c r="G121" s="17" t="s">
        <v>0</v>
      </c>
      <c r="H121" s="15"/>
      <c r="I121" s="14" t="s">
        <v>0</v>
      </c>
      <c r="J121" s="14"/>
      <c r="K121" s="18"/>
    </row>
    <row r="122" spans="1:11" s="5" customFormat="1" ht="15" customHeight="1" x14ac:dyDescent="0.2">
      <c r="A122" s="13"/>
      <c r="B122" s="14" t="str">
        <f>IF(A122="","",_xlfn.XLOOKUP(A122,'DISPATCH SHEET'!B$3:B$121,'DISPATCH SHEET'!C$3:C$121,""))</f>
        <v/>
      </c>
      <c r="C122" s="14" t="str">
        <f>IF(ISBLANK(A122),"",_xlfn.XLOOKUP(A122,'DISPATCH SHEET'!B$3:B$121,'DISPATCH SHEET'!#REF!,""))</f>
        <v/>
      </c>
      <c r="D122" s="14"/>
      <c r="E122" s="15"/>
      <c r="F122" s="16"/>
      <c r="G122" s="17" t="s">
        <v>0</v>
      </c>
      <c r="H122" s="15"/>
      <c r="I122" s="14" t="s">
        <v>0</v>
      </c>
      <c r="J122" s="14"/>
      <c r="K122" s="18"/>
    </row>
    <row r="123" spans="1:11" s="5" customFormat="1" ht="15" customHeight="1" x14ac:dyDescent="0.2">
      <c r="A123" s="13"/>
      <c r="B123" s="14" t="str">
        <f>IF(A123="","",_xlfn.XLOOKUP(A123,'DISPATCH SHEET'!B$3:B$121,'DISPATCH SHEET'!C$3:C$121,""))</f>
        <v/>
      </c>
      <c r="C123" s="14" t="str">
        <f>IF(ISBLANK(A123),"",_xlfn.XLOOKUP(A123,'DISPATCH SHEET'!B$3:B$121,'DISPATCH SHEET'!#REF!,""))</f>
        <v/>
      </c>
      <c r="D123" s="14"/>
      <c r="E123" s="15"/>
      <c r="F123" s="16"/>
      <c r="G123" s="17" t="s">
        <v>0</v>
      </c>
      <c r="H123" s="15"/>
      <c r="I123" s="14" t="s">
        <v>0</v>
      </c>
      <c r="J123" s="14"/>
      <c r="K123" s="18"/>
    </row>
    <row r="124" spans="1:11" s="5" customFormat="1" ht="15" customHeight="1" x14ac:dyDescent="0.2">
      <c r="A124" s="13"/>
      <c r="B124" s="14" t="str">
        <f>IF(A124="","",_xlfn.XLOOKUP(A124,'DISPATCH SHEET'!B$3:B$121,'DISPATCH SHEET'!C$3:C$121,""))</f>
        <v/>
      </c>
      <c r="C124" s="14" t="str">
        <f>IF(ISBLANK(A124),"",_xlfn.XLOOKUP(A124,'DISPATCH SHEET'!B$3:B$121,'DISPATCH SHEET'!#REF!,""))</f>
        <v/>
      </c>
      <c r="D124" s="14"/>
      <c r="E124" s="15"/>
      <c r="F124" s="16"/>
      <c r="G124" s="17" t="s">
        <v>0</v>
      </c>
      <c r="H124" s="15"/>
      <c r="I124" s="14" t="s">
        <v>0</v>
      </c>
      <c r="J124" s="14"/>
      <c r="K124" s="18"/>
    </row>
    <row r="125" spans="1:11" s="5" customFormat="1" ht="15" customHeight="1" x14ac:dyDescent="0.2">
      <c r="A125" s="13"/>
      <c r="B125" s="14" t="str">
        <f>IF(A125="","",_xlfn.XLOOKUP(A125,'DISPATCH SHEET'!B$3:B$121,'DISPATCH SHEET'!C$3:C$121,""))</f>
        <v/>
      </c>
      <c r="C125" s="14" t="str">
        <f>IF(ISBLANK(A125),"",_xlfn.XLOOKUP(A125,'DISPATCH SHEET'!B$3:B$121,'DISPATCH SHEET'!#REF!,""))</f>
        <v/>
      </c>
      <c r="D125" s="14"/>
      <c r="E125" s="15"/>
      <c r="F125" s="16"/>
      <c r="G125" s="17" t="s">
        <v>0</v>
      </c>
      <c r="H125" s="15"/>
      <c r="I125" s="14" t="s">
        <v>0</v>
      </c>
      <c r="J125" s="14"/>
      <c r="K125" s="18"/>
    </row>
    <row r="126" spans="1:11" s="5" customFormat="1" ht="15" customHeight="1" x14ac:dyDescent="0.2">
      <c r="A126" s="13"/>
      <c r="B126" s="14" t="str">
        <f>IF(A126="","",_xlfn.XLOOKUP(A126,'DISPATCH SHEET'!B$3:B$121,'DISPATCH SHEET'!C$3:C$121,""))</f>
        <v/>
      </c>
      <c r="C126" s="14" t="str">
        <f>IF(ISBLANK(A126),"",_xlfn.XLOOKUP(A126,'DISPATCH SHEET'!B$3:B$121,'DISPATCH SHEET'!#REF!,""))</f>
        <v/>
      </c>
      <c r="D126" s="14"/>
      <c r="E126" s="15"/>
      <c r="F126" s="16"/>
      <c r="G126" s="17" t="s">
        <v>0</v>
      </c>
      <c r="H126" s="15"/>
      <c r="I126" s="14" t="s">
        <v>0</v>
      </c>
      <c r="J126" s="14"/>
      <c r="K126" s="18"/>
    </row>
    <row r="127" spans="1:11" s="5" customFormat="1" ht="15" customHeight="1" x14ac:dyDescent="0.2">
      <c r="A127" s="13"/>
      <c r="B127" s="14" t="str">
        <f>IF(A127="","",_xlfn.XLOOKUP(A127,'DISPATCH SHEET'!B$3:B$121,'DISPATCH SHEET'!C$3:C$121,""))</f>
        <v/>
      </c>
      <c r="C127" s="14" t="str">
        <f>IF(ISBLANK(A127),"",_xlfn.XLOOKUP(A127,'DISPATCH SHEET'!B$3:B$121,'DISPATCH SHEET'!#REF!,""))</f>
        <v/>
      </c>
      <c r="D127" s="14"/>
      <c r="E127" s="15"/>
      <c r="F127" s="16"/>
      <c r="G127" s="17" t="s">
        <v>0</v>
      </c>
      <c r="H127" s="15"/>
      <c r="I127" s="14" t="s">
        <v>0</v>
      </c>
      <c r="J127" s="14"/>
      <c r="K127" s="18"/>
    </row>
    <row r="128" spans="1:11" s="5" customFormat="1" ht="15" customHeight="1" x14ac:dyDescent="0.2">
      <c r="A128" s="13"/>
      <c r="B128" s="14" t="str">
        <f>IF(A128="","",_xlfn.XLOOKUP(A128,'DISPATCH SHEET'!B$3:B$121,'DISPATCH SHEET'!C$3:C$121,""))</f>
        <v/>
      </c>
      <c r="C128" s="14" t="str">
        <f>IF(ISBLANK(A128),"",_xlfn.XLOOKUP(A128,'DISPATCH SHEET'!B$3:B$121,'DISPATCH SHEET'!#REF!,""))</f>
        <v/>
      </c>
      <c r="D128" s="14"/>
      <c r="E128" s="15"/>
      <c r="F128" s="16"/>
      <c r="G128" s="17" t="s">
        <v>0</v>
      </c>
      <c r="H128" s="15"/>
      <c r="I128" s="14" t="s">
        <v>0</v>
      </c>
      <c r="J128" s="14"/>
      <c r="K128" s="18"/>
    </row>
    <row r="129" spans="1:11" s="5" customFormat="1" ht="15" customHeight="1" x14ac:dyDescent="0.2">
      <c r="A129" s="13"/>
      <c r="B129" s="14" t="str">
        <f>IF(A129="","",_xlfn.XLOOKUP(A129,'DISPATCH SHEET'!B$3:B$121,'DISPATCH SHEET'!C$3:C$121,""))</f>
        <v/>
      </c>
      <c r="C129" s="14" t="str">
        <f>IF(ISBLANK(A129),"",_xlfn.XLOOKUP(A129,'DISPATCH SHEET'!B$3:B$121,'DISPATCH SHEET'!#REF!,""))</f>
        <v/>
      </c>
      <c r="D129" s="14"/>
      <c r="E129" s="15"/>
      <c r="F129" s="16"/>
      <c r="G129" s="17" t="s">
        <v>0</v>
      </c>
      <c r="H129" s="15"/>
      <c r="I129" s="14" t="s">
        <v>0</v>
      </c>
      <c r="J129" s="14"/>
      <c r="K129" s="18"/>
    </row>
    <row r="130" spans="1:11" s="5" customFormat="1" ht="15" customHeight="1" x14ac:dyDescent="0.2">
      <c r="A130" s="13"/>
      <c r="B130" s="14" t="str">
        <f>IF(A130="","",_xlfn.XLOOKUP(A130,'DISPATCH SHEET'!B$3:B$121,'DISPATCH SHEET'!C$3:C$121,""))</f>
        <v/>
      </c>
      <c r="C130" s="14" t="str">
        <f>IF(ISBLANK(A130),"",_xlfn.XLOOKUP(A130,'DISPATCH SHEET'!B$3:B$121,'DISPATCH SHEET'!#REF!,""))</f>
        <v/>
      </c>
      <c r="D130" s="14"/>
      <c r="E130" s="15"/>
      <c r="F130" s="16"/>
      <c r="G130" s="17" t="s">
        <v>0</v>
      </c>
      <c r="H130" s="15"/>
      <c r="I130" s="14" t="s">
        <v>0</v>
      </c>
      <c r="J130" s="14"/>
      <c r="K130" s="18"/>
    </row>
    <row r="131" spans="1:11" s="5" customFormat="1" ht="15" customHeight="1" x14ac:dyDescent="0.2">
      <c r="A131" s="13"/>
      <c r="B131" s="14" t="str">
        <f>IF(A131="","",_xlfn.XLOOKUP(A131,'DISPATCH SHEET'!B$3:B$121,'DISPATCH SHEET'!C$3:C$121,""))</f>
        <v/>
      </c>
      <c r="C131" s="14" t="str">
        <f>IF(ISBLANK(A131),"",_xlfn.XLOOKUP(A131,'DISPATCH SHEET'!B$3:B$121,'DISPATCH SHEET'!#REF!,""))</f>
        <v/>
      </c>
      <c r="D131" s="14"/>
      <c r="E131" s="15"/>
      <c r="F131" s="16"/>
      <c r="G131" s="17" t="s">
        <v>0</v>
      </c>
      <c r="H131" s="15"/>
      <c r="I131" s="14" t="s">
        <v>0</v>
      </c>
      <c r="J131" s="14"/>
      <c r="K131" s="18"/>
    </row>
    <row r="132" spans="1:11" s="5" customFormat="1" ht="15" customHeight="1" x14ac:dyDescent="0.2">
      <c r="A132" s="13"/>
      <c r="B132" s="14" t="str">
        <f>IF(A132="","",_xlfn.XLOOKUP(A132,'DISPATCH SHEET'!B$3:B$121,'DISPATCH SHEET'!C$3:C$121,""))</f>
        <v/>
      </c>
      <c r="C132" s="14" t="str">
        <f>IF(ISBLANK(A132),"",_xlfn.XLOOKUP(A132,'DISPATCH SHEET'!B$3:B$121,'DISPATCH SHEET'!#REF!,""))</f>
        <v/>
      </c>
      <c r="D132" s="14"/>
      <c r="E132" s="15"/>
      <c r="F132" s="16"/>
      <c r="G132" s="17" t="s">
        <v>0</v>
      </c>
      <c r="H132" s="15"/>
      <c r="I132" s="14" t="s">
        <v>0</v>
      </c>
      <c r="J132" s="14"/>
      <c r="K132" s="18"/>
    </row>
    <row r="133" spans="1:11" s="5" customFormat="1" ht="15" customHeight="1" x14ac:dyDescent="0.2">
      <c r="A133" s="13"/>
      <c r="B133" s="14" t="str">
        <f>IF(A133="","",_xlfn.XLOOKUP(A133,'DISPATCH SHEET'!B$3:B$121,'DISPATCH SHEET'!C$3:C$121,""))</f>
        <v/>
      </c>
      <c r="C133" s="14" t="str">
        <f>IF(ISBLANK(A133),"",_xlfn.XLOOKUP(A133,'DISPATCH SHEET'!B$3:B$121,'DISPATCH SHEET'!#REF!,""))</f>
        <v/>
      </c>
      <c r="D133" s="14"/>
      <c r="E133" s="15"/>
      <c r="F133" s="16"/>
      <c r="G133" s="17" t="s">
        <v>0</v>
      </c>
      <c r="H133" s="15"/>
      <c r="I133" s="14" t="s">
        <v>0</v>
      </c>
      <c r="J133" s="14"/>
      <c r="K133" s="18"/>
    </row>
    <row r="134" spans="1:11" s="5" customFormat="1" ht="15" customHeight="1" x14ac:dyDescent="0.2">
      <c r="A134" s="13"/>
      <c r="B134" s="14" t="str">
        <f>IF(A134="","",_xlfn.XLOOKUP(A134,'DISPATCH SHEET'!B$3:B$121,'DISPATCH SHEET'!C$3:C$121,""))</f>
        <v/>
      </c>
      <c r="C134" s="14" t="str">
        <f>IF(ISBLANK(A134),"",_xlfn.XLOOKUP(A134,'DISPATCH SHEET'!B$3:B$121,'DISPATCH SHEET'!#REF!,""))</f>
        <v/>
      </c>
      <c r="D134" s="14"/>
      <c r="E134" s="15"/>
      <c r="F134" s="16"/>
      <c r="G134" s="17" t="s">
        <v>0</v>
      </c>
      <c r="H134" s="15"/>
      <c r="I134" s="14" t="s">
        <v>0</v>
      </c>
      <c r="J134" s="14"/>
      <c r="K134" s="18"/>
    </row>
    <row r="135" spans="1:11" s="5" customFormat="1" ht="15" customHeight="1" x14ac:dyDescent="0.2">
      <c r="A135" s="13"/>
      <c r="B135" s="14" t="str">
        <f>IF(A135="","",_xlfn.XLOOKUP(A135,'DISPATCH SHEET'!B$3:B$121,'DISPATCH SHEET'!C$3:C$121,""))</f>
        <v/>
      </c>
      <c r="C135" s="14" t="str">
        <f>IF(ISBLANK(A135),"",_xlfn.XLOOKUP(A135,'DISPATCH SHEET'!B$3:B$121,'DISPATCH SHEET'!#REF!,""))</f>
        <v/>
      </c>
      <c r="D135" s="14"/>
      <c r="E135" s="15"/>
      <c r="F135" s="16"/>
      <c r="G135" s="17" t="s">
        <v>0</v>
      </c>
      <c r="H135" s="15"/>
      <c r="I135" s="14" t="s">
        <v>0</v>
      </c>
      <c r="J135" s="14"/>
      <c r="K135" s="18"/>
    </row>
    <row r="136" spans="1:11" s="5" customFormat="1" ht="15" customHeight="1" x14ac:dyDescent="0.2">
      <c r="A136" s="13"/>
      <c r="B136" s="14" t="str">
        <f>IF(A136="","",_xlfn.XLOOKUP(A136,'DISPATCH SHEET'!B$3:B$121,'DISPATCH SHEET'!C$3:C$121,""))</f>
        <v/>
      </c>
      <c r="C136" s="14" t="str">
        <f>IF(ISBLANK(A136),"",_xlfn.XLOOKUP(A136,'DISPATCH SHEET'!B$3:B$121,'DISPATCH SHEET'!#REF!,""))</f>
        <v/>
      </c>
      <c r="D136" s="14"/>
      <c r="E136" s="15"/>
      <c r="F136" s="16"/>
      <c r="G136" s="17" t="s">
        <v>0</v>
      </c>
      <c r="H136" s="15"/>
      <c r="I136" s="14" t="s">
        <v>0</v>
      </c>
      <c r="J136" s="14"/>
      <c r="K136" s="18"/>
    </row>
    <row r="137" spans="1:11" s="5" customFormat="1" ht="15" customHeight="1" x14ac:dyDescent="0.2">
      <c r="A137" s="13"/>
      <c r="B137" s="14" t="str">
        <f>IF(A137="","",_xlfn.XLOOKUP(A137,'DISPATCH SHEET'!B$3:B$121,'DISPATCH SHEET'!C$3:C$121,""))</f>
        <v/>
      </c>
      <c r="C137" s="14" t="str">
        <f>IF(ISBLANK(A137),"",_xlfn.XLOOKUP(A137,'DISPATCH SHEET'!B$3:B$121,'DISPATCH SHEET'!#REF!,""))</f>
        <v/>
      </c>
      <c r="D137" s="14"/>
      <c r="E137" s="15"/>
      <c r="F137" s="16"/>
      <c r="G137" s="17" t="s">
        <v>0</v>
      </c>
      <c r="H137" s="15"/>
      <c r="I137" s="14" t="s">
        <v>0</v>
      </c>
      <c r="J137" s="14"/>
      <c r="K137" s="18"/>
    </row>
    <row r="138" spans="1:11" s="5" customFormat="1" ht="15" customHeight="1" x14ac:dyDescent="0.2">
      <c r="A138" s="13"/>
      <c r="B138" s="14" t="str">
        <f>IF(A138="","",_xlfn.XLOOKUP(A138,'DISPATCH SHEET'!B$3:B$121,'DISPATCH SHEET'!C$3:C$121,""))</f>
        <v/>
      </c>
      <c r="C138" s="14" t="str">
        <f>IF(ISBLANK(A138),"",_xlfn.XLOOKUP(A138,'DISPATCH SHEET'!B$3:B$121,'DISPATCH SHEET'!#REF!,""))</f>
        <v/>
      </c>
      <c r="D138" s="14"/>
      <c r="E138" s="15"/>
      <c r="F138" s="16"/>
      <c r="G138" s="17" t="s">
        <v>0</v>
      </c>
      <c r="H138" s="15"/>
      <c r="I138" s="14" t="s">
        <v>0</v>
      </c>
      <c r="J138" s="14"/>
      <c r="K138" s="18"/>
    </row>
    <row r="139" spans="1:11" s="5" customFormat="1" ht="15" customHeight="1" x14ac:dyDescent="0.2">
      <c r="A139" s="13"/>
      <c r="B139" s="14" t="str">
        <f>IF(A139="","",_xlfn.XLOOKUP(A139,'DISPATCH SHEET'!B$3:B$121,'DISPATCH SHEET'!C$3:C$121,""))</f>
        <v/>
      </c>
      <c r="C139" s="14" t="str">
        <f>IF(ISBLANK(A139),"",_xlfn.XLOOKUP(A139,'DISPATCH SHEET'!B$3:B$121,'DISPATCH SHEET'!#REF!,""))</f>
        <v/>
      </c>
      <c r="D139" s="14"/>
      <c r="E139" s="15"/>
      <c r="F139" s="16"/>
      <c r="G139" s="17" t="s">
        <v>0</v>
      </c>
      <c r="H139" s="15"/>
      <c r="I139" s="14" t="s">
        <v>0</v>
      </c>
      <c r="J139" s="14"/>
      <c r="K139" s="18"/>
    </row>
    <row r="140" spans="1:11" s="5" customFormat="1" ht="15" customHeight="1" x14ac:dyDescent="0.2">
      <c r="A140" s="13"/>
      <c r="B140" s="14" t="str">
        <f>IF(A140="","",_xlfn.XLOOKUP(A140,'DISPATCH SHEET'!B$3:B$121,'DISPATCH SHEET'!C$3:C$121,""))</f>
        <v/>
      </c>
      <c r="C140" s="14" t="str">
        <f>IF(ISBLANK(A140),"",_xlfn.XLOOKUP(A140,'DISPATCH SHEET'!B$3:B$121,'DISPATCH SHEET'!#REF!,""))</f>
        <v/>
      </c>
      <c r="D140" s="14"/>
      <c r="E140" s="15"/>
      <c r="F140" s="16"/>
      <c r="G140" s="17" t="s">
        <v>0</v>
      </c>
      <c r="H140" s="15"/>
      <c r="I140" s="14" t="s">
        <v>0</v>
      </c>
      <c r="J140" s="14"/>
      <c r="K140" s="18"/>
    </row>
    <row r="141" spans="1:11" s="5" customFormat="1" ht="15" customHeight="1" x14ac:dyDescent="0.2">
      <c r="A141" s="13"/>
      <c r="B141" s="14" t="str">
        <f>IF(A141="","",_xlfn.XLOOKUP(A141,'DISPATCH SHEET'!B$3:B$121,'DISPATCH SHEET'!C$3:C$121,""))</f>
        <v/>
      </c>
      <c r="C141" s="14" t="str">
        <f>IF(ISBLANK(A141),"",_xlfn.XLOOKUP(A141,'DISPATCH SHEET'!B$3:B$121,'DISPATCH SHEET'!#REF!,""))</f>
        <v/>
      </c>
      <c r="D141" s="14"/>
      <c r="E141" s="15"/>
      <c r="F141" s="16"/>
      <c r="G141" s="17" t="s">
        <v>0</v>
      </c>
      <c r="H141" s="15"/>
      <c r="I141" s="14" t="s">
        <v>0</v>
      </c>
      <c r="J141" s="14"/>
      <c r="K141" s="18"/>
    </row>
    <row r="142" spans="1:11" s="5" customFormat="1" ht="15" customHeight="1" x14ac:dyDescent="0.2">
      <c r="A142" s="13"/>
      <c r="B142" s="14" t="str">
        <f>IF(A142="","",_xlfn.XLOOKUP(A142,'DISPATCH SHEET'!B$3:B$121,'DISPATCH SHEET'!C$3:C$121,""))</f>
        <v/>
      </c>
      <c r="C142" s="14" t="str">
        <f>IF(ISBLANK(A142),"",_xlfn.XLOOKUP(A142,'DISPATCH SHEET'!B$3:B$121,'DISPATCH SHEET'!#REF!,""))</f>
        <v/>
      </c>
      <c r="D142" s="14"/>
      <c r="E142" s="15"/>
      <c r="F142" s="16"/>
      <c r="G142" s="17" t="s">
        <v>0</v>
      </c>
      <c r="H142" s="15"/>
      <c r="I142" s="14" t="s">
        <v>0</v>
      </c>
      <c r="J142" s="14"/>
      <c r="K142" s="18"/>
    </row>
    <row r="143" spans="1:11" s="5" customFormat="1" ht="15" customHeight="1" x14ac:dyDescent="0.2">
      <c r="A143" s="13"/>
      <c r="B143" s="14" t="str">
        <f>IF(A143="","",_xlfn.XLOOKUP(A143,'DISPATCH SHEET'!B$3:B$121,'DISPATCH SHEET'!C$3:C$121,""))</f>
        <v/>
      </c>
      <c r="C143" s="14" t="str">
        <f>IF(ISBLANK(A143),"",_xlfn.XLOOKUP(A143,'DISPATCH SHEET'!B$3:B$121,'DISPATCH SHEET'!#REF!,""))</f>
        <v/>
      </c>
      <c r="D143" s="14"/>
      <c r="E143" s="15"/>
      <c r="F143" s="16"/>
      <c r="G143" s="17" t="s">
        <v>0</v>
      </c>
      <c r="H143" s="15"/>
      <c r="I143" s="14" t="s">
        <v>0</v>
      </c>
      <c r="J143" s="14"/>
      <c r="K143" s="18"/>
    </row>
    <row r="144" spans="1:11" s="5" customFormat="1" ht="15" customHeight="1" x14ac:dyDescent="0.2">
      <c r="A144" s="13"/>
      <c r="B144" s="14" t="str">
        <f>IF(A144="","",_xlfn.XLOOKUP(A144,'DISPATCH SHEET'!B$3:B$121,'DISPATCH SHEET'!C$3:C$121,""))</f>
        <v/>
      </c>
      <c r="C144" s="14" t="str">
        <f>IF(ISBLANK(A144),"",_xlfn.XLOOKUP(A144,'DISPATCH SHEET'!B$3:B$121,'DISPATCH SHEET'!#REF!,""))</f>
        <v/>
      </c>
      <c r="D144" s="14"/>
      <c r="E144" s="15"/>
      <c r="F144" s="16"/>
      <c r="G144" s="17" t="s">
        <v>0</v>
      </c>
      <c r="H144" s="15"/>
      <c r="I144" s="14" t="s">
        <v>0</v>
      </c>
      <c r="J144" s="14"/>
      <c r="K144" s="18"/>
    </row>
    <row r="145" spans="1:11" s="5" customFormat="1" ht="15" customHeight="1" x14ac:dyDescent="0.2">
      <c r="A145" s="13"/>
      <c r="B145" s="14" t="str">
        <f>IF(A145="","",_xlfn.XLOOKUP(A145,'DISPATCH SHEET'!B$3:B$121,'DISPATCH SHEET'!C$3:C$121,""))</f>
        <v/>
      </c>
      <c r="C145" s="14" t="str">
        <f>IF(ISBLANK(A145),"",_xlfn.XLOOKUP(A145,'DISPATCH SHEET'!B$3:B$121,'DISPATCH SHEET'!#REF!,""))</f>
        <v/>
      </c>
      <c r="D145" s="14"/>
      <c r="E145" s="15"/>
      <c r="F145" s="16"/>
      <c r="G145" s="17" t="s">
        <v>0</v>
      </c>
      <c r="H145" s="15"/>
      <c r="I145" s="14" t="s">
        <v>0</v>
      </c>
      <c r="J145" s="14"/>
      <c r="K145" s="18"/>
    </row>
    <row r="146" spans="1:11" s="5" customFormat="1" ht="15" customHeight="1" x14ac:dyDescent="0.2">
      <c r="A146" s="13"/>
      <c r="B146" s="14" t="str">
        <f>IF(A146="","",_xlfn.XLOOKUP(A146,'DISPATCH SHEET'!B$3:B$121,'DISPATCH SHEET'!C$3:C$121,""))</f>
        <v/>
      </c>
      <c r="C146" s="14" t="str">
        <f>IF(ISBLANK(A146),"",_xlfn.XLOOKUP(A146,'DISPATCH SHEET'!B$3:B$121,'DISPATCH SHEET'!#REF!,""))</f>
        <v/>
      </c>
      <c r="D146" s="14"/>
      <c r="E146" s="15"/>
      <c r="F146" s="16"/>
      <c r="G146" s="17" t="s">
        <v>0</v>
      </c>
      <c r="H146" s="15"/>
      <c r="I146" s="14" t="s">
        <v>0</v>
      </c>
      <c r="J146" s="14"/>
      <c r="K146" s="18"/>
    </row>
    <row r="147" spans="1:11" s="5" customFormat="1" ht="15" customHeight="1" x14ac:dyDescent="0.2">
      <c r="A147" s="13"/>
      <c r="B147" s="14" t="str">
        <f>IF(A147="","",_xlfn.XLOOKUP(A147,'DISPATCH SHEET'!B$3:B$121,'DISPATCH SHEET'!C$3:C$121,""))</f>
        <v/>
      </c>
      <c r="C147" s="14" t="str">
        <f>IF(ISBLANK(A147),"",_xlfn.XLOOKUP(A147,'DISPATCH SHEET'!B$3:B$121,'DISPATCH SHEET'!#REF!,""))</f>
        <v/>
      </c>
      <c r="D147" s="14"/>
      <c r="E147" s="15"/>
      <c r="F147" s="16"/>
      <c r="G147" s="17" t="s">
        <v>0</v>
      </c>
      <c r="H147" s="15"/>
      <c r="I147" s="14" t="s">
        <v>0</v>
      </c>
      <c r="J147" s="14"/>
      <c r="K147" s="18"/>
    </row>
    <row r="148" spans="1:11" s="5" customFormat="1" ht="15" customHeight="1" x14ac:dyDescent="0.2">
      <c r="A148" s="13"/>
      <c r="B148" s="14" t="str">
        <f>IF(A148="","",_xlfn.XLOOKUP(A148,'DISPATCH SHEET'!B$3:B$121,'DISPATCH SHEET'!C$3:C$121,""))</f>
        <v/>
      </c>
      <c r="C148" s="14" t="str">
        <f>IF(ISBLANK(A148),"",_xlfn.XLOOKUP(A148,'DISPATCH SHEET'!B$3:B$121,'DISPATCH SHEET'!#REF!,""))</f>
        <v/>
      </c>
      <c r="D148" s="14"/>
      <c r="E148" s="15"/>
      <c r="F148" s="16"/>
      <c r="G148" s="17" t="s">
        <v>0</v>
      </c>
      <c r="H148" s="15"/>
      <c r="I148" s="14" t="s">
        <v>0</v>
      </c>
      <c r="J148" s="14"/>
      <c r="K148" s="18"/>
    </row>
    <row r="149" spans="1:11" s="5" customFormat="1" ht="15" customHeight="1" x14ac:dyDescent="0.2">
      <c r="A149" s="13"/>
      <c r="B149" s="14" t="str">
        <f>IF(A149="","",_xlfn.XLOOKUP(A149,'DISPATCH SHEET'!B$3:B$121,'DISPATCH SHEET'!C$3:C$121,""))</f>
        <v/>
      </c>
      <c r="C149" s="14" t="str">
        <f>IF(ISBLANK(A149),"",_xlfn.XLOOKUP(A149,'DISPATCH SHEET'!B$3:B$121,'DISPATCH SHEET'!#REF!,""))</f>
        <v/>
      </c>
      <c r="D149" s="14"/>
      <c r="E149" s="15"/>
      <c r="F149" s="16"/>
      <c r="G149" s="17" t="s">
        <v>0</v>
      </c>
      <c r="H149" s="15"/>
      <c r="I149" s="14" t="s">
        <v>0</v>
      </c>
      <c r="J149" s="14"/>
      <c r="K149" s="18"/>
    </row>
    <row r="150" spans="1:11" s="5" customFormat="1" ht="15" customHeight="1" x14ac:dyDescent="0.2">
      <c r="A150" s="13"/>
      <c r="B150" s="14" t="str">
        <f>IF(A150="","",_xlfn.XLOOKUP(A150,'DISPATCH SHEET'!B$3:B$121,'DISPATCH SHEET'!C$3:C$121,""))</f>
        <v/>
      </c>
      <c r="C150" s="14" t="str">
        <f>IF(ISBLANK(A150),"",_xlfn.XLOOKUP(A150,'DISPATCH SHEET'!B$3:B$121,'DISPATCH SHEET'!#REF!,""))</f>
        <v/>
      </c>
      <c r="D150" s="14"/>
      <c r="E150" s="15"/>
      <c r="F150" s="16"/>
      <c r="G150" s="17" t="s">
        <v>0</v>
      </c>
      <c r="H150" s="15"/>
      <c r="I150" s="14" t="s">
        <v>0</v>
      </c>
      <c r="J150" s="14"/>
      <c r="K150" s="18"/>
    </row>
    <row r="151" spans="1:11" s="5" customFormat="1" ht="15" customHeight="1" x14ac:dyDescent="0.2">
      <c r="A151" s="13"/>
      <c r="B151" s="14" t="str">
        <f>IF(A151="","",_xlfn.XLOOKUP(A151,'DISPATCH SHEET'!B$3:B$121,'DISPATCH SHEET'!C$3:C$121,""))</f>
        <v/>
      </c>
      <c r="C151" s="14" t="str">
        <f>IF(ISBLANK(A151),"",_xlfn.XLOOKUP(A151,'DISPATCH SHEET'!B$3:B$121,'DISPATCH SHEET'!#REF!,""))</f>
        <v/>
      </c>
      <c r="D151" s="14"/>
      <c r="E151" s="15"/>
      <c r="F151" s="16"/>
      <c r="G151" s="17" t="s">
        <v>0</v>
      </c>
      <c r="H151" s="15"/>
      <c r="I151" s="14" t="s">
        <v>0</v>
      </c>
      <c r="J151" s="14"/>
      <c r="K151" s="18"/>
    </row>
    <row r="152" spans="1:11" s="5" customFormat="1" ht="15" customHeight="1" x14ac:dyDescent="0.2">
      <c r="A152" s="13"/>
      <c r="B152" s="14" t="str">
        <f>IF(A152="","",_xlfn.XLOOKUP(A152,'DISPATCH SHEET'!B$3:B$121,'DISPATCH SHEET'!C$3:C$121,""))</f>
        <v/>
      </c>
      <c r="C152" s="14" t="str">
        <f>IF(ISBLANK(A152),"",_xlfn.XLOOKUP(A152,'DISPATCH SHEET'!B$3:B$121,'DISPATCH SHEET'!#REF!,""))</f>
        <v/>
      </c>
      <c r="D152" s="14"/>
      <c r="E152" s="15"/>
      <c r="F152" s="16"/>
      <c r="G152" s="17" t="s">
        <v>0</v>
      </c>
      <c r="H152" s="15"/>
      <c r="I152" s="14" t="s">
        <v>0</v>
      </c>
      <c r="J152" s="14"/>
      <c r="K152" s="18"/>
    </row>
    <row r="153" spans="1:11" s="5" customFormat="1" ht="15" customHeight="1" x14ac:dyDescent="0.2">
      <c r="A153" s="13"/>
      <c r="B153" s="14" t="str">
        <f>IF(A153="","",_xlfn.XLOOKUP(A153,'DISPATCH SHEET'!B$3:B$121,'DISPATCH SHEET'!C$3:C$121,""))</f>
        <v/>
      </c>
      <c r="C153" s="14" t="str">
        <f>IF(ISBLANK(A153),"",_xlfn.XLOOKUP(A153,'DISPATCH SHEET'!B$3:B$121,'DISPATCH SHEET'!#REF!,""))</f>
        <v/>
      </c>
      <c r="D153" s="14"/>
      <c r="E153" s="15"/>
      <c r="F153" s="16"/>
      <c r="G153" s="17" t="s">
        <v>0</v>
      </c>
      <c r="H153" s="15"/>
      <c r="I153" s="14" t="s">
        <v>0</v>
      </c>
      <c r="J153" s="14"/>
      <c r="K153" s="18"/>
    </row>
    <row r="154" spans="1:11" s="5" customFormat="1" ht="15" customHeight="1" x14ac:dyDescent="0.2">
      <c r="A154" s="13"/>
      <c r="B154" s="14" t="str">
        <f>IF(A154="","",_xlfn.XLOOKUP(A154,'DISPATCH SHEET'!B$3:B$121,'DISPATCH SHEET'!C$3:C$121,""))</f>
        <v/>
      </c>
      <c r="C154" s="14" t="str">
        <f>IF(ISBLANK(A154),"",_xlfn.XLOOKUP(A154,'DISPATCH SHEET'!B$3:B$121,'DISPATCH SHEET'!#REF!,""))</f>
        <v/>
      </c>
      <c r="D154" s="14"/>
      <c r="E154" s="15"/>
      <c r="F154" s="16"/>
      <c r="G154" s="17" t="s">
        <v>0</v>
      </c>
      <c r="H154" s="15"/>
      <c r="I154" s="14" t="s">
        <v>0</v>
      </c>
      <c r="J154" s="14"/>
      <c r="K154" s="18"/>
    </row>
    <row r="155" spans="1:11" s="5" customFormat="1" ht="15" customHeight="1" x14ac:dyDescent="0.2">
      <c r="A155" s="13"/>
      <c r="B155" s="14" t="str">
        <f>IF(A155="","",_xlfn.XLOOKUP(A155,'DISPATCH SHEET'!B$3:B$121,'DISPATCH SHEET'!C$3:C$121,""))</f>
        <v/>
      </c>
      <c r="C155" s="14" t="str">
        <f>IF(ISBLANK(A155),"",_xlfn.XLOOKUP(A155,'DISPATCH SHEET'!B$3:B$121,'DISPATCH SHEET'!#REF!,""))</f>
        <v/>
      </c>
      <c r="D155" s="14"/>
      <c r="E155" s="15"/>
      <c r="F155" s="16"/>
      <c r="G155" s="17" t="s">
        <v>0</v>
      </c>
      <c r="H155" s="15"/>
      <c r="I155" s="14" t="s">
        <v>0</v>
      </c>
      <c r="J155" s="14"/>
      <c r="K155" s="18"/>
    </row>
    <row r="156" spans="1:11" s="5" customFormat="1" ht="15" customHeight="1" x14ac:dyDescent="0.2">
      <c r="A156" s="13"/>
      <c r="B156" s="14" t="str">
        <f>IF(A156="","",_xlfn.XLOOKUP(A156,'DISPATCH SHEET'!B$3:B$121,'DISPATCH SHEET'!C$3:C$121,""))</f>
        <v/>
      </c>
      <c r="C156" s="14" t="str">
        <f>IF(ISBLANK(A156),"",_xlfn.XLOOKUP(A156,'DISPATCH SHEET'!B$3:B$121,'DISPATCH SHEET'!#REF!,""))</f>
        <v/>
      </c>
      <c r="D156" s="14"/>
      <c r="E156" s="15"/>
      <c r="F156" s="16"/>
      <c r="G156" s="17" t="s">
        <v>0</v>
      </c>
      <c r="H156" s="15"/>
      <c r="I156" s="14" t="s">
        <v>0</v>
      </c>
      <c r="J156" s="14"/>
      <c r="K156" s="18"/>
    </row>
    <row r="157" spans="1:11" s="5" customFormat="1" ht="15" customHeight="1" x14ac:dyDescent="0.2">
      <c r="A157" s="13"/>
      <c r="B157" s="14" t="str">
        <f>IF(A157="","",_xlfn.XLOOKUP(A157,'DISPATCH SHEET'!B$3:B$121,'DISPATCH SHEET'!C$3:C$121,""))</f>
        <v/>
      </c>
      <c r="C157" s="14" t="str">
        <f>IF(ISBLANK(A157),"",_xlfn.XLOOKUP(A157,'DISPATCH SHEET'!B$3:B$121,'DISPATCH SHEET'!#REF!,""))</f>
        <v/>
      </c>
      <c r="D157" s="14"/>
      <c r="E157" s="15"/>
      <c r="F157" s="16"/>
      <c r="G157" s="17" t="s">
        <v>0</v>
      </c>
      <c r="H157" s="15"/>
      <c r="I157" s="14" t="s">
        <v>0</v>
      </c>
      <c r="J157" s="14"/>
      <c r="K157" s="18"/>
    </row>
    <row r="158" spans="1:11" s="5" customFormat="1" ht="15" customHeight="1" x14ac:dyDescent="0.2">
      <c r="A158" s="13"/>
      <c r="B158" s="14" t="str">
        <f>IF(A158="","",_xlfn.XLOOKUP(A158,'DISPATCH SHEET'!B$3:B$121,'DISPATCH SHEET'!C$3:C$121,""))</f>
        <v/>
      </c>
      <c r="C158" s="14" t="str">
        <f>IF(ISBLANK(A158),"",_xlfn.XLOOKUP(A158,'DISPATCH SHEET'!B$3:B$121,'DISPATCH SHEET'!#REF!,""))</f>
        <v/>
      </c>
      <c r="D158" s="14"/>
      <c r="E158" s="15"/>
      <c r="F158" s="16"/>
      <c r="G158" s="17" t="s">
        <v>0</v>
      </c>
      <c r="H158" s="15"/>
      <c r="I158" s="14" t="s">
        <v>0</v>
      </c>
      <c r="J158" s="14"/>
      <c r="K158" s="18"/>
    </row>
    <row r="159" spans="1:11" s="5" customFormat="1" ht="15" customHeight="1" x14ac:dyDescent="0.2">
      <c r="A159" s="13"/>
      <c r="B159" s="14" t="str">
        <f>IF(A159="","",_xlfn.XLOOKUP(A159,'DISPATCH SHEET'!B$3:B$121,'DISPATCH SHEET'!C$3:C$121,""))</f>
        <v/>
      </c>
      <c r="C159" s="14" t="str">
        <f>IF(ISBLANK(A159),"",_xlfn.XLOOKUP(A159,'DISPATCH SHEET'!B$3:B$121,'DISPATCH SHEET'!#REF!,""))</f>
        <v/>
      </c>
      <c r="D159" s="14"/>
      <c r="E159" s="15"/>
      <c r="F159" s="16"/>
      <c r="G159" s="17" t="s">
        <v>0</v>
      </c>
      <c r="H159" s="15"/>
      <c r="I159" s="14" t="s">
        <v>0</v>
      </c>
      <c r="J159" s="14"/>
      <c r="K159" s="18"/>
    </row>
    <row r="160" spans="1:11" s="5" customFormat="1" ht="15" customHeight="1" x14ac:dyDescent="0.2">
      <c r="A160" s="13"/>
      <c r="B160" s="14" t="str">
        <f>IF(A160="","",_xlfn.XLOOKUP(A160,'DISPATCH SHEET'!B$3:B$121,'DISPATCH SHEET'!C$3:C$121,""))</f>
        <v/>
      </c>
      <c r="C160" s="14" t="str">
        <f>IF(ISBLANK(A160),"",_xlfn.XLOOKUP(A160,'DISPATCH SHEET'!B$3:B$121,'DISPATCH SHEET'!#REF!,""))</f>
        <v/>
      </c>
      <c r="D160" s="14"/>
      <c r="E160" s="15"/>
      <c r="F160" s="16"/>
      <c r="G160" s="17" t="s">
        <v>0</v>
      </c>
      <c r="H160" s="15"/>
      <c r="I160" s="14" t="s">
        <v>0</v>
      </c>
      <c r="J160" s="14"/>
      <c r="K160" s="18"/>
    </row>
    <row r="161" spans="1:12" s="5" customFormat="1" ht="15" customHeight="1" x14ac:dyDescent="0.2">
      <c r="A161" s="13"/>
      <c r="B161" s="14" t="str">
        <f>IF(A161="","",_xlfn.XLOOKUP(A161,'DISPATCH SHEET'!B$3:B$121,'DISPATCH SHEET'!C$3:C$121,""))</f>
        <v/>
      </c>
      <c r="C161" s="14" t="str">
        <f>IF(ISBLANK(A161),"",_xlfn.XLOOKUP(A161,'DISPATCH SHEET'!B$3:B$121,'DISPATCH SHEET'!#REF!,""))</f>
        <v/>
      </c>
      <c r="D161" s="14"/>
      <c r="E161" s="15"/>
      <c r="F161" s="16"/>
      <c r="G161" s="17" t="s">
        <v>0</v>
      </c>
      <c r="H161" s="15"/>
      <c r="I161" s="14" t="s">
        <v>0</v>
      </c>
      <c r="J161" s="14"/>
      <c r="K161" s="18"/>
    </row>
    <row r="162" spans="1:12" s="5" customFormat="1" ht="15" customHeight="1" x14ac:dyDescent="0.2">
      <c r="A162" s="13"/>
      <c r="B162" s="14" t="str">
        <f>IF(A162="","",_xlfn.XLOOKUP(A162,'DISPATCH SHEET'!B$3:B$121,'DISPATCH SHEET'!C$3:C$121,""))</f>
        <v/>
      </c>
      <c r="C162" s="14" t="str">
        <f>IF(ISBLANK(A162),"",_xlfn.XLOOKUP(A162,'DISPATCH SHEET'!B$3:B$121,'DISPATCH SHEET'!#REF!,""))</f>
        <v/>
      </c>
      <c r="D162" s="14"/>
      <c r="E162" s="15"/>
      <c r="F162" s="16"/>
      <c r="G162" s="17" t="s">
        <v>0</v>
      </c>
      <c r="H162" s="15"/>
      <c r="I162" s="14" t="s">
        <v>0</v>
      </c>
      <c r="J162" s="14"/>
      <c r="K162" s="18"/>
    </row>
    <row r="163" spans="1:12" s="5" customFormat="1" ht="15" customHeight="1" x14ac:dyDescent="0.2">
      <c r="A163" s="13"/>
      <c r="B163" s="14" t="str">
        <f>IF(A163="","",_xlfn.XLOOKUP(A163,'DISPATCH SHEET'!B$3:B$121,'DISPATCH SHEET'!C$3:C$121,""))</f>
        <v/>
      </c>
      <c r="C163" s="14" t="str">
        <f>IF(ISBLANK(A163),"",_xlfn.XLOOKUP(A163,'DISPATCH SHEET'!B$3:B$121,'DISPATCH SHEET'!#REF!,""))</f>
        <v/>
      </c>
      <c r="D163" s="14"/>
      <c r="E163" s="15"/>
      <c r="F163" s="16"/>
      <c r="G163" s="17" t="s">
        <v>0</v>
      </c>
      <c r="H163" s="15"/>
      <c r="I163" s="14" t="s">
        <v>0</v>
      </c>
      <c r="J163" s="14"/>
      <c r="K163" s="18"/>
    </row>
    <row r="164" spans="1:12" s="5" customFormat="1" ht="15" customHeight="1" x14ac:dyDescent="0.2">
      <c r="A164" s="13"/>
      <c r="B164" s="14" t="str">
        <f>IF(A164="","",_xlfn.XLOOKUP(A164,'DISPATCH SHEET'!B$3:B$121,'DISPATCH SHEET'!C$3:C$121,""))</f>
        <v/>
      </c>
      <c r="C164" s="14" t="str">
        <f>IF(ISBLANK(A164),"",_xlfn.XLOOKUP(A164,'DISPATCH SHEET'!B$3:B$121,'DISPATCH SHEET'!#REF!,""))</f>
        <v/>
      </c>
      <c r="D164" s="14"/>
      <c r="E164" s="15"/>
      <c r="F164" s="16"/>
      <c r="G164" s="17" t="s">
        <v>0</v>
      </c>
      <c r="H164" s="15"/>
      <c r="I164" s="14" t="s">
        <v>0</v>
      </c>
      <c r="J164" s="14"/>
      <c r="K164" s="18"/>
    </row>
    <row r="165" spans="1:12" s="5" customFormat="1" ht="15" customHeight="1" x14ac:dyDescent="0.2">
      <c r="A165" s="13"/>
      <c r="B165" s="14" t="str">
        <f>IF(A165="","",_xlfn.XLOOKUP(A165,'DISPATCH SHEET'!B$3:B$121,'DISPATCH SHEET'!C$3:C$121,""))</f>
        <v/>
      </c>
      <c r="C165" s="14" t="str">
        <f>IF(ISBLANK(A165),"",_xlfn.XLOOKUP(A165,'DISPATCH SHEET'!B$3:B$121,'DISPATCH SHEET'!#REF!,""))</f>
        <v/>
      </c>
      <c r="D165" s="14"/>
      <c r="E165" s="15"/>
      <c r="F165" s="16"/>
      <c r="G165" s="17" t="s">
        <v>0</v>
      </c>
      <c r="H165" s="15"/>
      <c r="I165" s="14" t="s">
        <v>0</v>
      </c>
      <c r="J165" s="14"/>
      <c r="K165" s="18"/>
    </row>
    <row r="166" spans="1:12" s="5" customFormat="1" ht="15" customHeight="1" x14ac:dyDescent="0.2">
      <c r="A166" s="13"/>
      <c r="B166" s="14" t="str">
        <f>IF(A166="","",_xlfn.XLOOKUP(A166,'DISPATCH SHEET'!B$3:B$121,'DISPATCH SHEET'!C$3:C$121,""))</f>
        <v/>
      </c>
      <c r="C166" s="14" t="str">
        <f>IF(ISBLANK(A166),"",_xlfn.XLOOKUP(A166,'DISPATCH SHEET'!B$3:B$121,'DISPATCH SHEET'!#REF!,""))</f>
        <v/>
      </c>
      <c r="D166" s="14"/>
      <c r="E166" s="15"/>
      <c r="F166" s="16"/>
      <c r="G166" s="17" t="s">
        <v>0</v>
      </c>
      <c r="H166" s="15"/>
      <c r="I166" s="14" t="s">
        <v>0</v>
      </c>
      <c r="J166" s="14"/>
      <c r="K166" s="18"/>
    </row>
    <row r="167" spans="1:12" s="5" customFormat="1" ht="15" customHeight="1" x14ac:dyDescent="0.2">
      <c r="A167" s="13"/>
      <c r="B167" s="14" t="str">
        <f>IF(A167="","",_xlfn.XLOOKUP(A167,'DISPATCH SHEET'!B$3:B$121,'DISPATCH SHEET'!C$3:C$121,""))</f>
        <v/>
      </c>
      <c r="C167" s="14" t="str">
        <f>IF(ISBLANK(A167),"",_xlfn.XLOOKUP(A167,'DISPATCH SHEET'!B$3:B$121,'DISPATCH SHEET'!#REF!,""))</f>
        <v/>
      </c>
      <c r="D167" s="14"/>
      <c r="E167" s="15"/>
      <c r="F167" s="16"/>
      <c r="G167" s="17" t="s">
        <v>0</v>
      </c>
      <c r="H167" s="15"/>
      <c r="I167" s="14" t="s">
        <v>0</v>
      </c>
      <c r="J167" s="14"/>
      <c r="K167" s="18"/>
    </row>
    <row r="168" spans="1:12" s="5" customFormat="1" ht="15" customHeight="1" x14ac:dyDescent="0.2">
      <c r="A168" s="13"/>
      <c r="B168" s="14" t="str">
        <f>IF(A168="","",_xlfn.XLOOKUP(A168,'DISPATCH SHEET'!B$3:B$121,'DISPATCH SHEET'!C$3:C$121,""))</f>
        <v/>
      </c>
      <c r="C168" s="14" t="str">
        <f>IF(ISBLANK(A168),"",_xlfn.XLOOKUP(A168,'DISPATCH SHEET'!B$3:B$121,'DISPATCH SHEET'!#REF!,""))</f>
        <v/>
      </c>
      <c r="D168" s="14"/>
      <c r="E168" s="15"/>
      <c r="F168" s="16"/>
      <c r="G168" s="17" t="s">
        <v>0</v>
      </c>
      <c r="H168" s="15"/>
      <c r="I168" s="14" t="s">
        <v>0</v>
      </c>
      <c r="J168" s="14"/>
      <c r="K168" s="18"/>
    </row>
    <row r="169" spans="1:12" s="5" customFormat="1" ht="15" customHeight="1" x14ac:dyDescent="0.2">
      <c r="A169" s="13"/>
      <c r="B169" s="14" t="str">
        <f>IF(A169="","",_xlfn.XLOOKUP(A169,'DISPATCH SHEET'!B$3:B$121,'DISPATCH SHEET'!C$3:C$121,""))</f>
        <v/>
      </c>
      <c r="C169" s="14" t="str">
        <f>IF(ISBLANK(A169),"",_xlfn.XLOOKUP(A169,'DISPATCH SHEET'!B$3:B$121,'DISPATCH SHEET'!#REF!,""))</f>
        <v/>
      </c>
      <c r="D169" s="14"/>
      <c r="E169" s="15"/>
      <c r="F169" s="16"/>
      <c r="G169" s="17" t="s">
        <v>0</v>
      </c>
      <c r="H169" s="15"/>
      <c r="I169" s="14" t="s">
        <v>0</v>
      </c>
      <c r="J169" s="14"/>
      <c r="K169" s="18"/>
    </row>
    <row r="170" spans="1:12" s="5" customFormat="1" ht="15" customHeight="1" x14ac:dyDescent="0.2">
      <c r="A170" s="13"/>
      <c r="B170" s="14" t="str">
        <f>IF(A170="","",_xlfn.XLOOKUP(A170,'DISPATCH SHEET'!B$3:B$121,'DISPATCH SHEET'!C$3:C$121,""))</f>
        <v/>
      </c>
      <c r="C170" s="14" t="str">
        <f>IF(ISBLANK(A170),"",_xlfn.XLOOKUP(A170,'DISPATCH SHEET'!B$3:B$121,'DISPATCH SHEET'!#REF!,""))</f>
        <v/>
      </c>
      <c r="D170" s="14"/>
      <c r="E170" s="15"/>
      <c r="F170" s="16"/>
      <c r="G170" s="17" t="s">
        <v>0</v>
      </c>
      <c r="H170" s="15"/>
      <c r="I170" s="14" t="s">
        <v>0</v>
      </c>
      <c r="J170" s="14"/>
      <c r="K170" s="18"/>
    </row>
    <row r="171" spans="1:12" s="5" customFormat="1" ht="15" customHeight="1" x14ac:dyDescent="0.2">
      <c r="A171" s="13"/>
      <c r="B171" s="14" t="str">
        <f>IF(A171="","",_xlfn.XLOOKUP(A171,'DISPATCH SHEET'!B$3:B$121,'DISPATCH SHEET'!C$3:C$121,""))</f>
        <v/>
      </c>
      <c r="C171" s="14" t="str">
        <f>IF(ISBLANK(A171),"",_xlfn.XLOOKUP(A171,'DISPATCH SHEET'!B$3:B$121,'DISPATCH SHEET'!#REF!,""))</f>
        <v/>
      </c>
      <c r="D171" s="14"/>
      <c r="E171" s="15"/>
      <c r="F171" s="16"/>
      <c r="G171" s="17" t="s">
        <v>0</v>
      </c>
      <c r="H171" s="15"/>
      <c r="I171" s="14" t="s">
        <v>0</v>
      </c>
      <c r="J171" s="14"/>
      <c r="K171" s="18"/>
    </row>
    <row r="172" spans="1:12" s="5" customFormat="1" ht="15" customHeight="1" x14ac:dyDescent="0.2">
      <c r="A172" s="13"/>
      <c r="B172" s="14" t="str">
        <f>IF(A172="","",_xlfn.XLOOKUP(A172,'DISPATCH SHEET'!B$3:B$121,'DISPATCH SHEET'!C$3:C$121,""))</f>
        <v/>
      </c>
      <c r="C172" s="14" t="str">
        <f>IF(ISBLANK(A172),"",_xlfn.XLOOKUP(A172,'DISPATCH SHEET'!B$3:B$121,'DISPATCH SHEET'!#REF!,""))</f>
        <v/>
      </c>
      <c r="D172" s="14"/>
      <c r="E172" s="15"/>
      <c r="F172" s="16"/>
      <c r="G172" s="17" t="s">
        <v>0</v>
      </c>
      <c r="H172" s="15"/>
      <c r="I172" s="14" t="s">
        <v>0</v>
      </c>
      <c r="J172" s="14"/>
      <c r="K172" s="18"/>
      <c r="L172" s="19"/>
    </row>
    <row r="173" spans="1:12" s="5" customFormat="1" ht="15" customHeight="1" x14ac:dyDescent="0.2">
      <c r="A173" s="13"/>
      <c r="B173" s="14" t="str">
        <f>IF(A173="","",_xlfn.XLOOKUP(A173,'DISPATCH SHEET'!B$3:B$121,'DISPATCH SHEET'!C$3:C$121,""))</f>
        <v/>
      </c>
      <c r="C173" s="14" t="str">
        <f>IF(ISBLANK(A173),"",_xlfn.XLOOKUP(A173,'DISPATCH SHEET'!B$3:B$121,'DISPATCH SHEET'!#REF!,""))</f>
        <v/>
      </c>
      <c r="D173" s="14"/>
      <c r="E173" s="15"/>
      <c r="F173" s="16"/>
      <c r="G173" s="17" t="s">
        <v>0</v>
      </c>
      <c r="H173" s="15"/>
      <c r="I173" s="14" t="s">
        <v>0</v>
      </c>
      <c r="J173" s="14"/>
      <c r="K173" s="18"/>
    </row>
    <row r="174" spans="1:12" s="5" customFormat="1" ht="15" customHeight="1" x14ac:dyDescent="0.2">
      <c r="A174" s="13"/>
      <c r="B174" s="14" t="str">
        <f>IF(A174="","",_xlfn.XLOOKUP(A174,'DISPATCH SHEET'!B$3:B$121,'DISPATCH SHEET'!C$3:C$121,""))</f>
        <v/>
      </c>
      <c r="C174" s="14" t="str">
        <f>IF(ISBLANK(A174),"",_xlfn.XLOOKUP(A174,'DISPATCH SHEET'!B$3:B$121,'DISPATCH SHEET'!#REF!,""))</f>
        <v/>
      </c>
      <c r="D174" s="14"/>
      <c r="E174" s="15"/>
      <c r="F174" s="16"/>
      <c r="G174" s="17" t="s">
        <v>0</v>
      </c>
      <c r="H174" s="15"/>
      <c r="I174" s="14" t="s">
        <v>0</v>
      </c>
      <c r="J174" s="14"/>
      <c r="K174" s="18"/>
    </row>
    <row r="175" spans="1:12" s="5" customFormat="1" ht="15" customHeight="1" x14ac:dyDescent="0.2">
      <c r="A175" s="13"/>
      <c r="B175" s="14" t="str">
        <f>IF(A175="","",_xlfn.XLOOKUP(A175,'DISPATCH SHEET'!B$3:B$121,'DISPATCH SHEET'!C$3:C$121,""))</f>
        <v/>
      </c>
      <c r="C175" s="14" t="str">
        <f>IF(ISBLANK(A175),"",_xlfn.XLOOKUP(A175,'DISPATCH SHEET'!B$3:B$121,'DISPATCH SHEET'!#REF!,""))</f>
        <v/>
      </c>
      <c r="D175" s="14"/>
      <c r="E175" s="15"/>
      <c r="F175" s="16"/>
      <c r="G175" s="17" t="s">
        <v>0</v>
      </c>
      <c r="H175" s="15"/>
      <c r="I175" s="14" t="s">
        <v>0</v>
      </c>
      <c r="J175" s="14"/>
      <c r="K175" s="18"/>
    </row>
    <row r="176" spans="1:12" s="5" customFormat="1" ht="15" customHeight="1" x14ac:dyDescent="0.2">
      <c r="A176" s="13"/>
      <c r="B176" s="14" t="str">
        <f>IF(A176="","",_xlfn.XLOOKUP(A176,'DISPATCH SHEET'!B$3:B$121,'DISPATCH SHEET'!C$3:C$121,""))</f>
        <v/>
      </c>
      <c r="C176" s="14" t="str">
        <f>IF(ISBLANK(A176),"",_xlfn.XLOOKUP(A176,'DISPATCH SHEET'!B$3:B$121,'DISPATCH SHEET'!#REF!,""))</f>
        <v/>
      </c>
      <c r="D176" s="14"/>
      <c r="E176" s="15"/>
      <c r="F176" s="16"/>
      <c r="G176" s="17" t="s">
        <v>0</v>
      </c>
      <c r="H176" s="15"/>
      <c r="I176" s="14" t="s">
        <v>0</v>
      </c>
      <c r="J176" s="14"/>
      <c r="K176" s="18"/>
    </row>
    <row r="177" spans="1:11" s="5" customFormat="1" ht="15" customHeight="1" x14ac:dyDescent="0.2">
      <c r="A177" s="13"/>
      <c r="B177" s="14" t="str">
        <f>IF(A177="","",_xlfn.XLOOKUP(A177,'DISPATCH SHEET'!B$3:B$121,'DISPATCH SHEET'!C$3:C$121,""))</f>
        <v/>
      </c>
      <c r="C177" s="14" t="str">
        <f>IF(ISBLANK(A177),"",_xlfn.XLOOKUP(A177,'DISPATCH SHEET'!B$3:B$121,'DISPATCH SHEET'!#REF!,""))</f>
        <v/>
      </c>
      <c r="D177" s="14"/>
      <c r="E177" s="15"/>
      <c r="F177" s="16"/>
      <c r="G177" s="17" t="s">
        <v>0</v>
      </c>
      <c r="H177" s="15"/>
      <c r="I177" s="14" t="s">
        <v>0</v>
      </c>
      <c r="J177" s="14"/>
      <c r="K177" s="18"/>
    </row>
    <row r="178" spans="1:11" s="5" customFormat="1" ht="15" customHeight="1" x14ac:dyDescent="0.2">
      <c r="A178" s="13"/>
      <c r="B178" s="14" t="str">
        <f>IF(A178="","",_xlfn.XLOOKUP(A178,'DISPATCH SHEET'!B$3:B$121,'DISPATCH SHEET'!C$3:C$121,""))</f>
        <v/>
      </c>
      <c r="C178" s="14" t="str">
        <f>IF(ISBLANK(A178),"",_xlfn.XLOOKUP(A178,'DISPATCH SHEET'!B$3:B$121,'DISPATCH SHEET'!#REF!,""))</f>
        <v/>
      </c>
      <c r="D178" s="14"/>
      <c r="E178" s="15"/>
      <c r="F178" s="16"/>
      <c r="G178" s="17" t="s">
        <v>0</v>
      </c>
      <c r="H178" s="15"/>
      <c r="I178" s="14" t="s">
        <v>0</v>
      </c>
      <c r="J178" s="14"/>
      <c r="K178" s="18"/>
    </row>
    <row r="179" spans="1:11" s="5" customFormat="1" ht="15" customHeight="1" x14ac:dyDescent="0.2">
      <c r="A179" s="13"/>
      <c r="B179" s="14" t="str">
        <f>IF(A179="","",_xlfn.XLOOKUP(A179,'DISPATCH SHEET'!B$3:B$121,'DISPATCH SHEET'!C$3:C$121,""))</f>
        <v/>
      </c>
      <c r="C179" s="14" t="str">
        <f>IF(ISBLANK(A179),"",_xlfn.XLOOKUP(A179,'DISPATCH SHEET'!B$3:B$121,'DISPATCH SHEET'!#REF!,""))</f>
        <v/>
      </c>
      <c r="D179" s="14"/>
      <c r="E179" s="15"/>
      <c r="F179" s="16"/>
      <c r="G179" s="17" t="s">
        <v>0</v>
      </c>
      <c r="H179" s="15"/>
      <c r="I179" s="14" t="s">
        <v>0</v>
      </c>
      <c r="J179" s="14"/>
      <c r="K179" s="18"/>
    </row>
    <row r="180" spans="1:11" s="5" customFormat="1" ht="15" customHeight="1" x14ac:dyDescent="0.2">
      <c r="A180" s="13"/>
      <c r="B180" s="14" t="str">
        <f>IF(A180="","",_xlfn.XLOOKUP(A180,'DISPATCH SHEET'!B$3:B$121,'DISPATCH SHEET'!C$3:C$121,""))</f>
        <v/>
      </c>
      <c r="C180" s="14" t="str">
        <f>IF(ISBLANK(A180),"",_xlfn.XLOOKUP(A180,'DISPATCH SHEET'!B$3:B$121,'DISPATCH SHEET'!#REF!,""))</f>
        <v/>
      </c>
      <c r="D180" s="14"/>
      <c r="E180" s="15"/>
      <c r="F180" s="16"/>
      <c r="G180" s="17" t="s">
        <v>0</v>
      </c>
      <c r="H180" s="15"/>
      <c r="I180" s="14" t="s">
        <v>0</v>
      </c>
      <c r="J180" s="14"/>
      <c r="K180" s="18"/>
    </row>
    <row r="181" spans="1:11" s="5" customFormat="1" ht="15" customHeight="1" x14ac:dyDescent="0.2">
      <c r="A181" s="13"/>
      <c r="B181" s="14" t="str">
        <f>IF(A181="","",_xlfn.XLOOKUP(A181,'DISPATCH SHEET'!B$3:B$121,'DISPATCH SHEET'!C$3:C$121,""))</f>
        <v/>
      </c>
      <c r="C181" s="14" t="str">
        <f>IF(ISBLANK(A181),"",_xlfn.XLOOKUP(A181,'DISPATCH SHEET'!B$3:B$121,'DISPATCH SHEET'!#REF!,""))</f>
        <v/>
      </c>
      <c r="D181" s="14"/>
      <c r="E181" s="15"/>
      <c r="F181" s="16"/>
      <c r="G181" s="17" t="s">
        <v>0</v>
      </c>
      <c r="H181" s="15"/>
      <c r="I181" s="14" t="s">
        <v>0</v>
      </c>
      <c r="J181" s="14"/>
      <c r="K181" s="18"/>
    </row>
    <row r="182" spans="1:11" s="5" customFormat="1" ht="15" customHeight="1" x14ac:dyDescent="0.2">
      <c r="A182" s="13"/>
      <c r="B182" s="14" t="str">
        <f>IF(A182="","",_xlfn.XLOOKUP(A182,'DISPATCH SHEET'!B$3:B$121,'DISPATCH SHEET'!C$3:C$121,""))</f>
        <v/>
      </c>
      <c r="C182" s="14" t="str">
        <f>IF(ISBLANK(A182),"",_xlfn.XLOOKUP(A182,'DISPATCH SHEET'!B$3:B$121,'DISPATCH SHEET'!#REF!,""))</f>
        <v/>
      </c>
      <c r="D182" s="14"/>
      <c r="E182" s="15"/>
      <c r="F182" s="16"/>
      <c r="G182" s="17" t="s">
        <v>0</v>
      </c>
      <c r="H182" s="15"/>
      <c r="I182" s="14" t="s">
        <v>0</v>
      </c>
      <c r="J182" s="14"/>
      <c r="K182" s="18"/>
    </row>
    <row r="183" spans="1:11" s="5" customFormat="1" ht="15" customHeight="1" x14ac:dyDescent="0.2">
      <c r="A183" s="13"/>
      <c r="B183" s="14" t="str">
        <f>IF(A183="","",_xlfn.XLOOKUP(A183,'DISPATCH SHEET'!B$3:B$121,'DISPATCH SHEET'!C$3:C$121,""))</f>
        <v/>
      </c>
      <c r="C183" s="14" t="str">
        <f>IF(ISBLANK(A183),"",_xlfn.XLOOKUP(A183,'DISPATCH SHEET'!B$3:B$121,'DISPATCH SHEET'!#REF!,""))</f>
        <v/>
      </c>
      <c r="D183" s="14"/>
      <c r="E183" s="15"/>
      <c r="F183" s="16"/>
      <c r="G183" s="17" t="s">
        <v>0</v>
      </c>
      <c r="H183" s="15"/>
      <c r="I183" s="14" t="s">
        <v>0</v>
      </c>
      <c r="J183" s="14"/>
      <c r="K183" s="18"/>
    </row>
    <row r="184" spans="1:11" s="5" customFormat="1" ht="15" customHeight="1" x14ac:dyDescent="0.2">
      <c r="A184" s="13"/>
      <c r="B184" s="14" t="str">
        <f>IF(A184="","",_xlfn.XLOOKUP(A184,'DISPATCH SHEET'!B$3:B$121,'DISPATCH SHEET'!C$3:C$121,""))</f>
        <v/>
      </c>
      <c r="C184" s="14" t="str">
        <f>IF(ISBLANK(A184),"",_xlfn.XLOOKUP(A184,'DISPATCH SHEET'!B$3:B$121,'DISPATCH SHEET'!#REF!,""))</f>
        <v/>
      </c>
      <c r="D184" s="14"/>
      <c r="E184" s="15"/>
      <c r="F184" s="16"/>
      <c r="G184" s="17" t="s">
        <v>0</v>
      </c>
      <c r="H184" s="15"/>
      <c r="I184" s="14" t="s">
        <v>0</v>
      </c>
      <c r="J184" s="14"/>
      <c r="K184" s="18"/>
    </row>
    <row r="185" spans="1:11" s="5" customFormat="1" ht="15" customHeight="1" x14ac:dyDescent="0.2">
      <c r="A185" s="13"/>
      <c r="B185" s="14" t="str">
        <f>IF(A185="","",_xlfn.XLOOKUP(A185,'DISPATCH SHEET'!B$3:B$121,'DISPATCH SHEET'!C$3:C$121,""))</f>
        <v/>
      </c>
      <c r="C185" s="14" t="str">
        <f>IF(ISBLANK(A185),"",_xlfn.XLOOKUP(A185,'DISPATCH SHEET'!B$3:B$121,'DISPATCH SHEET'!#REF!,""))</f>
        <v/>
      </c>
      <c r="D185" s="14"/>
      <c r="E185" s="15"/>
      <c r="F185" s="16"/>
      <c r="G185" s="17" t="s">
        <v>0</v>
      </c>
      <c r="H185" s="15"/>
      <c r="I185" s="14" t="s">
        <v>0</v>
      </c>
      <c r="J185" s="14"/>
      <c r="K185" s="18"/>
    </row>
    <row r="186" spans="1:11" s="5" customFormat="1" ht="15" customHeight="1" x14ac:dyDescent="0.2">
      <c r="A186" s="13"/>
      <c r="B186" s="14" t="str">
        <f>IF(A186="","",_xlfn.XLOOKUP(A186,'DISPATCH SHEET'!B$3:B$121,'DISPATCH SHEET'!C$3:C$121,""))</f>
        <v/>
      </c>
      <c r="C186" s="14" t="str">
        <f>IF(ISBLANK(A186),"",_xlfn.XLOOKUP(A186,'DISPATCH SHEET'!B$3:B$121,'DISPATCH SHEET'!#REF!,""))</f>
        <v/>
      </c>
      <c r="D186" s="14"/>
      <c r="E186" s="15"/>
      <c r="F186" s="16"/>
      <c r="G186" s="17" t="s">
        <v>0</v>
      </c>
      <c r="H186" s="15"/>
      <c r="I186" s="14" t="s">
        <v>0</v>
      </c>
      <c r="J186" s="14"/>
      <c r="K186" s="18"/>
    </row>
    <row r="187" spans="1:11" s="5" customFormat="1" ht="15" customHeight="1" x14ac:dyDescent="0.2">
      <c r="A187" s="13"/>
      <c r="B187" s="14" t="str">
        <f>IF(A187="","",_xlfn.XLOOKUP(A187,'DISPATCH SHEET'!B$3:B$121,'DISPATCH SHEET'!C$3:C$121,""))</f>
        <v/>
      </c>
      <c r="C187" s="14" t="str">
        <f>IF(ISBLANK(A187),"",_xlfn.XLOOKUP(A187,'DISPATCH SHEET'!B$3:B$121,'DISPATCH SHEET'!#REF!,""))</f>
        <v/>
      </c>
      <c r="D187" s="14"/>
      <c r="E187" s="15"/>
      <c r="F187" s="16"/>
      <c r="G187" s="17" t="s">
        <v>0</v>
      </c>
      <c r="H187" s="15"/>
      <c r="I187" s="14" t="s">
        <v>0</v>
      </c>
      <c r="J187" s="14"/>
      <c r="K187" s="18"/>
    </row>
    <row r="188" spans="1:11" s="5" customFormat="1" ht="15" customHeight="1" x14ac:dyDescent="0.2">
      <c r="A188" s="13"/>
      <c r="B188" s="14" t="str">
        <f>IF(A188="","",_xlfn.XLOOKUP(A188,'DISPATCH SHEET'!B$3:B$121,'DISPATCH SHEET'!C$3:C$121,""))</f>
        <v/>
      </c>
      <c r="C188" s="14" t="str">
        <f>IF(ISBLANK(A188),"",_xlfn.XLOOKUP(A188,'DISPATCH SHEET'!B$3:B$121,'DISPATCH SHEET'!#REF!,""))</f>
        <v/>
      </c>
      <c r="D188" s="14"/>
      <c r="E188" s="15"/>
      <c r="F188" s="16"/>
      <c r="G188" s="17" t="s">
        <v>0</v>
      </c>
      <c r="H188" s="15"/>
      <c r="I188" s="14" t="s">
        <v>0</v>
      </c>
      <c r="J188" s="14"/>
      <c r="K188" s="18"/>
    </row>
    <row r="189" spans="1:11" s="5" customFormat="1" ht="15" customHeight="1" x14ac:dyDescent="0.2">
      <c r="A189" s="13"/>
      <c r="B189" s="14" t="str">
        <f>IF(A189="","",_xlfn.XLOOKUP(A189,'DISPATCH SHEET'!B$3:B$121,'DISPATCH SHEET'!C$3:C$121,""))</f>
        <v/>
      </c>
      <c r="C189" s="14" t="str">
        <f>IF(ISBLANK(A189),"",_xlfn.XLOOKUP(A189,'DISPATCH SHEET'!B$3:B$121,'DISPATCH SHEET'!#REF!,""))</f>
        <v/>
      </c>
      <c r="D189" s="14"/>
      <c r="E189" s="15"/>
      <c r="F189" s="16"/>
      <c r="G189" s="17" t="s">
        <v>0</v>
      </c>
      <c r="H189" s="15"/>
      <c r="I189" s="14" t="s">
        <v>0</v>
      </c>
      <c r="J189" s="14"/>
      <c r="K189" s="18"/>
    </row>
    <row r="190" spans="1:11" s="5" customFormat="1" ht="15" customHeight="1" x14ac:dyDescent="0.2">
      <c r="A190" s="13"/>
      <c r="B190" s="14" t="str">
        <f>IF(A190="","",_xlfn.XLOOKUP(A190,'DISPATCH SHEET'!B$3:B$121,'DISPATCH SHEET'!C$3:C$121,""))</f>
        <v/>
      </c>
      <c r="C190" s="14" t="str">
        <f>IF(ISBLANK(A190),"",_xlfn.XLOOKUP(A190,'DISPATCH SHEET'!B$3:B$121,'DISPATCH SHEET'!#REF!,""))</f>
        <v/>
      </c>
      <c r="D190" s="14"/>
      <c r="E190" s="15"/>
      <c r="F190" s="16"/>
      <c r="G190" s="17" t="s">
        <v>0</v>
      </c>
      <c r="H190" s="15"/>
      <c r="I190" s="14" t="s">
        <v>0</v>
      </c>
      <c r="J190" s="14"/>
      <c r="K190" s="18"/>
    </row>
    <row r="191" spans="1:11" s="5" customFormat="1" ht="15" customHeight="1" x14ac:dyDescent="0.2">
      <c r="A191" s="13"/>
      <c r="B191" s="14" t="str">
        <f>IF(A191="","",_xlfn.XLOOKUP(A191,'DISPATCH SHEET'!B$3:B$121,'DISPATCH SHEET'!C$3:C$121,""))</f>
        <v/>
      </c>
      <c r="C191" s="14" t="str">
        <f>IF(ISBLANK(A191),"",_xlfn.XLOOKUP(A191,'DISPATCH SHEET'!B$3:B$121,'DISPATCH SHEET'!#REF!,""))</f>
        <v/>
      </c>
      <c r="D191" s="14"/>
      <c r="E191" s="15"/>
      <c r="F191" s="16"/>
      <c r="G191" s="17" t="s">
        <v>0</v>
      </c>
      <c r="H191" s="15"/>
      <c r="I191" s="14" t="s">
        <v>0</v>
      </c>
      <c r="J191" s="14"/>
      <c r="K191" s="18"/>
    </row>
    <row r="192" spans="1:11" s="5" customFormat="1" ht="15" customHeight="1" x14ac:dyDescent="0.2">
      <c r="A192" s="13"/>
      <c r="B192" s="14" t="str">
        <f>IF(A192="","",_xlfn.XLOOKUP(A192,'DISPATCH SHEET'!B$3:B$121,'DISPATCH SHEET'!C$3:C$121,""))</f>
        <v/>
      </c>
      <c r="C192" s="14" t="str">
        <f>IF(ISBLANK(A192),"",_xlfn.XLOOKUP(A192,'DISPATCH SHEET'!B$3:B$121,'DISPATCH SHEET'!#REF!,""))</f>
        <v/>
      </c>
      <c r="D192" s="14"/>
      <c r="E192" s="15"/>
      <c r="F192" s="16"/>
      <c r="G192" s="17" t="s">
        <v>0</v>
      </c>
      <c r="H192" s="15"/>
      <c r="I192" s="14" t="s">
        <v>0</v>
      </c>
      <c r="J192" s="14"/>
      <c r="K192" s="18"/>
    </row>
    <row r="193" spans="1:11" s="5" customFormat="1" ht="15" customHeight="1" x14ac:dyDescent="0.2">
      <c r="A193" s="13"/>
      <c r="B193" s="14" t="str">
        <f>IF(A193="","",_xlfn.XLOOKUP(A193,'DISPATCH SHEET'!B$3:B$121,'DISPATCH SHEET'!C$3:C$121,""))</f>
        <v/>
      </c>
      <c r="C193" s="14" t="str">
        <f>IF(ISBLANK(A193),"",_xlfn.XLOOKUP(A193,'DISPATCH SHEET'!B$3:B$121,'DISPATCH SHEET'!#REF!,""))</f>
        <v/>
      </c>
      <c r="D193" s="14"/>
      <c r="E193" s="15"/>
      <c r="F193" s="16"/>
      <c r="G193" s="17" t="s">
        <v>0</v>
      </c>
      <c r="H193" s="15"/>
      <c r="I193" s="14" t="s">
        <v>0</v>
      </c>
      <c r="J193" s="14"/>
      <c r="K193" s="18"/>
    </row>
    <row r="194" spans="1:11" s="5" customFormat="1" ht="15" customHeight="1" x14ac:dyDescent="0.2">
      <c r="A194" s="13"/>
      <c r="B194" s="14" t="str">
        <f>IF(A194="","",_xlfn.XLOOKUP(A194,'DISPATCH SHEET'!B$3:B$121,'DISPATCH SHEET'!C$3:C$121,""))</f>
        <v/>
      </c>
      <c r="C194" s="14" t="str">
        <f>IF(ISBLANK(A194),"",_xlfn.XLOOKUP(A194,'DISPATCH SHEET'!B$3:B$121,'DISPATCH SHEET'!#REF!,""))</f>
        <v/>
      </c>
      <c r="D194" s="14"/>
      <c r="E194" s="15"/>
      <c r="F194" s="16"/>
      <c r="G194" s="17" t="s">
        <v>0</v>
      </c>
      <c r="H194" s="15"/>
      <c r="I194" s="14" t="s">
        <v>0</v>
      </c>
      <c r="J194" s="14"/>
      <c r="K194" s="18"/>
    </row>
    <row r="195" spans="1:11" s="5" customFormat="1" ht="15" customHeight="1" x14ac:dyDescent="0.2">
      <c r="A195" s="13"/>
      <c r="B195" s="14" t="str">
        <f>IF(A195="","",_xlfn.XLOOKUP(A195,'DISPATCH SHEET'!B$3:B$121,'DISPATCH SHEET'!C$3:C$121,""))</f>
        <v/>
      </c>
      <c r="C195" s="14" t="str">
        <f>IF(ISBLANK(A195),"",_xlfn.XLOOKUP(A195,'DISPATCH SHEET'!B$3:B$121,'DISPATCH SHEET'!#REF!,""))</f>
        <v/>
      </c>
      <c r="D195" s="14"/>
      <c r="E195" s="15"/>
      <c r="F195" s="16"/>
      <c r="G195" s="17" t="s">
        <v>0</v>
      </c>
      <c r="H195" s="15"/>
      <c r="I195" s="14" t="s">
        <v>0</v>
      </c>
      <c r="J195" s="14"/>
      <c r="K195" s="18"/>
    </row>
    <row r="196" spans="1:11" s="5" customFormat="1" ht="15" customHeight="1" x14ac:dyDescent="0.2">
      <c r="A196" s="13"/>
      <c r="B196" s="14" t="str">
        <f>IF(A196="","",_xlfn.XLOOKUP(A196,'DISPATCH SHEET'!B$3:B$121,'DISPATCH SHEET'!C$3:C$121,""))</f>
        <v/>
      </c>
      <c r="C196" s="14" t="str">
        <f>IF(ISBLANK(A196),"",_xlfn.XLOOKUP(A196,'DISPATCH SHEET'!B$3:B$121,'DISPATCH SHEET'!#REF!,""))</f>
        <v/>
      </c>
      <c r="D196" s="14"/>
      <c r="E196" s="15"/>
      <c r="F196" s="16"/>
      <c r="G196" s="17" t="s">
        <v>0</v>
      </c>
      <c r="H196" s="15"/>
      <c r="I196" s="14" t="s">
        <v>0</v>
      </c>
      <c r="J196" s="14"/>
      <c r="K196" s="18"/>
    </row>
    <row r="197" spans="1:11" s="5" customFormat="1" ht="15" customHeight="1" x14ac:dyDescent="0.2">
      <c r="A197" s="13"/>
      <c r="B197" s="14" t="str">
        <f>IF(A197="","",_xlfn.XLOOKUP(A197,'DISPATCH SHEET'!B$3:B$121,'DISPATCH SHEET'!C$3:C$121,""))</f>
        <v/>
      </c>
      <c r="C197" s="14" t="str">
        <f>IF(ISBLANK(A197),"",_xlfn.XLOOKUP(A197,'DISPATCH SHEET'!B$3:B$121,'DISPATCH SHEET'!#REF!,""))</f>
        <v/>
      </c>
      <c r="D197" s="14"/>
      <c r="E197" s="15"/>
      <c r="F197" s="16"/>
      <c r="G197" s="17" t="s">
        <v>0</v>
      </c>
      <c r="H197" s="15"/>
      <c r="I197" s="14" t="s">
        <v>0</v>
      </c>
      <c r="J197" s="14"/>
      <c r="K197" s="18"/>
    </row>
    <row r="198" spans="1:11" s="5" customFormat="1" ht="15" customHeight="1" x14ac:dyDescent="0.2">
      <c r="A198" s="13"/>
      <c r="B198" s="14" t="str">
        <f>IF(A198="","",_xlfn.XLOOKUP(A198,'DISPATCH SHEET'!B$3:B$121,'DISPATCH SHEET'!C$3:C$121,""))</f>
        <v/>
      </c>
      <c r="C198" s="14" t="str">
        <f>IF(ISBLANK(A198),"",_xlfn.XLOOKUP(A198,'DISPATCH SHEET'!B$3:B$121,'DISPATCH SHEET'!#REF!,""))</f>
        <v/>
      </c>
      <c r="D198" s="14"/>
      <c r="E198" s="15"/>
      <c r="F198" s="16"/>
      <c r="G198" s="17" t="s">
        <v>0</v>
      </c>
      <c r="H198" s="15"/>
      <c r="I198" s="14" t="s">
        <v>0</v>
      </c>
      <c r="J198" s="14"/>
      <c r="K198" s="18"/>
    </row>
    <row r="199" spans="1:11" s="5" customFormat="1" ht="15" customHeight="1" x14ac:dyDescent="0.2">
      <c r="A199" s="13"/>
      <c r="B199" s="14" t="str">
        <f>IF(A199="","",_xlfn.XLOOKUP(A199,'DISPATCH SHEET'!B$3:B$121,'DISPATCH SHEET'!C$3:C$121,""))</f>
        <v/>
      </c>
      <c r="C199" s="14" t="str">
        <f>IF(ISBLANK(A199),"",_xlfn.XLOOKUP(A199,'DISPATCH SHEET'!B$3:B$121,'DISPATCH SHEET'!#REF!,""))</f>
        <v/>
      </c>
      <c r="D199" s="14"/>
      <c r="E199" s="15"/>
      <c r="F199" s="16"/>
      <c r="G199" s="17" t="s">
        <v>0</v>
      </c>
      <c r="H199" s="15"/>
      <c r="I199" s="14" t="s">
        <v>0</v>
      </c>
      <c r="J199" s="14"/>
      <c r="K199" s="18"/>
    </row>
    <row r="200" spans="1:11" s="5" customFormat="1" ht="15" customHeight="1" x14ac:dyDescent="0.2">
      <c r="A200" s="13"/>
      <c r="B200" s="14" t="str">
        <f>IF(A200="","",_xlfn.XLOOKUP(A200,'DISPATCH SHEET'!B$3:B$121,'DISPATCH SHEET'!C$3:C$121,""))</f>
        <v/>
      </c>
      <c r="C200" s="14" t="str">
        <f>IF(ISBLANK(A200),"",_xlfn.XLOOKUP(A200,'DISPATCH SHEET'!B$3:B$121,'DISPATCH SHEET'!#REF!,""))</f>
        <v/>
      </c>
      <c r="D200" s="14"/>
      <c r="E200" s="15"/>
      <c r="F200" s="16"/>
      <c r="G200" s="17" t="s">
        <v>0</v>
      </c>
      <c r="H200" s="15"/>
      <c r="I200" s="14" t="s">
        <v>0</v>
      </c>
      <c r="J200" s="14"/>
      <c r="K200" s="18"/>
    </row>
    <row r="201" spans="1:11" s="5" customFormat="1" ht="15" customHeight="1" x14ac:dyDescent="0.2">
      <c r="A201" s="13"/>
      <c r="B201" s="14" t="str">
        <f>IF(A201="","",_xlfn.XLOOKUP(A201,'DISPATCH SHEET'!B$3:B$121,'DISPATCH SHEET'!C$3:C$121,""))</f>
        <v/>
      </c>
      <c r="C201" s="14" t="str">
        <f>IF(ISBLANK(A201),"",_xlfn.XLOOKUP(A201,'DISPATCH SHEET'!B$3:B$121,'DISPATCH SHEET'!#REF!,""))</f>
        <v/>
      </c>
      <c r="D201" s="14"/>
      <c r="E201" s="15"/>
      <c r="F201" s="16"/>
      <c r="G201" s="17" t="s">
        <v>0</v>
      </c>
      <c r="H201" s="15"/>
      <c r="I201" s="14" t="s">
        <v>0</v>
      </c>
      <c r="J201" s="14"/>
      <c r="K201" s="18"/>
    </row>
    <row r="202" spans="1:11" s="5" customFormat="1" ht="15" customHeight="1" x14ac:dyDescent="0.2">
      <c r="A202" s="13"/>
      <c r="B202" s="14" t="str">
        <f>IF(A202="","",_xlfn.XLOOKUP(A202,'DISPATCH SHEET'!B$3:B$121,'DISPATCH SHEET'!C$3:C$121,""))</f>
        <v/>
      </c>
      <c r="C202" s="14" t="str">
        <f>IF(ISBLANK(A202),"",_xlfn.XLOOKUP(A202,'DISPATCH SHEET'!B$3:B$121,'DISPATCH SHEET'!#REF!,""))</f>
        <v/>
      </c>
      <c r="D202" s="14"/>
      <c r="E202" s="15"/>
      <c r="F202" s="16"/>
      <c r="G202" s="17" t="s">
        <v>0</v>
      </c>
      <c r="H202" s="15"/>
      <c r="I202" s="14" t="s">
        <v>0</v>
      </c>
      <c r="J202" s="14"/>
      <c r="K202" s="18"/>
    </row>
    <row r="203" spans="1:11" s="5" customFormat="1" ht="15" customHeight="1" x14ac:dyDescent="0.2">
      <c r="A203" s="13"/>
      <c r="B203" s="14" t="str">
        <f>IF(A203="","",_xlfn.XLOOKUP(A203,'DISPATCH SHEET'!B$3:B$121,'DISPATCH SHEET'!C$3:C$121,""))</f>
        <v/>
      </c>
      <c r="C203" s="14" t="str">
        <f>IF(ISBLANK(A203),"",_xlfn.XLOOKUP(A203,'DISPATCH SHEET'!B$3:B$121,'DISPATCH SHEET'!#REF!,""))</f>
        <v/>
      </c>
      <c r="D203" s="14"/>
      <c r="E203" s="15"/>
      <c r="F203" s="16"/>
      <c r="G203" s="17" t="s">
        <v>0</v>
      </c>
      <c r="H203" s="15"/>
      <c r="I203" s="14" t="s">
        <v>0</v>
      </c>
      <c r="J203" s="14"/>
      <c r="K203" s="18"/>
    </row>
    <row r="204" spans="1:11" s="5" customFormat="1" ht="15" customHeight="1" x14ac:dyDescent="0.2">
      <c r="A204" s="13"/>
      <c r="B204" s="14" t="str">
        <f>IF(A204="","",_xlfn.XLOOKUP(A204,'DISPATCH SHEET'!B$3:B$121,'DISPATCH SHEET'!C$3:C$121,""))</f>
        <v/>
      </c>
      <c r="C204" s="14" t="str">
        <f>IF(ISBLANK(A204),"",_xlfn.XLOOKUP(A204,'DISPATCH SHEET'!B$3:B$121,'DISPATCH SHEET'!#REF!,""))</f>
        <v/>
      </c>
      <c r="D204" s="14"/>
      <c r="E204" s="15"/>
      <c r="F204" s="16"/>
      <c r="G204" s="17" t="s">
        <v>0</v>
      </c>
      <c r="H204" s="15"/>
      <c r="I204" s="14" t="s">
        <v>0</v>
      </c>
      <c r="J204" s="14"/>
      <c r="K204" s="18"/>
    </row>
    <row r="205" spans="1:11" s="5" customFormat="1" ht="15" customHeight="1" x14ac:dyDescent="0.2">
      <c r="A205" s="13"/>
      <c r="B205" s="14" t="str">
        <f>IF(A205="","",_xlfn.XLOOKUP(A205,'DISPATCH SHEET'!B$3:B$121,'DISPATCH SHEET'!C$3:C$121,""))</f>
        <v/>
      </c>
      <c r="C205" s="14" t="str">
        <f>IF(ISBLANK(A205),"",_xlfn.XLOOKUP(A205,'DISPATCH SHEET'!B$3:B$121,'DISPATCH SHEET'!#REF!,""))</f>
        <v/>
      </c>
      <c r="D205" s="14"/>
      <c r="E205" s="15"/>
      <c r="F205" s="16"/>
      <c r="G205" s="17" t="s">
        <v>0</v>
      </c>
      <c r="H205" s="15"/>
      <c r="I205" s="14" t="s">
        <v>0</v>
      </c>
      <c r="J205" s="14"/>
      <c r="K205" s="18"/>
    </row>
    <row r="206" spans="1:11" s="5" customFormat="1" ht="15" customHeight="1" x14ac:dyDescent="0.2">
      <c r="A206" s="13"/>
      <c r="B206" s="14" t="str">
        <f>IF(A206="","",_xlfn.XLOOKUP(A206,'DISPATCH SHEET'!B$3:B$121,'DISPATCH SHEET'!C$3:C$121,""))</f>
        <v/>
      </c>
      <c r="C206" s="14" t="str">
        <f>IF(ISBLANK(A206),"",_xlfn.XLOOKUP(A206,'DISPATCH SHEET'!B$3:B$121,'DISPATCH SHEET'!#REF!,""))</f>
        <v/>
      </c>
      <c r="D206" s="14"/>
      <c r="E206" s="15"/>
      <c r="F206" s="16"/>
      <c r="G206" s="17" t="s">
        <v>0</v>
      </c>
      <c r="H206" s="15"/>
      <c r="I206" s="14" t="s">
        <v>0</v>
      </c>
      <c r="J206" s="14"/>
      <c r="K206" s="18"/>
    </row>
    <row r="207" spans="1:11" s="5" customFormat="1" ht="15" customHeight="1" x14ac:dyDescent="0.2">
      <c r="A207" s="13"/>
      <c r="B207" s="14" t="str">
        <f>IF(A207="","",_xlfn.XLOOKUP(A207,'DISPATCH SHEET'!B$3:B$121,'DISPATCH SHEET'!C$3:C$121,""))</f>
        <v/>
      </c>
      <c r="C207" s="14" t="str">
        <f>IF(ISBLANK(A207),"",_xlfn.XLOOKUP(A207,'DISPATCH SHEET'!B$3:B$121,'DISPATCH SHEET'!#REF!,""))</f>
        <v/>
      </c>
      <c r="D207" s="14"/>
      <c r="E207" s="15"/>
      <c r="F207" s="16"/>
      <c r="G207" s="17" t="s">
        <v>0</v>
      </c>
      <c r="H207" s="15"/>
      <c r="I207" s="14" t="s">
        <v>0</v>
      </c>
      <c r="J207" s="14"/>
      <c r="K207" s="18"/>
    </row>
    <row r="208" spans="1:11" s="5" customFormat="1" ht="15" customHeight="1" x14ac:dyDescent="0.2">
      <c r="A208" s="13"/>
      <c r="B208" s="14" t="str">
        <f>IF(A208="","",_xlfn.XLOOKUP(A208,'DISPATCH SHEET'!B$3:B$121,'DISPATCH SHEET'!C$3:C$121,""))</f>
        <v/>
      </c>
      <c r="C208" s="14" t="str">
        <f>IF(ISBLANK(A208),"",_xlfn.XLOOKUP(A208,'DISPATCH SHEET'!B$3:B$121,'DISPATCH SHEET'!#REF!,""))</f>
        <v/>
      </c>
      <c r="D208" s="14"/>
      <c r="E208" s="15"/>
      <c r="F208" s="16"/>
      <c r="G208" s="17" t="s">
        <v>0</v>
      </c>
      <c r="H208" s="15"/>
      <c r="I208" s="14" t="s">
        <v>0</v>
      </c>
      <c r="J208" s="14"/>
      <c r="K208" s="18"/>
    </row>
    <row r="209" spans="1:11" s="5" customFormat="1" ht="15" customHeight="1" x14ac:dyDescent="0.2">
      <c r="A209" s="13"/>
      <c r="B209" s="14" t="str">
        <f>IF(A209="","",_xlfn.XLOOKUP(A209,'DISPATCH SHEET'!B$3:B$121,'DISPATCH SHEET'!C$3:C$121,""))</f>
        <v/>
      </c>
      <c r="C209" s="14" t="str">
        <f>IF(ISBLANK(A209),"",_xlfn.XLOOKUP(A209,'DISPATCH SHEET'!B$3:B$121,'DISPATCH SHEET'!#REF!,""))</f>
        <v/>
      </c>
      <c r="D209" s="14"/>
      <c r="E209" s="15"/>
      <c r="F209" s="16"/>
      <c r="G209" s="17" t="s">
        <v>0</v>
      </c>
      <c r="H209" s="15"/>
      <c r="I209" s="14" t="s">
        <v>0</v>
      </c>
      <c r="J209" s="14"/>
      <c r="K209" s="18"/>
    </row>
    <row r="210" spans="1:11" s="5" customFormat="1" ht="15" customHeight="1" x14ac:dyDescent="0.2">
      <c r="A210" s="13"/>
      <c r="B210" s="14" t="str">
        <f>IF(A210="","",_xlfn.XLOOKUP(A210,'DISPATCH SHEET'!B$3:B$121,'DISPATCH SHEET'!C$3:C$121,""))</f>
        <v/>
      </c>
      <c r="C210" s="14" t="str">
        <f>IF(ISBLANK(A210),"",_xlfn.XLOOKUP(A210,'DISPATCH SHEET'!B$3:B$121,'DISPATCH SHEET'!#REF!,""))</f>
        <v/>
      </c>
      <c r="D210" s="14"/>
      <c r="E210" s="15"/>
      <c r="F210" s="16"/>
      <c r="G210" s="17" t="s">
        <v>0</v>
      </c>
      <c r="H210" s="15"/>
      <c r="I210" s="14" t="s">
        <v>0</v>
      </c>
      <c r="J210" s="14"/>
      <c r="K210" s="18"/>
    </row>
    <row r="211" spans="1:11" s="5" customFormat="1" ht="15" customHeight="1" x14ac:dyDescent="0.2">
      <c r="A211" s="13"/>
      <c r="B211" s="14" t="str">
        <f>IF(A211="","",_xlfn.XLOOKUP(A211,'DISPATCH SHEET'!B$3:B$121,'DISPATCH SHEET'!C$3:C$121,""))</f>
        <v/>
      </c>
      <c r="C211" s="14" t="str">
        <f>IF(ISBLANK(A211),"",_xlfn.XLOOKUP(A211,'DISPATCH SHEET'!B$3:B$121,'DISPATCH SHEET'!#REF!,""))</f>
        <v/>
      </c>
      <c r="D211" s="14"/>
      <c r="E211" s="15"/>
      <c r="F211" s="16"/>
      <c r="G211" s="17" t="s">
        <v>0</v>
      </c>
      <c r="H211" s="15"/>
      <c r="I211" s="14" t="s">
        <v>0</v>
      </c>
      <c r="J211" s="14"/>
      <c r="K211" s="18"/>
    </row>
    <row r="212" spans="1:11" s="5" customFormat="1" ht="15" customHeight="1" x14ac:dyDescent="0.2">
      <c r="A212" s="13"/>
      <c r="B212" s="14" t="str">
        <f>IF(A212="","",_xlfn.XLOOKUP(A212,'DISPATCH SHEET'!B$3:B$121,'DISPATCH SHEET'!C$3:C$121,""))</f>
        <v/>
      </c>
      <c r="C212" s="14" t="str">
        <f>IF(ISBLANK(A212),"",_xlfn.XLOOKUP(A212,'DISPATCH SHEET'!B$3:B$121,'DISPATCH SHEET'!#REF!,""))</f>
        <v/>
      </c>
      <c r="D212" s="14"/>
      <c r="E212" s="15"/>
      <c r="F212" s="16"/>
      <c r="G212" s="17" t="s">
        <v>0</v>
      </c>
      <c r="H212" s="15"/>
      <c r="I212" s="14" t="s">
        <v>0</v>
      </c>
      <c r="J212" s="14"/>
      <c r="K212" s="18"/>
    </row>
    <row r="213" spans="1:11" s="5" customFormat="1" ht="15" customHeight="1" x14ac:dyDescent="0.2">
      <c r="A213" s="13"/>
      <c r="B213" s="14" t="str">
        <f>IF(A213="","",_xlfn.XLOOKUP(A213,'DISPATCH SHEET'!B$3:B$121,'DISPATCH SHEET'!C$3:C$121,""))</f>
        <v/>
      </c>
      <c r="C213" s="14" t="str">
        <f>IF(ISBLANK(A213),"",_xlfn.XLOOKUP(A213,'DISPATCH SHEET'!B$3:B$121,'DISPATCH SHEET'!#REF!,""))</f>
        <v/>
      </c>
      <c r="D213" s="14"/>
      <c r="E213" s="15"/>
      <c r="F213" s="16"/>
      <c r="G213" s="17" t="s">
        <v>0</v>
      </c>
      <c r="H213" s="15"/>
      <c r="I213" s="14" t="s">
        <v>0</v>
      </c>
      <c r="J213" s="14"/>
      <c r="K213" s="18"/>
    </row>
    <row r="214" spans="1:11" s="5" customFormat="1" ht="15" customHeight="1" x14ac:dyDescent="0.2">
      <c r="A214" s="13"/>
      <c r="B214" s="14" t="str">
        <f>IF(A214="","",_xlfn.XLOOKUP(A214,'DISPATCH SHEET'!B$3:B$121,'DISPATCH SHEET'!C$3:C$121,""))</f>
        <v/>
      </c>
      <c r="C214" s="14" t="str">
        <f>IF(ISBLANK(A214),"",_xlfn.XLOOKUP(A214,'DISPATCH SHEET'!B$3:B$121,'DISPATCH SHEET'!#REF!,""))</f>
        <v/>
      </c>
      <c r="D214" s="14"/>
      <c r="E214" s="15"/>
      <c r="F214" s="16"/>
      <c r="G214" s="17" t="s">
        <v>0</v>
      </c>
      <c r="H214" s="15"/>
      <c r="I214" s="14" t="s">
        <v>0</v>
      </c>
      <c r="J214" s="14"/>
      <c r="K214" s="18"/>
    </row>
    <row r="215" spans="1:11" s="5" customFormat="1" ht="15" customHeight="1" x14ac:dyDescent="0.2">
      <c r="A215" s="13"/>
      <c r="B215" s="14" t="str">
        <f>IF(A215="","",_xlfn.XLOOKUP(A215,'DISPATCH SHEET'!B$3:B$121,'DISPATCH SHEET'!C$3:C$121,""))</f>
        <v/>
      </c>
      <c r="C215" s="14" t="str">
        <f>IF(ISBLANK(A215),"",_xlfn.XLOOKUP(A215,'DISPATCH SHEET'!B$3:B$121,'DISPATCH SHEET'!#REF!,""))</f>
        <v/>
      </c>
      <c r="D215" s="14"/>
      <c r="E215" s="15"/>
      <c r="F215" s="16"/>
      <c r="G215" s="17" t="s">
        <v>0</v>
      </c>
      <c r="H215" s="15"/>
      <c r="I215" s="14" t="s">
        <v>0</v>
      </c>
      <c r="J215" s="14"/>
      <c r="K215" s="18"/>
    </row>
    <row r="216" spans="1:11" s="5" customFormat="1" ht="15" customHeight="1" x14ac:dyDescent="0.2">
      <c r="A216" s="13"/>
      <c r="B216" s="14" t="str">
        <f>IF(A216="","",_xlfn.XLOOKUP(A216,'DISPATCH SHEET'!B$3:B$121,'DISPATCH SHEET'!C$3:C$121,""))</f>
        <v/>
      </c>
      <c r="C216" s="14" t="str">
        <f>IF(ISBLANK(A216),"",_xlfn.XLOOKUP(A216,'DISPATCH SHEET'!B$3:B$121,'DISPATCH SHEET'!#REF!,""))</f>
        <v/>
      </c>
      <c r="D216" s="14"/>
      <c r="E216" s="15"/>
      <c r="F216" s="16"/>
      <c r="G216" s="17" t="s">
        <v>0</v>
      </c>
      <c r="H216" s="15"/>
      <c r="I216" s="14" t="s">
        <v>0</v>
      </c>
      <c r="J216" s="14"/>
      <c r="K216" s="18"/>
    </row>
    <row r="217" spans="1:11" s="5" customFormat="1" ht="15" customHeight="1" x14ac:dyDescent="0.2">
      <c r="A217" s="13"/>
      <c r="B217" s="14" t="str">
        <f>IF(A217="","",_xlfn.XLOOKUP(A217,'DISPATCH SHEET'!B$3:B$121,'DISPATCH SHEET'!C$3:C$121,""))</f>
        <v/>
      </c>
      <c r="C217" s="14" t="str">
        <f>IF(ISBLANK(A217),"",_xlfn.XLOOKUP(A217,'DISPATCH SHEET'!B$3:B$121,'DISPATCH SHEET'!#REF!,""))</f>
        <v/>
      </c>
      <c r="D217" s="14"/>
      <c r="E217" s="15"/>
      <c r="F217" s="16"/>
      <c r="G217" s="17" t="s">
        <v>0</v>
      </c>
      <c r="H217" s="15"/>
      <c r="I217" s="14" t="s">
        <v>0</v>
      </c>
      <c r="J217" s="14"/>
      <c r="K217" s="18"/>
    </row>
    <row r="218" spans="1:11" s="5" customFormat="1" ht="15" customHeight="1" x14ac:dyDescent="0.2">
      <c r="A218" s="13"/>
      <c r="B218" s="14" t="str">
        <f>IF(A218="","",_xlfn.XLOOKUP(A218,'DISPATCH SHEET'!B$3:B$121,'DISPATCH SHEET'!C$3:C$121,""))</f>
        <v/>
      </c>
      <c r="C218" s="14" t="str">
        <f>IF(ISBLANK(A218),"",_xlfn.XLOOKUP(A218,'DISPATCH SHEET'!B$3:B$121,'DISPATCH SHEET'!#REF!,""))</f>
        <v/>
      </c>
      <c r="D218" s="14"/>
      <c r="E218" s="15"/>
      <c r="F218" s="16"/>
      <c r="G218" s="17" t="s">
        <v>0</v>
      </c>
      <c r="H218" s="15"/>
      <c r="I218" s="14" t="s">
        <v>0</v>
      </c>
      <c r="J218" s="14"/>
      <c r="K218" s="18"/>
    </row>
    <row r="219" spans="1:11" s="5" customFormat="1" ht="15" customHeight="1" x14ac:dyDescent="0.2">
      <c r="A219" s="13"/>
      <c r="B219" s="14" t="str">
        <f>IF(A219="","",_xlfn.XLOOKUP(A219,'DISPATCH SHEET'!B$3:B$121,'DISPATCH SHEET'!C$3:C$121,""))</f>
        <v/>
      </c>
      <c r="C219" s="14" t="str">
        <f>IF(ISBLANK(A219),"",_xlfn.XLOOKUP(A219,'DISPATCH SHEET'!B$3:B$121,'DISPATCH SHEET'!#REF!,""))</f>
        <v/>
      </c>
      <c r="D219" s="14"/>
      <c r="E219" s="15"/>
      <c r="F219" s="16"/>
      <c r="G219" s="17" t="s">
        <v>0</v>
      </c>
      <c r="H219" s="15"/>
      <c r="I219" s="14" t="s">
        <v>0</v>
      </c>
      <c r="J219" s="14"/>
      <c r="K219" s="18"/>
    </row>
    <row r="220" spans="1:11" s="5" customFormat="1" ht="15" customHeight="1" x14ac:dyDescent="0.2">
      <c r="A220" s="13"/>
      <c r="B220" s="14" t="str">
        <f>IF(A220="","",_xlfn.XLOOKUP(A220,'DISPATCH SHEET'!B$3:B$121,'DISPATCH SHEET'!C$3:C$121,""))</f>
        <v/>
      </c>
      <c r="C220" s="14" t="str">
        <f>IF(ISBLANK(A220),"",_xlfn.XLOOKUP(A220,'DISPATCH SHEET'!B$3:B$121,'DISPATCH SHEET'!#REF!,""))</f>
        <v/>
      </c>
      <c r="D220" s="14"/>
      <c r="E220" s="15"/>
      <c r="F220" s="16"/>
      <c r="G220" s="17" t="s">
        <v>0</v>
      </c>
      <c r="H220" s="15"/>
      <c r="I220" s="14" t="s">
        <v>0</v>
      </c>
      <c r="J220" s="14"/>
      <c r="K220" s="18"/>
    </row>
    <row r="221" spans="1:11" s="5" customFormat="1" ht="15" customHeight="1" x14ac:dyDescent="0.2">
      <c r="A221" s="13"/>
      <c r="B221" s="14" t="str">
        <f>IF(A221="","",_xlfn.XLOOKUP(A221,'DISPATCH SHEET'!B$3:B$121,'DISPATCH SHEET'!C$3:C$121,""))</f>
        <v/>
      </c>
      <c r="C221" s="14" t="str">
        <f>IF(ISBLANK(A221),"",_xlfn.XLOOKUP(A221,'DISPATCH SHEET'!B$3:B$121,'DISPATCH SHEET'!#REF!,""))</f>
        <v/>
      </c>
      <c r="D221" s="14"/>
      <c r="E221" s="15"/>
      <c r="F221" s="16"/>
      <c r="G221" s="17" t="s">
        <v>0</v>
      </c>
      <c r="H221" s="15"/>
      <c r="I221" s="14" t="s">
        <v>0</v>
      </c>
      <c r="J221" s="14"/>
      <c r="K221" s="18"/>
    </row>
    <row r="222" spans="1:11" s="5" customFormat="1" ht="15" customHeight="1" x14ac:dyDescent="0.2">
      <c r="A222" s="13"/>
      <c r="B222" s="14" t="str">
        <f>IF(A222="","",_xlfn.XLOOKUP(A222,'DISPATCH SHEET'!B$3:B$121,'DISPATCH SHEET'!C$3:C$121,""))</f>
        <v/>
      </c>
      <c r="C222" s="14" t="str">
        <f>IF(ISBLANK(A222),"",_xlfn.XLOOKUP(A222,'DISPATCH SHEET'!B$3:B$121,'DISPATCH SHEET'!#REF!,""))</f>
        <v/>
      </c>
      <c r="D222" s="14"/>
      <c r="E222" s="15"/>
      <c r="F222" s="16"/>
      <c r="G222" s="17" t="s">
        <v>0</v>
      </c>
      <c r="H222" s="15"/>
      <c r="I222" s="14" t="s">
        <v>0</v>
      </c>
      <c r="J222" s="14"/>
      <c r="K222" s="18"/>
    </row>
    <row r="223" spans="1:11" s="5" customFormat="1" ht="15" customHeight="1" x14ac:dyDescent="0.2">
      <c r="A223" s="13"/>
      <c r="B223" s="14" t="str">
        <f>IF(A223="","",_xlfn.XLOOKUP(A223,'DISPATCH SHEET'!B$3:B$121,'DISPATCH SHEET'!C$3:C$121,""))</f>
        <v/>
      </c>
      <c r="C223" s="14" t="str">
        <f>IF(ISBLANK(A223),"",_xlfn.XLOOKUP(A223,'DISPATCH SHEET'!B$3:B$121,'DISPATCH SHEET'!#REF!,""))</f>
        <v/>
      </c>
      <c r="D223" s="14"/>
      <c r="E223" s="15"/>
      <c r="F223" s="16"/>
      <c r="G223" s="17" t="s">
        <v>0</v>
      </c>
      <c r="H223" s="15"/>
      <c r="I223" s="14" t="s">
        <v>0</v>
      </c>
      <c r="J223" s="14"/>
      <c r="K223" s="18"/>
    </row>
    <row r="224" spans="1:11" s="5" customFormat="1" ht="15" customHeight="1" x14ac:dyDescent="0.2">
      <c r="A224" s="13"/>
      <c r="B224" s="14" t="str">
        <f>IF(A224="","",_xlfn.XLOOKUP(A224,'DISPATCH SHEET'!B$3:B$121,'DISPATCH SHEET'!C$3:C$121,""))</f>
        <v/>
      </c>
      <c r="C224" s="14" t="str">
        <f>IF(ISBLANK(A224),"",_xlfn.XLOOKUP(A224,'DISPATCH SHEET'!B$3:B$121,'DISPATCH SHEET'!#REF!,""))</f>
        <v/>
      </c>
      <c r="D224" s="14"/>
      <c r="E224" s="15"/>
      <c r="F224" s="16"/>
      <c r="G224" s="17" t="s">
        <v>0</v>
      </c>
      <c r="H224" s="15"/>
      <c r="I224" s="14" t="s">
        <v>0</v>
      </c>
      <c r="J224" s="14"/>
      <c r="K224" s="18"/>
    </row>
    <row r="225" spans="1:11" s="5" customFormat="1" ht="15" customHeight="1" x14ac:dyDescent="0.2">
      <c r="A225" s="13"/>
      <c r="B225" s="14" t="str">
        <f>IF(A225="","",_xlfn.XLOOKUP(A225,'DISPATCH SHEET'!B$3:B$121,'DISPATCH SHEET'!C$3:C$121,""))</f>
        <v/>
      </c>
      <c r="C225" s="14" t="str">
        <f>IF(ISBLANK(A225),"",_xlfn.XLOOKUP(A225,'DISPATCH SHEET'!B$3:B$121,'DISPATCH SHEET'!#REF!,""))</f>
        <v/>
      </c>
      <c r="D225" s="14"/>
      <c r="E225" s="15"/>
      <c r="F225" s="16"/>
      <c r="G225" s="17" t="s">
        <v>0</v>
      </c>
      <c r="H225" s="15"/>
      <c r="I225" s="14" t="s">
        <v>0</v>
      </c>
      <c r="J225" s="14"/>
      <c r="K225" s="18"/>
    </row>
    <row r="226" spans="1:11" s="5" customFormat="1" ht="15" customHeight="1" x14ac:dyDescent="0.2">
      <c r="A226" s="13"/>
      <c r="B226" s="14" t="str">
        <f>IF(A226="","",_xlfn.XLOOKUP(A226,'DISPATCH SHEET'!B$3:B$121,'DISPATCH SHEET'!C$3:C$121,""))</f>
        <v/>
      </c>
      <c r="C226" s="14" t="str">
        <f>IF(ISBLANK(A226),"",_xlfn.XLOOKUP(A226,'DISPATCH SHEET'!B$3:B$121,'DISPATCH SHEET'!#REF!,""))</f>
        <v/>
      </c>
      <c r="D226" s="14"/>
      <c r="E226" s="15"/>
      <c r="F226" s="16"/>
      <c r="G226" s="17" t="s">
        <v>0</v>
      </c>
      <c r="H226" s="15"/>
      <c r="I226" s="14" t="s">
        <v>0</v>
      </c>
      <c r="J226" s="14"/>
      <c r="K226" s="18"/>
    </row>
    <row r="227" spans="1:11" s="5" customFormat="1" ht="15" customHeight="1" x14ac:dyDescent="0.2">
      <c r="A227" s="13"/>
      <c r="B227" s="14" t="str">
        <f>IF(A227="","",_xlfn.XLOOKUP(A227,'DISPATCH SHEET'!B$3:B$121,'DISPATCH SHEET'!C$3:C$121,""))</f>
        <v/>
      </c>
      <c r="C227" s="14" t="str">
        <f>IF(ISBLANK(A227),"",_xlfn.XLOOKUP(A227,'DISPATCH SHEET'!B$3:B$121,'DISPATCH SHEET'!#REF!,""))</f>
        <v/>
      </c>
      <c r="D227" s="14"/>
      <c r="E227" s="15"/>
      <c r="F227" s="16"/>
      <c r="G227" s="17" t="s">
        <v>0</v>
      </c>
      <c r="H227" s="15"/>
      <c r="I227" s="14" t="s">
        <v>0</v>
      </c>
      <c r="J227" s="14"/>
      <c r="K227" s="18"/>
    </row>
    <row r="228" spans="1:11" s="5" customFormat="1" ht="15" customHeight="1" x14ac:dyDescent="0.2">
      <c r="A228" s="13"/>
      <c r="B228" s="14" t="str">
        <f>IF(A228="","",_xlfn.XLOOKUP(A228,'DISPATCH SHEET'!B$3:B$121,'DISPATCH SHEET'!C$3:C$121,""))</f>
        <v/>
      </c>
      <c r="C228" s="14" t="str">
        <f>IF(ISBLANK(A228),"",_xlfn.XLOOKUP(A228,'DISPATCH SHEET'!B$3:B$121,'DISPATCH SHEET'!#REF!,""))</f>
        <v/>
      </c>
      <c r="D228" s="14"/>
      <c r="E228" s="15"/>
      <c r="F228" s="16"/>
      <c r="G228" s="17" t="s">
        <v>0</v>
      </c>
      <c r="H228" s="15"/>
      <c r="I228" s="14" t="s">
        <v>0</v>
      </c>
      <c r="J228" s="14"/>
      <c r="K228" s="18"/>
    </row>
    <row r="229" spans="1:11" s="5" customFormat="1" ht="15" customHeight="1" x14ac:dyDescent="0.2">
      <c r="A229" s="13"/>
      <c r="B229" s="14" t="str">
        <f>IF(A229="","",_xlfn.XLOOKUP(A229,'DISPATCH SHEET'!B$3:B$121,'DISPATCH SHEET'!C$3:C$121,""))</f>
        <v/>
      </c>
      <c r="C229" s="14" t="str">
        <f>IF(ISBLANK(A229),"",_xlfn.XLOOKUP(A229,'DISPATCH SHEET'!B$3:B$121,'DISPATCH SHEET'!#REF!,""))</f>
        <v/>
      </c>
      <c r="D229" s="14"/>
      <c r="E229" s="15"/>
      <c r="F229" s="16"/>
      <c r="G229" s="17" t="s">
        <v>0</v>
      </c>
      <c r="H229" s="15"/>
      <c r="I229" s="14" t="s">
        <v>0</v>
      </c>
      <c r="J229" s="14"/>
      <c r="K229" s="18"/>
    </row>
    <row r="230" spans="1:11" s="5" customFormat="1" ht="15" customHeight="1" x14ac:dyDescent="0.2">
      <c r="A230" s="13"/>
      <c r="B230" s="14" t="str">
        <f>IF(A230="","",_xlfn.XLOOKUP(A230,'DISPATCH SHEET'!B$3:B$121,'DISPATCH SHEET'!C$3:C$121,""))</f>
        <v/>
      </c>
      <c r="C230" s="14" t="str">
        <f>IF(ISBLANK(A230),"",_xlfn.XLOOKUP(A230,'DISPATCH SHEET'!B$3:B$121,'DISPATCH SHEET'!#REF!,""))</f>
        <v/>
      </c>
      <c r="D230" s="14"/>
      <c r="E230" s="15"/>
      <c r="F230" s="16"/>
      <c r="G230" s="17" t="s">
        <v>0</v>
      </c>
      <c r="H230" s="15"/>
      <c r="I230" s="14" t="s">
        <v>0</v>
      </c>
      <c r="J230" s="14"/>
      <c r="K230" s="18"/>
    </row>
    <row r="231" spans="1:11" s="5" customFormat="1" ht="15" customHeight="1" x14ac:dyDescent="0.2">
      <c r="A231" s="13"/>
      <c r="B231" s="14" t="str">
        <f>IF(A231="","",_xlfn.XLOOKUP(A231,'DISPATCH SHEET'!B$3:B$121,'DISPATCH SHEET'!C$3:C$121,""))</f>
        <v/>
      </c>
      <c r="C231" s="14" t="str">
        <f>IF(ISBLANK(A231),"",_xlfn.XLOOKUP(A231,'DISPATCH SHEET'!B$3:B$121,'DISPATCH SHEET'!#REF!,""))</f>
        <v/>
      </c>
      <c r="D231" s="14"/>
      <c r="E231" s="15"/>
      <c r="F231" s="16"/>
      <c r="G231" s="17" t="s">
        <v>0</v>
      </c>
      <c r="H231" s="15"/>
      <c r="I231" s="14" t="s">
        <v>0</v>
      </c>
      <c r="J231" s="14"/>
      <c r="K231" s="18"/>
    </row>
    <row r="232" spans="1:11" s="5" customFormat="1" ht="15" customHeight="1" x14ac:dyDescent="0.2">
      <c r="A232" s="13"/>
      <c r="B232" s="14" t="str">
        <f>IF(A232="","",_xlfn.XLOOKUP(A232,'DISPATCH SHEET'!B$3:B$121,'DISPATCH SHEET'!C$3:C$121,""))</f>
        <v/>
      </c>
      <c r="C232" s="14" t="str">
        <f>IF(ISBLANK(A232),"",_xlfn.XLOOKUP(A232,'DISPATCH SHEET'!B$3:B$121,'DISPATCH SHEET'!#REF!,""))</f>
        <v/>
      </c>
      <c r="D232" s="14"/>
      <c r="E232" s="15"/>
      <c r="F232" s="16"/>
      <c r="G232" s="17" t="s">
        <v>0</v>
      </c>
      <c r="H232" s="15"/>
      <c r="I232" s="14" t="s">
        <v>0</v>
      </c>
      <c r="J232" s="14"/>
      <c r="K232" s="18"/>
    </row>
    <row r="233" spans="1:11" s="5" customFormat="1" ht="15" customHeight="1" x14ac:dyDescent="0.2">
      <c r="A233" s="13"/>
      <c r="B233" s="14" t="str">
        <f>IF(A233="","",_xlfn.XLOOKUP(A233,'DISPATCH SHEET'!B$3:B$121,'DISPATCH SHEET'!C$3:C$121,""))</f>
        <v/>
      </c>
      <c r="C233" s="14" t="str">
        <f>IF(ISBLANK(A233),"",_xlfn.XLOOKUP(A233,'DISPATCH SHEET'!B$3:B$121,'DISPATCH SHEET'!#REF!,""))</f>
        <v/>
      </c>
      <c r="D233" s="14"/>
      <c r="E233" s="15"/>
      <c r="F233" s="16"/>
      <c r="G233" s="17" t="s">
        <v>0</v>
      </c>
      <c r="H233" s="15"/>
      <c r="I233" s="14" t="s">
        <v>0</v>
      </c>
      <c r="J233" s="14"/>
      <c r="K233" s="18"/>
    </row>
    <row r="234" spans="1:11" s="5" customFormat="1" ht="15" customHeight="1" x14ac:dyDescent="0.2">
      <c r="A234" s="13"/>
      <c r="B234" s="14" t="str">
        <f>IF(A234="","",_xlfn.XLOOKUP(A234,'DISPATCH SHEET'!B$3:B$121,'DISPATCH SHEET'!C$3:C$121,""))</f>
        <v/>
      </c>
      <c r="C234" s="14" t="str">
        <f>IF(ISBLANK(A234),"",_xlfn.XLOOKUP(A234,'DISPATCH SHEET'!B$3:B$121,'DISPATCH SHEET'!#REF!,""))</f>
        <v/>
      </c>
      <c r="D234" s="14"/>
      <c r="E234" s="15"/>
      <c r="F234" s="16"/>
      <c r="G234" s="17" t="s">
        <v>0</v>
      </c>
      <c r="H234" s="15"/>
      <c r="I234" s="14" t="s">
        <v>0</v>
      </c>
      <c r="J234" s="14"/>
      <c r="K234" s="18"/>
    </row>
    <row r="235" spans="1:11" s="5" customFormat="1" ht="15" customHeight="1" x14ac:dyDescent="0.2">
      <c r="A235" s="13"/>
      <c r="B235" s="14" t="str">
        <f>IF(A235="","",_xlfn.XLOOKUP(A235,'DISPATCH SHEET'!B$3:B$121,'DISPATCH SHEET'!C$3:C$121,""))</f>
        <v/>
      </c>
      <c r="C235" s="14" t="str">
        <f>IF(ISBLANK(A235),"",_xlfn.XLOOKUP(A235,'DISPATCH SHEET'!B$3:B$121,'DISPATCH SHEET'!#REF!,""))</f>
        <v/>
      </c>
      <c r="D235" s="14"/>
      <c r="E235" s="15"/>
      <c r="F235" s="16"/>
      <c r="G235" s="17" t="s">
        <v>0</v>
      </c>
      <c r="H235" s="15"/>
      <c r="I235" s="14" t="s">
        <v>0</v>
      </c>
      <c r="J235" s="14"/>
      <c r="K235" s="18"/>
    </row>
    <row r="236" spans="1:11" s="5" customFormat="1" ht="15" customHeight="1" x14ac:dyDescent="0.2">
      <c r="A236" s="13"/>
      <c r="B236" s="14" t="str">
        <f>IF(A236="","",_xlfn.XLOOKUP(A236,'DISPATCH SHEET'!B$3:B$121,'DISPATCH SHEET'!C$3:C$121,""))</f>
        <v/>
      </c>
      <c r="C236" s="14" t="str">
        <f>IF(ISBLANK(A236),"",_xlfn.XLOOKUP(A236,'DISPATCH SHEET'!B$3:B$121,'DISPATCH SHEET'!#REF!,""))</f>
        <v/>
      </c>
      <c r="D236" s="14"/>
      <c r="E236" s="15"/>
      <c r="F236" s="16"/>
      <c r="G236" s="17" t="s">
        <v>0</v>
      </c>
      <c r="H236" s="15"/>
      <c r="I236" s="14" t="s">
        <v>0</v>
      </c>
      <c r="J236" s="14"/>
      <c r="K236" s="18"/>
    </row>
    <row r="237" spans="1:11" s="5" customFormat="1" ht="15" customHeight="1" x14ac:dyDescent="0.2">
      <c r="A237" s="13"/>
      <c r="B237" s="14" t="str">
        <f>IF(A237="","",_xlfn.XLOOKUP(A237,'DISPATCH SHEET'!B$3:B$121,'DISPATCH SHEET'!C$3:C$121,""))</f>
        <v/>
      </c>
      <c r="C237" s="14" t="str">
        <f>IF(ISBLANK(A237),"",_xlfn.XLOOKUP(A237,'DISPATCH SHEET'!B$3:B$121,'DISPATCH SHEET'!#REF!,""))</f>
        <v/>
      </c>
      <c r="D237" s="14"/>
      <c r="E237" s="15"/>
      <c r="F237" s="16"/>
      <c r="G237" s="17" t="s">
        <v>0</v>
      </c>
      <c r="H237" s="15"/>
      <c r="I237" s="14" t="s">
        <v>0</v>
      </c>
      <c r="J237" s="14"/>
      <c r="K237" s="18"/>
    </row>
    <row r="238" spans="1:11" s="5" customFormat="1" ht="15" customHeight="1" x14ac:dyDescent="0.2">
      <c r="A238" s="13"/>
      <c r="B238" s="14" t="str">
        <f>IF(A238="","",_xlfn.XLOOKUP(A238,'DISPATCH SHEET'!B$3:B$121,'DISPATCH SHEET'!C$3:C$121,""))</f>
        <v/>
      </c>
      <c r="C238" s="14" t="str">
        <f>IF(ISBLANK(A238),"",_xlfn.XLOOKUP(A238,'DISPATCH SHEET'!B$3:B$121,'DISPATCH SHEET'!#REF!,""))</f>
        <v/>
      </c>
      <c r="D238" s="14"/>
      <c r="E238" s="15"/>
      <c r="F238" s="16"/>
      <c r="G238" s="17" t="s">
        <v>0</v>
      </c>
      <c r="H238" s="15"/>
      <c r="I238" s="14" t="s">
        <v>0</v>
      </c>
      <c r="J238" s="14"/>
      <c r="K238" s="18"/>
    </row>
    <row r="239" spans="1:11" s="5" customFormat="1" ht="15" customHeight="1" x14ac:dyDescent="0.2">
      <c r="A239" s="13"/>
      <c r="B239" s="14" t="str">
        <f>IF(A239="","",_xlfn.XLOOKUP(A239,'DISPATCH SHEET'!B$3:B$121,'DISPATCH SHEET'!C$3:C$121,""))</f>
        <v/>
      </c>
      <c r="C239" s="14" t="str">
        <f>IF(ISBLANK(A239),"",_xlfn.XLOOKUP(A239,'DISPATCH SHEET'!B$3:B$121,'DISPATCH SHEET'!#REF!,""))</f>
        <v/>
      </c>
      <c r="D239" s="14"/>
      <c r="E239" s="15"/>
      <c r="F239" s="16"/>
      <c r="G239" s="17" t="s">
        <v>0</v>
      </c>
      <c r="H239" s="15"/>
      <c r="I239" s="14" t="s">
        <v>0</v>
      </c>
      <c r="J239" s="14"/>
      <c r="K239" s="18"/>
    </row>
    <row r="240" spans="1:11" s="5" customFormat="1" ht="15" customHeight="1" x14ac:dyDescent="0.2">
      <c r="A240" s="13"/>
      <c r="B240" s="14" t="str">
        <f>IF(A240="","",_xlfn.XLOOKUP(A240,'DISPATCH SHEET'!B$3:B$121,'DISPATCH SHEET'!C$3:C$121,""))</f>
        <v/>
      </c>
      <c r="C240" s="14" t="str">
        <f>IF(ISBLANK(A240),"",_xlfn.XLOOKUP(A240,'DISPATCH SHEET'!B$3:B$121,'DISPATCH SHEET'!#REF!,""))</f>
        <v/>
      </c>
      <c r="D240" s="14"/>
      <c r="E240" s="15"/>
      <c r="F240" s="16"/>
      <c r="G240" s="17" t="s">
        <v>0</v>
      </c>
      <c r="H240" s="15"/>
      <c r="I240" s="14" t="s">
        <v>0</v>
      </c>
      <c r="J240" s="14"/>
      <c r="K240" s="18"/>
    </row>
    <row r="241" spans="1:11" s="5" customFormat="1" ht="15" customHeight="1" x14ac:dyDescent="0.2">
      <c r="A241" s="13"/>
      <c r="B241" s="14" t="str">
        <f>IF(A241="","",_xlfn.XLOOKUP(A241,'DISPATCH SHEET'!B$3:B$121,'DISPATCH SHEET'!C$3:C$121,""))</f>
        <v/>
      </c>
      <c r="C241" s="14" t="str">
        <f>IF(ISBLANK(A241),"",_xlfn.XLOOKUP(A241,'DISPATCH SHEET'!B$3:B$121,'DISPATCH SHEET'!#REF!,""))</f>
        <v/>
      </c>
      <c r="D241" s="14"/>
      <c r="E241" s="15"/>
      <c r="F241" s="16"/>
      <c r="G241" s="17" t="s">
        <v>0</v>
      </c>
      <c r="H241" s="15"/>
      <c r="I241" s="14" t="s">
        <v>0</v>
      </c>
      <c r="J241" s="14"/>
      <c r="K241" s="18"/>
    </row>
    <row r="242" spans="1:11" s="5" customFormat="1" ht="15" customHeight="1" x14ac:dyDescent="0.2">
      <c r="A242" s="13"/>
      <c r="B242" s="14" t="str">
        <f>IF(A242="","",_xlfn.XLOOKUP(A242,'DISPATCH SHEET'!B$3:B$121,'DISPATCH SHEET'!C$3:C$121,""))</f>
        <v/>
      </c>
      <c r="C242" s="14" t="str">
        <f>IF(ISBLANK(A242),"",_xlfn.XLOOKUP(A242,'DISPATCH SHEET'!B$3:B$121,'DISPATCH SHEET'!#REF!,""))</f>
        <v/>
      </c>
      <c r="D242" s="14"/>
      <c r="E242" s="15"/>
      <c r="F242" s="16"/>
      <c r="G242" s="17" t="s">
        <v>0</v>
      </c>
      <c r="H242" s="15"/>
      <c r="I242" s="14" t="s">
        <v>0</v>
      </c>
      <c r="J242" s="14"/>
      <c r="K242" s="18"/>
    </row>
    <row r="243" spans="1:11" s="5" customFormat="1" ht="15" customHeight="1" x14ac:dyDescent="0.2">
      <c r="A243" s="13"/>
      <c r="B243" s="14" t="str">
        <f>IF(A243="","",_xlfn.XLOOKUP(A243,'DISPATCH SHEET'!B$3:B$121,'DISPATCH SHEET'!C$3:C$121,""))</f>
        <v/>
      </c>
      <c r="C243" s="14" t="str">
        <f>IF(ISBLANK(A243),"",_xlfn.XLOOKUP(A243,'DISPATCH SHEET'!B$3:B$121,'DISPATCH SHEET'!#REF!,""))</f>
        <v/>
      </c>
      <c r="D243" s="14"/>
      <c r="E243" s="15"/>
      <c r="F243" s="16"/>
      <c r="G243" s="17" t="s">
        <v>0</v>
      </c>
      <c r="H243" s="15"/>
      <c r="I243" s="14" t="s">
        <v>0</v>
      </c>
      <c r="J243" s="14"/>
      <c r="K243" s="18"/>
    </row>
    <row r="244" spans="1:11" s="5" customFormat="1" ht="15" customHeight="1" x14ac:dyDescent="0.2">
      <c r="A244" s="13"/>
      <c r="B244" s="14" t="str">
        <f>IF(A244="","",_xlfn.XLOOKUP(A244,'DISPATCH SHEET'!B$3:B$121,'DISPATCH SHEET'!C$3:C$121,""))</f>
        <v/>
      </c>
      <c r="C244" s="14" t="str">
        <f>IF(ISBLANK(A244),"",_xlfn.XLOOKUP(A244,'DISPATCH SHEET'!B$3:B$121,'DISPATCH SHEET'!#REF!,""))</f>
        <v/>
      </c>
      <c r="D244" s="14"/>
      <c r="E244" s="15"/>
      <c r="F244" s="16"/>
      <c r="G244" s="17" t="s">
        <v>0</v>
      </c>
      <c r="H244" s="15"/>
      <c r="I244" s="14" t="s">
        <v>0</v>
      </c>
      <c r="J244" s="14"/>
      <c r="K244" s="18"/>
    </row>
    <row r="245" spans="1:11" s="5" customFormat="1" ht="15" customHeight="1" x14ac:dyDescent="0.2">
      <c r="A245" s="13"/>
      <c r="B245" s="14" t="str">
        <f>IF(A245="","",_xlfn.XLOOKUP(A245,'DISPATCH SHEET'!B$3:B$121,'DISPATCH SHEET'!C$3:C$121,""))</f>
        <v/>
      </c>
      <c r="C245" s="14" t="str">
        <f>IF(ISBLANK(A245),"",_xlfn.XLOOKUP(A245,'DISPATCH SHEET'!B$3:B$121,'DISPATCH SHEET'!#REF!,""))</f>
        <v/>
      </c>
      <c r="D245" s="14"/>
      <c r="E245" s="15"/>
      <c r="F245" s="16"/>
      <c r="G245" s="17" t="s">
        <v>0</v>
      </c>
      <c r="H245" s="15"/>
      <c r="I245" s="14" t="s">
        <v>0</v>
      </c>
      <c r="J245" s="14"/>
      <c r="K245" s="18"/>
    </row>
    <row r="246" spans="1:11" s="5" customFormat="1" ht="15" customHeight="1" x14ac:dyDescent="0.2">
      <c r="A246" s="13"/>
      <c r="B246" s="14" t="str">
        <f>IF(A246="","",_xlfn.XLOOKUP(A246,'DISPATCH SHEET'!B$3:B$121,'DISPATCH SHEET'!C$3:C$121,""))</f>
        <v/>
      </c>
      <c r="C246" s="14" t="str">
        <f>IF(ISBLANK(A246),"",_xlfn.XLOOKUP(A246,'DISPATCH SHEET'!B$3:B$121,'DISPATCH SHEET'!#REF!,""))</f>
        <v/>
      </c>
      <c r="D246" s="14"/>
      <c r="E246" s="15"/>
      <c r="F246" s="16"/>
      <c r="G246" s="17" t="s">
        <v>0</v>
      </c>
      <c r="H246" s="15"/>
      <c r="I246" s="14" t="s">
        <v>0</v>
      </c>
      <c r="J246" s="14"/>
      <c r="K246" s="18"/>
    </row>
    <row r="247" spans="1:11" s="5" customFormat="1" ht="15" customHeight="1" x14ac:dyDescent="0.2">
      <c r="A247" s="13"/>
      <c r="B247" s="14" t="str">
        <f>IF(A247="","",_xlfn.XLOOKUP(A247,'DISPATCH SHEET'!B$3:B$121,'DISPATCH SHEET'!C$3:C$121,""))</f>
        <v/>
      </c>
      <c r="C247" s="14" t="str">
        <f>IF(ISBLANK(A247),"",_xlfn.XLOOKUP(A247,'DISPATCH SHEET'!B$3:B$121,'DISPATCH SHEET'!#REF!,""))</f>
        <v/>
      </c>
      <c r="D247" s="14"/>
      <c r="E247" s="15"/>
      <c r="F247" s="16"/>
      <c r="G247" s="17" t="s">
        <v>0</v>
      </c>
      <c r="H247" s="15"/>
      <c r="I247" s="14" t="s">
        <v>0</v>
      </c>
      <c r="J247" s="14"/>
      <c r="K247" s="18"/>
    </row>
    <row r="248" spans="1:11" s="5" customFormat="1" ht="15" customHeight="1" x14ac:dyDescent="0.2">
      <c r="A248" s="13"/>
      <c r="B248" s="14" t="str">
        <f>IF(A248="","",_xlfn.XLOOKUP(A248,'DISPATCH SHEET'!B$3:B$121,'DISPATCH SHEET'!C$3:C$121,""))</f>
        <v/>
      </c>
      <c r="C248" s="14" t="str">
        <f>IF(ISBLANK(A248),"",_xlfn.XLOOKUP(A248,'DISPATCH SHEET'!B$3:B$121,'DISPATCH SHEET'!#REF!,""))</f>
        <v/>
      </c>
      <c r="D248" s="14"/>
      <c r="E248" s="15"/>
      <c r="F248" s="16"/>
      <c r="G248" s="17" t="s">
        <v>0</v>
      </c>
      <c r="H248" s="15"/>
      <c r="I248" s="14" t="s">
        <v>0</v>
      </c>
      <c r="J248" s="14"/>
      <c r="K248" s="18"/>
    </row>
    <row r="249" spans="1:11" s="5" customFormat="1" ht="15" customHeight="1" x14ac:dyDescent="0.2">
      <c r="A249" s="13"/>
      <c r="B249" s="14" t="str">
        <f>IF(A249="","",_xlfn.XLOOKUP(A249,'DISPATCH SHEET'!B$3:B$121,'DISPATCH SHEET'!C$3:C$121,""))</f>
        <v/>
      </c>
      <c r="C249" s="14" t="str">
        <f>IF(ISBLANK(A249),"",_xlfn.XLOOKUP(A249,'DISPATCH SHEET'!B$3:B$121,'DISPATCH SHEET'!#REF!,""))</f>
        <v/>
      </c>
      <c r="D249" s="14"/>
      <c r="E249" s="15"/>
      <c r="F249" s="16"/>
      <c r="G249" s="17" t="s">
        <v>0</v>
      </c>
      <c r="H249" s="15"/>
      <c r="I249" s="14" t="s">
        <v>0</v>
      </c>
      <c r="J249" s="14"/>
      <c r="K249" s="18"/>
    </row>
    <row r="250" spans="1:11" s="5" customFormat="1" ht="15" customHeight="1" x14ac:dyDescent="0.2">
      <c r="A250" s="13"/>
      <c r="B250" s="14" t="str">
        <f>IF(A250="","",_xlfn.XLOOKUP(A250,'DISPATCH SHEET'!B$3:B$121,'DISPATCH SHEET'!C$3:C$121,""))</f>
        <v/>
      </c>
      <c r="C250" s="14" t="str">
        <f>IF(ISBLANK(A250),"",_xlfn.XLOOKUP(A250,'DISPATCH SHEET'!B$3:B$121,'DISPATCH SHEET'!#REF!,""))</f>
        <v/>
      </c>
      <c r="D250" s="14"/>
      <c r="E250" s="15"/>
      <c r="F250" s="16"/>
      <c r="G250" s="17" t="s">
        <v>0</v>
      </c>
      <c r="H250" s="15"/>
      <c r="I250" s="14" t="s">
        <v>0</v>
      </c>
      <c r="J250" s="14"/>
      <c r="K250" s="18"/>
    </row>
    <row r="251" spans="1:11" s="5" customFormat="1" ht="15" customHeight="1" x14ac:dyDescent="0.2">
      <c r="A251" s="13"/>
      <c r="B251" s="14" t="str">
        <f>IF(A251="","",_xlfn.XLOOKUP(A251,'DISPATCH SHEET'!B$3:B$121,'DISPATCH SHEET'!C$3:C$121,""))</f>
        <v/>
      </c>
      <c r="C251" s="14" t="str">
        <f>IF(ISBLANK(A251),"",_xlfn.XLOOKUP(A251,'DISPATCH SHEET'!B$3:B$121,'DISPATCH SHEET'!#REF!,""))</f>
        <v/>
      </c>
      <c r="D251" s="14"/>
      <c r="E251" s="15"/>
      <c r="F251" s="16"/>
      <c r="G251" s="17" t="s">
        <v>0</v>
      </c>
      <c r="H251" s="15"/>
      <c r="I251" s="14" t="s">
        <v>0</v>
      </c>
      <c r="J251" s="14"/>
      <c r="K251" s="18"/>
    </row>
    <row r="252" spans="1:11" s="5" customFormat="1" ht="15" customHeight="1" x14ac:dyDescent="0.2">
      <c r="A252" s="13"/>
      <c r="B252" s="14" t="str">
        <f>IF(A252="","",_xlfn.XLOOKUP(A252,'DISPATCH SHEET'!B$3:B$121,'DISPATCH SHEET'!C$3:C$121,""))</f>
        <v/>
      </c>
      <c r="C252" s="14" t="str">
        <f>IF(ISBLANK(A252),"",_xlfn.XLOOKUP(A252,'DISPATCH SHEET'!B$3:B$121,'DISPATCH SHEET'!#REF!,""))</f>
        <v/>
      </c>
      <c r="D252" s="14"/>
      <c r="E252" s="15"/>
      <c r="F252" s="16"/>
      <c r="G252" s="17" t="s">
        <v>0</v>
      </c>
      <c r="H252" s="15"/>
      <c r="I252" s="14" t="s">
        <v>0</v>
      </c>
      <c r="J252" s="14"/>
      <c r="K252" s="18"/>
    </row>
    <row r="253" spans="1:11" s="5" customFormat="1" ht="15" customHeight="1" x14ac:dyDescent="0.2">
      <c r="A253" s="13"/>
      <c r="B253" s="14" t="str">
        <f>IF(A253="","",_xlfn.XLOOKUP(A253,'DISPATCH SHEET'!B$3:B$121,'DISPATCH SHEET'!C$3:C$121,""))</f>
        <v/>
      </c>
      <c r="C253" s="14" t="str">
        <f>IF(ISBLANK(A253),"",_xlfn.XLOOKUP(A253,'DISPATCH SHEET'!B$3:B$121,'DISPATCH SHEET'!#REF!,""))</f>
        <v/>
      </c>
      <c r="D253" s="14"/>
      <c r="E253" s="15"/>
      <c r="F253" s="16"/>
      <c r="G253" s="17" t="s">
        <v>0</v>
      </c>
      <c r="H253" s="15"/>
      <c r="I253" s="14" t="s">
        <v>0</v>
      </c>
      <c r="J253" s="14"/>
      <c r="K253" s="18"/>
    </row>
    <row r="254" spans="1:11" s="5" customFormat="1" ht="15" customHeight="1" x14ac:dyDescent="0.2">
      <c r="A254" s="13"/>
      <c r="B254" s="14" t="str">
        <f>IF(A254="","",_xlfn.XLOOKUP(A254,'DISPATCH SHEET'!B$3:B$121,'DISPATCH SHEET'!C$3:C$121,""))</f>
        <v/>
      </c>
      <c r="C254" s="14" t="str">
        <f>IF(ISBLANK(A254),"",_xlfn.XLOOKUP(A254,'DISPATCH SHEET'!B$3:B$121,'DISPATCH SHEET'!#REF!,""))</f>
        <v/>
      </c>
      <c r="D254" s="14"/>
      <c r="E254" s="15"/>
      <c r="F254" s="16"/>
      <c r="G254" s="17" t="s">
        <v>0</v>
      </c>
      <c r="H254" s="15"/>
      <c r="I254" s="14" t="s">
        <v>0</v>
      </c>
      <c r="J254" s="14"/>
      <c r="K254" s="18"/>
    </row>
    <row r="255" spans="1:11" s="5" customFormat="1" ht="15" customHeight="1" x14ac:dyDescent="0.2">
      <c r="A255" s="13"/>
      <c r="B255" s="14" t="str">
        <f>IF(A255="","",_xlfn.XLOOKUP(A255,'DISPATCH SHEET'!B$3:B$121,'DISPATCH SHEET'!C$3:C$121,""))</f>
        <v/>
      </c>
      <c r="C255" s="14" t="str">
        <f>IF(ISBLANK(A255),"",_xlfn.XLOOKUP(A255,'DISPATCH SHEET'!B$3:B$121,'DISPATCH SHEET'!#REF!,""))</f>
        <v/>
      </c>
      <c r="D255" s="14"/>
      <c r="E255" s="15"/>
      <c r="F255" s="16"/>
      <c r="G255" s="17" t="s">
        <v>0</v>
      </c>
      <c r="H255" s="15"/>
      <c r="I255" s="14" t="s">
        <v>0</v>
      </c>
      <c r="J255" s="14"/>
      <c r="K255" s="18"/>
    </row>
    <row r="256" spans="1:11" s="5" customFormat="1" ht="15" customHeight="1" x14ac:dyDescent="0.2">
      <c r="A256" s="13"/>
      <c r="B256" s="14" t="str">
        <f>IF(A256="","",_xlfn.XLOOKUP(A256,'DISPATCH SHEET'!B$3:B$121,'DISPATCH SHEET'!C$3:C$121,""))</f>
        <v/>
      </c>
      <c r="C256" s="14" t="str">
        <f>IF(ISBLANK(A256),"",_xlfn.XLOOKUP(A256,'DISPATCH SHEET'!B$3:B$121,'DISPATCH SHEET'!#REF!,""))</f>
        <v/>
      </c>
      <c r="D256" s="14"/>
      <c r="E256" s="15"/>
      <c r="F256" s="16"/>
      <c r="G256" s="17" t="s">
        <v>0</v>
      </c>
      <c r="H256" s="15"/>
      <c r="I256" s="14" t="s">
        <v>0</v>
      </c>
      <c r="J256" s="14"/>
      <c r="K256" s="18"/>
    </row>
    <row r="257" spans="1:11" s="5" customFormat="1" ht="15" customHeight="1" x14ac:dyDescent="0.2">
      <c r="A257" s="13"/>
      <c r="B257" s="14" t="str">
        <f>IF(A257="","",_xlfn.XLOOKUP(A257,'DISPATCH SHEET'!B$3:B$121,'DISPATCH SHEET'!C$3:C$121,""))</f>
        <v/>
      </c>
      <c r="C257" s="14" t="str">
        <f>IF(ISBLANK(A257),"",_xlfn.XLOOKUP(A257,'DISPATCH SHEET'!B$3:B$121,'DISPATCH SHEET'!#REF!,""))</f>
        <v/>
      </c>
      <c r="D257" s="14"/>
      <c r="E257" s="15"/>
      <c r="F257" s="16"/>
      <c r="G257" s="17" t="s">
        <v>0</v>
      </c>
      <c r="H257" s="15"/>
      <c r="I257" s="14" t="s">
        <v>0</v>
      </c>
      <c r="J257" s="14"/>
      <c r="K257" s="18"/>
    </row>
    <row r="258" spans="1:11" s="5" customFormat="1" ht="15" customHeight="1" x14ac:dyDescent="0.2">
      <c r="A258" s="13"/>
      <c r="B258" s="14" t="str">
        <f>IF(A258="","",_xlfn.XLOOKUP(A258,'DISPATCH SHEET'!B$3:B$121,'DISPATCH SHEET'!C$3:C$121,""))</f>
        <v/>
      </c>
      <c r="C258" s="14" t="str">
        <f>IF(ISBLANK(A258),"",_xlfn.XLOOKUP(A258,'DISPATCH SHEET'!B$3:B$121,'DISPATCH SHEET'!#REF!,""))</f>
        <v/>
      </c>
      <c r="D258" s="14"/>
      <c r="E258" s="15"/>
      <c r="F258" s="16"/>
      <c r="G258" s="17" t="s">
        <v>0</v>
      </c>
      <c r="H258" s="15"/>
      <c r="I258" s="14" t="s">
        <v>0</v>
      </c>
      <c r="J258" s="14"/>
      <c r="K258" s="18"/>
    </row>
    <row r="259" spans="1:11" s="5" customFormat="1" ht="15" customHeight="1" x14ac:dyDescent="0.2">
      <c r="A259" s="13"/>
      <c r="B259" s="14" t="str">
        <f>IF(A259="","",_xlfn.XLOOKUP(A259,'DISPATCH SHEET'!B$3:B$121,'DISPATCH SHEET'!C$3:C$121,""))</f>
        <v/>
      </c>
      <c r="C259" s="14" t="str">
        <f>IF(ISBLANK(A259),"",_xlfn.XLOOKUP(A259,'DISPATCH SHEET'!B$3:B$121,'DISPATCH SHEET'!#REF!,""))</f>
        <v/>
      </c>
      <c r="D259" s="14"/>
      <c r="E259" s="15"/>
      <c r="F259" s="16"/>
      <c r="G259" s="17" t="s">
        <v>0</v>
      </c>
      <c r="H259" s="15"/>
      <c r="I259" s="14" t="s">
        <v>0</v>
      </c>
      <c r="J259" s="14"/>
      <c r="K259" s="18"/>
    </row>
    <row r="260" spans="1:11" s="5" customFormat="1" ht="15" customHeight="1" x14ac:dyDescent="0.2">
      <c r="A260" s="13"/>
      <c r="B260" s="14" t="str">
        <f>IF(A260="","",_xlfn.XLOOKUP(A260,'DISPATCH SHEET'!B$3:B$121,'DISPATCH SHEET'!C$3:C$121,""))</f>
        <v/>
      </c>
      <c r="C260" s="14" t="str">
        <f>IF(ISBLANK(A260),"",_xlfn.XLOOKUP(A260,'DISPATCH SHEET'!B$3:B$121,'DISPATCH SHEET'!#REF!,""))</f>
        <v/>
      </c>
      <c r="D260" s="14"/>
      <c r="E260" s="15"/>
      <c r="F260" s="16"/>
      <c r="G260" s="17" t="s">
        <v>0</v>
      </c>
      <c r="H260" s="15"/>
      <c r="I260" s="14" t="s">
        <v>0</v>
      </c>
      <c r="J260" s="14"/>
      <c r="K260" s="18"/>
    </row>
    <row r="261" spans="1:11" s="5" customFormat="1" ht="15" customHeight="1" x14ac:dyDescent="0.2">
      <c r="A261" s="13"/>
      <c r="B261" s="14" t="str">
        <f>IF(A261="","",_xlfn.XLOOKUP(A261,'DISPATCH SHEET'!B$3:B$121,'DISPATCH SHEET'!C$3:C$121,""))</f>
        <v/>
      </c>
      <c r="C261" s="14" t="str">
        <f>IF(ISBLANK(A261),"",_xlfn.XLOOKUP(A261,'DISPATCH SHEET'!B$3:B$121,'DISPATCH SHEET'!#REF!,""))</f>
        <v/>
      </c>
      <c r="D261" s="14"/>
      <c r="E261" s="15"/>
      <c r="F261" s="16"/>
      <c r="G261" s="17" t="s">
        <v>0</v>
      </c>
      <c r="H261" s="15"/>
      <c r="I261" s="14" t="s">
        <v>0</v>
      </c>
      <c r="J261" s="14"/>
      <c r="K261" s="18"/>
    </row>
    <row r="262" spans="1:11" s="5" customFormat="1" ht="15" customHeight="1" x14ac:dyDescent="0.2">
      <c r="A262" s="13"/>
      <c r="B262" s="14" t="str">
        <f>IF(A262="","",_xlfn.XLOOKUP(A262,'DISPATCH SHEET'!B$3:B$121,'DISPATCH SHEET'!C$3:C$121,""))</f>
        <v/>
      </c>
      <c r="C262" s="14" t="str">
        <f>IF(ISBLANK(A262),"",_xlfn.XLOOKUP(A262,'DISPATCH SHEET'!B$3:B$121,'DISPATCH SHEET'!#REF!,""))</f>
        <v/>
      </c>
      <c r="D262" s="14"/>
      <c r="E262" s="15"/>
      <c r="F262" s="16"/>
      <c r="G262" s="17" t="s">
        <v>0</v>
      </c>
      <c r="H262" s="15"/>
      <c r="I262" s="14" t="s">
        <v>0</v>
      </c>
      <c r="J262" s="14"/>
      <c r="K262" s="18"/>
    </row>
    <row r="263" spans="1:11" s="5" customFormat="1" ht="15" customHeight="1" x14ac:dyDescent="0.2">
      <c r="A263" s="13"/>
      <c r="B263" s="14" t="str">
        <f>IF(A263="","",_xlfn.XLOOKUP(A263,'DISPATCH SHEET'!B$3:B$121,'DISPATCH SHEET'!C$3:C$121,""))</f>
        <v/>
      </c>
      <c r="C263" s="14" t="str">
        <f>IF(ISBLANK(A263),"",_xlfn.XLOOKUP(A263,'DISPATCH SHEET'!B$3:B$121,'DISPATCH SHEET'!#REF!,""))</f>
        <v/>
      </c>
      <c r="D263" s="14"/>
      <c r="E263" s="15"/>
      <c r="F263" s="16"/>
      <c r="G263" s="17" t="s">
        <v>0</v>
      </c>
      <c r="H263" s="15"/>
      <c r="I263" s="14" t="s">
        <v>0</v>
      </c>
      <c r="J263" s="14"/>
      <c r="K263" s="18"/>
    </row>
    <row r="264" spans="1:11" s="5" customFormat="1" ht="15" customHeight="1" x14ac:dyDescent="0.2">
      <c r="A264" s="13"/>
      <c r="B264" s="14" t="str">
        <f>IF(A264="","",_xlfn.XLOOKUP(A264,'DISPATCH SHEET'!B$3:B$121,'DISPATCH SHEET'!C$3:C$121,""))</f>
        <v/>
      </c>
      <c r="C264" s="14" t="str">
        <f>IF(ISBLANK(A264),"",_xlfn.XLOOKUP(A264,'DISPATCH SHEET'!B$3:B$121,'DISPATCH SHEET'!#REF!,""))</f>
        <v/>
      </c>
      <c r="D264" s="14"/>
      <c r="E264" s="15"/>
      <c r="F264" s="16"/>
      <c r="G264" s="17" t="s">
        <v>0</v>
      </c>
      <c r="H264" s="15"/>
      <c r="I264" s="14" t="s">
        <v>0</v>
      </c>
      <c r="J264" s="14"/>
      <c r="K264" s="18"/>
    </row>
    <row r="265" spans="1:11" s="5" customFormat="1" ht="15" customHeight="1" x14ac:dyDescent="0.2">
      <c r="A265" s="13"/>
      <c r="B265" s="14" t="str">
        <f>IF(A265="","",_xlfn.XLOOKUP(A265,'DISPATCH SHEET'!B$3:B$121,'DISPATCH SHEET'!C$3:C$121,""))</f>
        <v/>
      </c>
      <c r="C265" s="14" t="str">
        <f>IF(ISBLANK(A265),"",_xlfn.XLOOKUP(A265,'DISPATCH SHEET'!B$3:B$121,'DISPATCH SHEET'!#REF!,""))</f>
        <v/>
      </c>
      <c r="D265" s="14"/>
      <c r="E265" s="15"/>
      <c r="F265" s="16"/>
      <c r="G265" s="17" t="s">
        <v>0</v>
      </c>
      <c r="H265" s="15"/>
      <c r="I265" s="14" t="s">
        <v>0</v>
      </c>
      <c r="J265" s="14"/>
      <c r="K265" s="18"/>
    </row>
    <row r="266" spans="1:11" s="5" customFormat="1" ht="15" customHeight="1" x14ac:dyDescent="0.2">
      <c r="A266" s="13"/>
      <c r="B266" s="14" t="str">
        <f>IF(A266="","",_xlfn.XLOOKUP(A266,'DISPATCH SHEET'!B$3:B$121,'DISPATCH SHEET'!C$3:C$121,""))</f>
        <v/>
      </c>
      <c r="C266" s="14" t="str">
        <f>IF(ISBLANK(A266),"",_xlfn.XLOOKUP(A266,'DISPATCH SHEET'!B$3:B$121,'DISPATCH SHEET'!#REF!,""))</f>
        <v/>
      </c>
      <c r="D266" s="14"/>
      <c r="E266" s="15"/>
      <c r="F266" s="16"/>
      <c r="G266" s="17" t="s">
        <v>0</v>
      </c>
      <c r="H266" s="15"/>
      <c r="I266" s="14" t="s">
        <v>0</v>
      </c>
      <c r="J266" s="14"/>
      <c r="K266" s="18"/>
    </row>
    <row r="267" spans="1:11" s="5" customFormat="1" ht="15" customHeight="1" x14ac:dyDescent="0.2">
      <c r="A267" s="13"/>
      <c r="B267" s="14" t="str">
        <f>IF(A267="","",_xlfn.XLOOKUP(A267,'DISPATCH SHEET'!B$3:B$121,'DISPATCH SHEET'!C$3:C$121,""))</f>
        <v/>
      </c>
      <c r="C267" s="14" t="str">
        <f>IF(ISBLANK(A267),"",_xlfn.XLOOKUP(A267,'DISPATCH SHEET'!B$3:B$121,'DISPATCH SHEET'!#REF!,""))</f>
        <v/>
      </c>
      <c r="D267" s="14"/>
      <c r="E267" s="15"/>
      <c r="F267" s="16"/>
      <c r="G267" s="17" t="s">
        <v>0</v>
      </c>
      <c r="H267" s="15"/>
      <c r="I267" s="14" t="s">
        <v>0</v>
      </c>
      <c r="J267" s="14"/>
      <c r="K267" s="18"/>
    </row>
    <row r="268" spans="1:11" s="5" customFormat="1" ht="15" customHeight="1" x14ac:dyDescent="0.2">
      <c r="A268" s="13"/>
      <c r="B268" s="14" t="str">
        <f>IF(A268="","",_xlfn.XLOOKUP(A268,'DISPATCH SHEET'!B$3:B$121,'DISPATCH SHEET'!C$3:C$121,""))</f>
        <v/>
      </c>
      <c r="C268" s="14" t="str">
        <f>IF(ISBLANK(A268),"",_xlfn.XLOOKUP(A268,'DISPATCH SHEET'!B$3:B$121,'DISPATCH SHEET'!#REF!,""))</f>
        <v/>
      </c>
      <c r="D268" s="14"/>
      <c r="E268" s="15"/>
      <c r="F268" s="16"/>
      <c r="G268" s="17" t="s">
        <v>0</v>
      </c>
      <c r="H268" s="15"/>
      <c r="I268" s="14" t="s">
        <v>0</v>
      </c>
      <c r="J268" s="14"/>
      <c r="K268" s="18"/>
    </row>
    <row r="269" spans="1:11" s="5" customFormat="1" ht="15" customHeight="1" x14ac:dyDescent="0.2">
      <c r="A269" s="13"/>
      <c r="B269" s="14" t="str">
        <f>IF(A269="","",_xlfn.XLOOKUP(A269,'DISPATCH SHEET'!B$3:B$121,'DISPATCH SHEET'!C$3:C$121,""))</f>
        <v/>
      </c>
      <c r="C269" s="14" t="str">
        <f>IF(ISBLANK(A269),"",_xlfn.XLOOKUP(A269,'DISPATCH SHEET'!B$3:B$121,'DISPATCH SHEET'!#REF!,""))</f>
        <v/>
      </c>
      <c r="D269" s="14"/>
      <c r="E269" s="15"/>
      <c r="F269" s="16"/>
      <c r="G269" s="17" t="s">
        <v>0</v>
      </c>
      <c r="H269" s="15"/>
      <c r="I269" s="14" t="s">
        <v>0</v>
      </c>
      <c r="J269" s="14"/>
      <c r="K269" s="18"/>
    </row>
    <row r="270" spans="1:11" s="5" customFormat="1" ht="15" customHeight="1" x14ac:dyDescent="0.2">
      <c r="A270" s="13"/>
      <c r="B270" s="14" t="str">
        <f>IF(A270="","",_xlfn.XLOOKUP(A270,'DISPATCH SHEET'!B$3:B$121,'DISPATCH SHEET'!C$3:C$121,""))</f>
        <v/>
      </c>
      <c r="C270" s="14" t="str">
        <f>IF(ISBLANK(A270),"",_xlfn.XLOOKUP(A270,'DISPATCH SHEET'!B$3:B$121,'DISPATCH SHEET'!#REF!,""))</f>
        <v/>
      </c>
      <c r="D270" s="14"/>
      <c r="E270" s="15"/>
      <c r="F270" s="16"/>
      <c r="G270" s="17" t="s">
        <v>0</v>
      </c>
      <c r="H270" s="15"/>
      <c r="I270" s="14" t="s">
        <v>0</v>
      </c>
      <c r="J270" s="14"/>
      <c r="K270" s="18"/>
    </row>
    <row r="271" spans="1:11" s="5" customFormat="1" ht="15" customHeight="1" x14ac:dyDescent="0.2">
      <c r="A271" s="13"/>
      <c r="B271" s="14" t="str">
        <f>IF(A271="","",_xlfn.XLOOKUP(A271,'DISPATCH SHEET'!B$3:B$121,'DISPATCH SHEET'!C$3:C$121,""))</f>
        <v/>
      </c>
      <c r="C271" s="14" t="str">
        <f>IF(ISBLANK(A271),"",_xlfn.XLOOKUP(A271,'DISPATCH SHEET'!B$3:B$121,'DISPATCH SHEET'!#REF!,""))</f>
        <v/>
      </c>
      <c r="D271" s="14"/>
      <c r="E271" s="15"/>
      <c r="F271" s="16"/>
      <c r="G271" s="17" t="s">
        <v>0</v>
      </c>
      <c r="H271" s="15"/>
      <c r="I271" s="14" t="s">
        <v>0</v>
      </c>
      <c r="J271" s="14"/>
      <c r="K271" s="18"/>
    </row>
    <row r="272" spans="1:11" s="5" customFormat="1" ht="15" customHeight="1" x14ac:dyDescent="0.2">
      <c r="A272" s="13"/>
      <c r="B272" s="14" t="str">
        <f>IF(A272="","",_xlfn.XLOOKUP(A272,'DISPATCH SHEET'!B$3:B$121,'DISPATCH SHEET'!C$3:C$121,""))</f>
        <v/>
      </c>
      <c r="C272" s="14" t="str">
        <f>IF(ISBLANK(A272),"",_xlfn.XLOOKUP(A272,'DISPATCH SHEET'!B$3:B$121,'DISPATCH SHEET'!#REF!,""))</f>
        <v/>
      </c>
      <c r="D272" s="14"/>
      <c r="E272" s="15"/>
      <c r="F272" s="16"/>
      <c r="G272" s="17" t="s">
        <v>0</v>
      </c>
      <c r="H272" s="15"/>
      <c r="I272" s="14" t="s">
        <v>0</v>
      </c>
      <c r="J272" s="14"/>
      <c r="K272" s="18"/>
    </row>
    <row r="273" spans="1:11" s="5" customFormat="1" ht="15" customHeight="1" x14ac:dyDescent="0.2">
      <c r="A273" s="13"/>
      <c r="B273" s="14" t="str">
        <f>IF(A273="","",_xlfn.XLOOKUP(A273,'DISPATCH SHEET'!B$3:B$121,'DISPATCH SHEET'!C$3:C$121,""))</f>
        <v/>
      </c>
      <c r="C273" s="14" t="str">
        <f>IF(ISBLANK(A273),"",_xlfn.XLOOKUP(A273,'DISPATCH SHEET'!B$3:B$121,'DISPATCH SHEET'!#REF!,""))</f>
        <v/>
      </c>
      <c r="D273" s="14"/>
      <c r="E273" s="15"/>
      <c r="F273" s="16"/>
      <c r="G273" s="17" t="s">
        <v>0</v>
      </c>
      <c r="H273" s="15"/>
      <c r="I273" s="14" t="s">
        <v>0</v>
      </c>
      <c r="J273" s="14"/>
      <c r="K273" s="18"/>
    </row>
    <row r="274" spans="1:11" s="5" customFormat="1" ht="15" customHeight="1" x14ac:dyDescent="0.2">
      <c r="A274" s="13"/>
      <c r="B274" s="14" t="str">
        <f>IF(A274="","",_xlfn.XLOOKUP(A274,'DISPATCH SHEET'!B$3:B$121,'DISPATCH SHEET'!C$3:C$121,""))</f>
        <v/>
      </c>
      <c r="C274" s="14" t="str">
        <f>IF(ISBLANK(A274),"",_xlfn.XLOOKUP(A274,'DISPATCH SHEET'!B$3:B$121,'DISPATCH SHEET'!#REF!,""))</f>
        <v/>
      </c>
      <c r="D274" s="14"/>
      <c r="E274" s="15"/>
      <c r="F274" s="16"/>
      <c r="G274" s="17" t="s">
        <v>0</v>
      </c>
      <c r="H274" s="15"/>
      <c r="I274" s="14" t="s">
        <v>0</v>
      </c>
      <c r="J274" s="14"/>
      <c r="K274" s="18"/>
    </row>
    <row r="275" spans="1:11" s="5" customFormat="1" ht="15" customHeight="1" x14ac:dyDescent="0.2">
      <c r="A275" s="13"/>
      <c r="B275" s="14" t="str">
        <f>IF(A275="","",_xlfn.XLOOKUP(A275,'DISPATCH SHEET'!B$3:B$121,'DISPATCH SHEET'!C$3:C$121,""))</f>
        <v/>
      </c>
      <c r="C275" s="14" t="str">
        <f>IF(ISBLANK(A275),"",_xlfn.XLOOKUP(A275,'DISPATCH SHEET'!B$3:B$121,'DISPATCH SHEET'!#REF!,""))</f>
        <v/>
      </c>
      <c r="D275" s="14"/>
      <c r="E275" s="15"/>
      <c r="F275" s="16"/>
      <c r="G275" s="17" t="s">
        <v>0</v>
      </c>
      <c r="H275" s="15"/>
      <c r="I275" s="14" t="s">
        <v>0</v>
      </c>
      <c r="J275" s="14"/>
      <c r="K275" s="18"/>
    </row>
    <row r="276" spans="1:11" s="5" customFormat="1" ht="15" customHeight="1" x14ac:dyDescent="0.2">
      <c r="A276" s="13"/>
      <c r="B276" s="14" t="str">
        <f>IF(A276="","",_xlfn.XLOOKUP(A276,'DISPATCH SHEET'!B$3:B$121,'DISPATCH SHEET'!C$3:C$121,""))</f>
        <v/>
      </c>
      <c r="C276" s="14" t="str">
        <f>IF(ISBLANK(A276),"",_xlfn.XLOOKUP(A276,'DISPATCH SHEET'!B$3:B$121,'DISPATCH SHEET'!#REF!,""))</f>
        <v/>
      </c>
      <c r="D276" s="14"/>
      <c r="E276" s="15"/>
      <c r="F276" s="16"/>
      <c r="G276" s="17" t="s">
        <v>0</v>
      </c>
      <c r="H276" s="15"/>
      <c r="I276" s="14" t="s">
        <v>0</v>
      </c>
      <c r="J276" s="14"/>
      <c r="K276" s="18"/>
    </row>
    <row r="277" spans="1:11" s="5" customFormat="1" ht="15" customHeight="1" x14ac:dyDescent="0.2">
      <c r="A277" s="13"/>
      <c r="B277" s="14" t="str">
        <f>IF(A277="","",_xlfn.XLOOKUP(A277,'DISPATCH SHEET'!B$3:B$121,'DISPATCH SHEET'!C$3:C$121,""))</f>
        <v/>
      </c>
      <c r="C277" s="14" t="str">
        <f>IF(ISBLANK(A277),"",_xlfn.XLOOKUP(A277,'DISPATCH SHEET'!B$3:B$121,'DISPATCH SHEET'!#REF!,""))</f>
        <v/>
      </c>
      <c r="D277" s="14"/>
      <c r="E277" s="15"/>
      <c r="F277" s="16"/>
      <c r="G277" s="17" t="s">
        <v>0</v>
      </c>
      <c r="H277" s="15"/>
      <c r="I277" s="14" t="s">
        <v>0</v>
      </c>
      <c r="J277" s="14"/>
      <c r="K277" s="18"/>
    </row>
    <row r="278" spans="1:11" s="5" customFormat="1" ht="15" customHeight="1" x14ac:dyDescent="0.2">
      <c r="A278" s="13"/>
      <c r="B278" s="14" t="str">
        <f>IF(A278="","",_xlfn.XLOOKUP(A278,'DISPATCH SHEET'!B$3:B$121,'DISPATCH SHEET'!C$3:C$121,""))</f>
        <v/>
      </c>
      <c r="C278" s="14" t="str">
        <f>IF(ISBLANK(A278),"",_xlfn.XLOOKUP(A278,'DISPATCH SHEET'!B$3:B$121,'DISPATCH SHEET'!#REF!,""))</f>
        <v/>
      </c>
      <c r="D278" s="14"/>
      <c r="E278" s="15"/>
      <c r="F278" s="16"/>
      <c r="G278" s="17" t="s">
        <v>0</v>
      </c>
      <c r="H278" s="15"/>
      <c r="I278" s="14" t="s">
        <v>0</v>
      </c>
      <c r="J278" s="14"/>
      <c r="K278" s="18"/>
    </row>
    <row r="279" spans="1:11" s="5" customFormat="1" ht="15" customHeight="1" x14ac:dyDescent="0.2">
      <c r="A279" s="13"/>
      <c r="B279" s="14" t="str">
        <f>IF(A279="","",_xlfn.XLOOKUP(A279,'DISPATCH SHEET'!B$3:B$121,'DISPATCH SHEET'!C$3:C$121,""))</f>
        <v/>
      </c>
      <c r="C279" s="14" t="str">
        <f>IF(ISBLANK(A279),"",_xlfn.XLOOKUP(A279,'DISPATCH SHEET'!B$3:B$121,'DISPATCH SHEET'!#REF!,""))</f>
        <v/>
      </c>
      <c r="D279" s="14"/>
      <c r="E279" s="15"/>
      <c r="F279" s="16"/>
      <c r="G279" s="17" t="s">
        <v>0</v>
      </c>
      <c r="H279" s="15"/>
      <c r="I279" s="14" t="s">
        <v>0</v>
      </c>
      <c r="J279" s="14"/>
      <c r="K279" s="18"/>
    </row>
    <row r="280" spans="1:11" s="5" customFormat="1" ht="15" customHeight="1" x14ac:dyDescent="0.2">
      <c r="A280" s="13"/>
      <c r="B280" s="14" t="str">
        <f>IF(A280="","",_xlfn.XLOOKUP(A280,'DISPATCH SHEET'!B$3:B$121,'DISPATCH SHEET'!C$3:C$121,""))</f>
        <v/>
      </c>
      <c r="C280" s="14" t="str">
        <f>IF(ISBLANK(A280),"",_xlfn.XLOOKUP(A280,'DISPATCH SHEET'!B$3:B$121,'DISPATCH SHEET'!#REF!,""))</f>
        <v/>
      </c>
      <c r="D280" s="14"/>
      <c r="E280" s="15"/>
      <c r="F280" s="16"/>
      <c r="G280" s="17" t="s">
        <v>0</v>
      </c>
      <c r="H280" s="15"/>
      <c r="I280" s="14" t="s">
        <v>0</v>
      </c>
      <c r="J280" s="14"/>
      <c r="K280" s="18"/>
    </row>
    <row r="281" spans="1:11" s="5" customFormat="1" ht="15" customHeight="1" x14ac:dyDescent="0.2">
      <c r="A281" s="13"/>
      <c r="B281" s="14" t="str">
        <f>IF(A281="","",_xlfn.XLOOKUP(A281,'DISPATCH SHEET'!B$3:B$121,'DISPATCH SHEET'!C$3:C$121,""))</f>
        <v/>
      </c>
      <c r="C281" s="14" t="str">
        <f>IF(ISBLANK(A281),"",_xlfn.XLOOKUP(A281,'DISPATCH SHEET'!B$3:B$121,'DISPATCH SHEET'!#REF!,""))</f>
        <v/>
      </c>
      <c r="D281" s="14"/>
      <c r="E281" s="15"/>
      <c r="F281" s="16"/>
      <c r="G281" s="17" t="s">
        <v>0</v>
      </c>
      <c r="H281" s="15"/>
      <c r="I281" s="14" t="s">
        <v>0</v>
      </c>
      <c r="J281" s="14"/>
      <c r="K281" s="18"/>
    </row>
    <row r="282" spans="1:11" s="5" customFormat="1" ht="15" customHeight="1" x14ac:dyDescent="0.2">
      <c r="A282" s="13"/>
      <c r="B282" s="14" t="str">
        <f>IF(A282="","",_xlfn.XLOOKUP(A282,'DISPATCH SHEET'!B$3:B$121,'DISPATCH SHEET'!C$3:C$121,""))</f>
        <v/>
      </c>
      <c r="C282" s="14" t="str">
        <f>IF(ISBLANK(A282),"",_xlfn.XLOOKUP(A282,'DISPATCH SHEET'!B$3:B$121,'DISPATCH SHEET'!#REF!,""))</f>
        <v/>
      </c>
      <c r="D282" s="14"/>
      <c r="E282" s="15"/>
      <c r="F282" s="16"/>
      <c r="G282" s="17" t="s">
        <v>0</v>
      </c>
      <c r="H282" s="15"/>
      <c r="I282" s="14" t="s">
        <v>0</v>
      </c>
      <c r="J282" s="14"/>
      <c r="K282" s="18"/>
    </row>
    <row r="283" spans="1:11" s="5" customFormat="1" ht="15" customHeight="1" x14ac:dyDescent="0.2">
      <c r="A283" s="13"/>
      <c r="B283" s="14" t="str">
        <f>IF(A283="","",_xlfn.XLOOKUP(A283,'DISPATCH SHEET'!B$3:B$121,'DISPATCH SHEET'!C$3:C$121,""))</f>
        <v/>
      </c>
      <c r="C283" s="14" t="str">
        <f>IF(ISBLANK(A283),"",_xlfn.XLOOKUP(A283,'DISPATCH SHEET'!B$3:B$121,'DISPATCH SHEET'!#REF!,""))</f>
        <v/>
      </c>
      <c r="D283" s="14"/>
      <c r="E283" s="15"/>
      <c r="F283" s="16"/>
      <c r="G283" s="17" t="s">
        <v>0</v>
      </c>
      <c r="H283" s="15"/>
      <c r="I283" s="14" t="s">
        <v>0</v>
      </c>
      <c r="J283" s="14"/>
      <c r="K283" s="18"/>
    </row>
    <row r="284" spans="1:11" s="5" customFormat="1" ht="15" customHeight="1" x14ac:dyDescent="0.2">
      <c r="A284" s="13"/>
      <c r="B284" s="14" t="str">
        <f>IF(A284="","",_xlfn.XLOOKUP(A284,'DISPATCH SHEET'!B$3:B$121,'DISPATCH SHEET'!C$3:C$121,""))</f>
        <v/>
      </c>
      <c r="C284" s="14" t="str">
        <f>IF(ISBLANK(A284),"",_xlfn.XLOOKUP(A284,'DISPATCH SHEET'!B$3:B$121,'DISPATCH SHEET'!#REF!,""))</f>
        <v/>
      </c>
      <c r="D284" s="14"/>
      <c r="E284" s="15"/>
      <c r="F284" s="16"/>
      <c r="G284" s="17" t="s">
        <v>0</v>
      </c>
      <c r="H284" s="15"/>
      <c r="I284" s="14" t="s">
        <v>0</v>
      </c>
      <c r="J284" s="14"/>
      <c r="K284" s="18"/>
    </row>
    <row r="285" spans="1:11" s="5" customFormat="1" ht="15" customHeight="1" x14ac:dyDescent="0.2">
      <c r="A285" s="13"/>
      <c r="B285" s="14" t="str">
        <f>IF(A285="","",_xlfn.XLOOKUP(A285,'DISPATCH SHEET'!B$3:B$121,'DISPATCH SHEET'!C$3:C$121,""))</f>
        <v/>
      </c>
      <c r="C285" s="14" t="str">
        <f>IF(ISBLANK(A285),"",_xlfn.XLOOKUP(A285,'DISPATCH SHEET'!B$3:B$121,'DISPATCH SHEET'!#REF!,""))</f>
        <v/>
      </c>
      <c r="D285" s="14"/>
      <c r="E285" s="15"/>
      <c r="F285" s="16"/>
      <c r="G285" s="17" t="s">
        <v>0</v>
      </c>
      <c r="H285" s="15"/>
      <c r="I285" s="14" t="s">
        <v>0</v>
      </c>
      <c r="J285" s="14"/>
      <c r="K285" s="18"/>
    </row>
    <row r="286" spans="1:11" s="5" customFormat="1" ht="15" customHeight="1" x14ac:dyDescent="0.2">
      <c r="A286" s="13"/>
      <c r="B286" s="14" t="str">
        <f>IF(A286="","",_xlfn.XLOOKUP(A286,'DISPATCH SHEET'!B$3:B$121,'DISPATCH SHEET'!C$3:C$121,""))</f>
        <v/>
      </c>
      <c r="C286" s="14" t="str">
        <f>IF(ISBLANK(A286),"",_xlfn.XLOOKUP(A286,'DISPATCH SHEET'!B$3:B$121,'DISPATCH SHEET'!#REF!,""))</f>
        <v/>
      </c>
      <c r="D286" s="14"/>
      <c r="E286" s="15"/>
      <c r="F286" s="16"/>
      <c r="G286" s="17" t="s">
        <v>0</v>
      </c>
      <c r="H286" s="15"/>
      <c r="I286" s="14" t="s">
        <v>0</v>
      </c>
      <c r="J286" s="14"/>
      <c r="K286" s="18"/>
    </row>
    <row r="287" spans="1:11" s="5" customFormat="1" ht="15" customHeight="1" x14ac:dyDescent="0.2">
      <c r="A287" s="13"/>
      <c r="B287" s="14" t="str">
        <f>IF(A287="","",_xlfn.XLOOKUP(A287,'DISPATCH SHEET'!B$3:B$121,'DISPATCH SHEET'!C$3:C$121,""))</f>
        <v/>
      </c>
      <c r="C287" s="14" t="str">
        <f>IF(ISBLANK(A287),"",_xlfn.XLOOKUP(A287,'DISPATCH SHEET'!B$3:B$121,'DISPATCH SHEET'!#REF!,""))</f>
        <v/>
      </c>
      <c r="D287" s="14"/>
      <c r="E287" s="15"/>
      <c r="F287" s="16"/>
      <c r="G287" s="17" t="s">
        <v>0</v>
      </c>
      <c r="H287" s="15"/>
      <c r="I287" s="14" t="s">
        <v>0</v>
      </c>
      <c r="J287" s="14"/>
      <c r="K287" s="18"/>
    </row>
    <row r="288" spans="1:11" s="5" customFormat="1" ht="15" customHeight="1" x14ac:dyDescent="0.2">
      <c r="A288" s="13"/>
      <c r="B288" s="14" t="str">
        <f>IF(A288="","",_xlfn.XLOOKUP(A288,'DISPATCH SHEET'!B$3:B$121,'DISPATCH SHEET'!C$3:C$121,""))</f>
        <v/>
      </c>
      <c r="C288" s="14" t="str">
        <f>IF(ISBLANK(A288),"",_xlfn.XLOOKUP(A288,'DISPATCH SHEET'!B$3:B$121,'DISPATCH SHEET'!#REF!,""))</f>
        <v/>
      </c>
      <c r="D288" s="14"/>
      <c r="E288" s="15"/>
      <c r="F288" s="16"/>
      <c r="G288" s="17" t="s">
        <v>0</v>
      </c>
      <c r="H288" s="15"/>
      <c r="I288" s="14" t="s">
        <v>0</v>
      </c>
      <c r="J288" s="14"/>
      <c r="K288" s="18"/>
    </row>
    <row r="289" spans="1:11" s="5" customFormat="1" ht="15" customHeight="1" x14ac:dyDescent="0.2">
      <c r="A289" s="13"/>
      <c r="B289" s="14" t="str">
        <f>IF(A289="","",_xlfn.XLOOKUP(A289,'DISPATCH SHEET'!B$3:B$121,'DISPATCH SHEET'!C$3:C$121,""))</f>
        <v/>
      </c>
      <c r="C289" s="14" t="str">
        <f>IF(ISBLANK(A289),"",_xlfn.XLOOKUP(A289,'DISPATCH SHEET'!B$3:B$121,'DISPATCH SHEET'!#REF!,""))</f>
        <v/>
      </c>
      <c r="D289" s="14"/>
      <c r="E289" s="15"/>
      <c r="F289" s="16"/>
      <c r="G289" s="17" t="s">
        <v>0</v>
      </c>
      <c r="H289" s="15"/>
      <c r="I289" s="14" t="s">
        <v>0</v>
      </c>
      <c r="J289" s="14"/>
      <c r="K289" s="18"/>
    </row>
    <row r="290" spans="1:11" s="5" customFormat="1" ht="15" customHeight="1" x14ac:dyDescent="0.2">
      <c r="A290" s="13"/>
      <c r="B290" s="14" t="str">
        <f>IF(A290="","",_xlfn.XLOOKUP(A290,'DISPATCH SHEET'!B$3:B$121,'DISPATCH SHEET'!C$3:C$121,""))</f>
        <v/>
      </c>
      <c r="C290" s="14" t="str">
        <f>IF(ISBLANK(A290),"",_xlfn.XLOOKUP(A290,'DISPATCH SHEET'!B$3:B$121,'DISPATCH SHEET'!#REF!,""))</f>
        <v/>
      </c>
      <c r="D290" s="14"/>
      <c r="E290" s="15"/>
      <c r="F290" s="16"/>
      <c r="G290" s="17" t="s">
        <v>0</v>
      </c>
      <c r="H290" s="15"/>
      <c r="I290" s="14" t="s">
        <v>0</v>
      </c>
      <c r="J290" s="14"/>
      <c r="K290" s="18"/>
    </row>
    <row r="291" spans="1:11" s="5" customFormat="1" ht="15" customHeight="1" x14ac:dyDescent="0.2">
      <c r="A291" s="13"/>
      <c r="B291" s="14" t="str">
        <f>IF(A291="","",_xlfn.XLOOKUP(A291,'DISPATCH SHEET'!B$3:B$121,'DISPATCH SHEET'!C$3:C$121,""))</f>
        <v/>
      </c>
      <c r="C291" s="14" t="str">
        <f>IF(ISBLANK(A291),"",_xlfn.XLOOKUP(A291,'DISPATCH SHEET'!B$3:B$121,'DISPATCH SHEET'!#REF!,""))</f>
        <v/>
      </c>
      <c r="D291" s="14"/>
      <c r="E291" s="15"/>
      <c r="F291" s="16"/>
      <c r="G291" s="17" t="s">
        <v>0</v>
      </c>
      <c r="H291" s="15"/>
      <c r="I291" s="14" t="s">
        <v>0</v>
      </c>
      <c r="J291" s="14"/>
      <c r="K291" s="18"/>
    </row>
    <row r="292" spans="1:11" s="5" customFormat="1" ht="15" customHeight="1" x14ac:dyDescent="0.2">
      <c r="A292" s="13"/>
      <c r="B292" s="14" t="str">
        <f>IF(A292="","",_xlfn.XLOOKUP(A292,'DISPATCH SHEET'!B$3:B$121,'DISPATCH SHEET'!C$3:C$121,""))</f>
        <v/>
      </c>
      <c r="C292" s="14" t="str">
        <f>IF(ISBLANK(A292),"",_xlfn.XLOOKUP(A292,'DISPATCH SHEET'!B$3:B$121,'DISPATCH SHEET'!#REF!,""))</f>
        <v/>
      </c>
      <c r="D292" s="14"/>
      <c r="E292" s="15"/>
      <c r="F292" s="16"/>
      <c r="G292" s="17" t="s">
        <v>0</v>
      </c>
      <c r="H292" s="15"/>
      <c r="I292" s="14" t="s">
        <v>0</v>
      </c>
      <c r="J292" s="14"/>
      <c r="K292" s="18"/>
    </row>
    <row r="293" spans="1:11" s="5" customFormat="1" ht="15" customHeight="1" x14ac:dyDescent="0.2">
      <c r="A293" s="13"/>
      <c r="B293" s="14" t="str">
        <f>IF(A293="","",_xlfn.XLOOKUP(A293,'DISPATCH SHEET'!B$3:B$121,'DISPATCH SHEET'!C$3:C$121,""))</f>
        <v/>
      </c>
      <c r="C293" s="14" t="str">
        <f>IF(ISBLANK(A293),"",_xlfn.XLOOKUP(A293,'DISPATCH SHEET'!B$3:B$121,'DISPATCH SHEET'!#REF!,""))</f>
        <v/>
      </c>
      <c r="D293" s="14"/>
      <c r="E293" s="15"/>
      <c r="F293" s="16"/>
      <c r="G293" s="17" t="s">
        <v>0</v>
      </c>
      <c r="H293" s="15"/>
      <c r="I293" s="14" t="s">
        <v>0</v>
      </c>
      <c r="J293" s="14"/>
      <c r="K293" s="18"/>
    </row>
    <row r="294" spans="1:11" s="5" customFormat="1" ht="15" customHeight="1" x14ac:dyDescent="0.2">
      <c r="A294" s="13"/>
      <c r="B294" s="14" t="str">
        <f>IF(A294="","",_xlfn.XLOOKUP(A294,'DISPATCH SHEET'!B$3:B$121,'DISPATCH SHEET'!C$3:C$121,""))</f>
        <v/>
      </c>
      <c r="C294" s="14" t="str">
        <f>IF(ISBLANK(A294),"",_xlfn.XLOOKUP(A294,'DISPATCH SHEET'!B$3:B$121,'DISPATCH SHEET'!#REF!,""))</f>
        <v/>
      </c>
      <c r="D294" s="14"/>
      <c r="E294" s="15"/>
      <c r="F294" s="16"/>
      <c r="G294" s="17" t="s">
        <v>0</v>
      </c>
      <c r="H294" s="15"/>
      <c r="I294" s="14" t="s">
        <v>0</v>
      </c>
      <c r="J294" s="14"/>
      <c r="K294" s="18"/>
    </row>
    <row r="295" spans="1:11" s="5" customFormat="1" ht="15" customHeight="1" x14ac:dyDescent="0.2">
      <c r="A295" s="13"/>
      <c r="B295" s="14" t="str">
        <f>IF(A295="","",_xlfn.XLOOKUP(A295,'DISPATCH SHEET'!B$3:B$121,'DISPATCH SHEET'!C$3:C$121,""))</f>
        <v/>
      </c>
      <c r="C295" s="14" t="str">
        <f>IF(ISBLANK(A295),"",_xlfn.XLOOKUP(A295,'DISPATCH SHEET'!B$3:B$121,'DISPATCH SHEET'!#REF!,""))</f>
        <v/>
      </c>
      <c r="D295" s="14"/>
      <c r="E295" s="15"/>
      <c r="F295" s="16"/>
      <c r="G295" s="17" t="s">
        <v>0</v>
      </c>
      <c r="H295" s="15"/>
      <c r="I295" s="14" t="s">
        <v>0</v>
      </c>
      <c r="J295" s="14"/>
      <c r="K295" s="18"/>
    </row>
    <row r="296" spans="1:11" s="5" customFormat="1" ht="15" customHeight="1" x14ac:dyDescent="0.2">
      <c r="A296" s="13"/>
      <c r="B296" s="14" t="str">
        <f>IF(A296="","",_xlfn.XLOOKUP(A296,'DISPATCH SHEET'!B$3:B$121,'DISPATCH SHEET'!C$3:C$121,""))</f>
        <v/>
      </c>
      <c r="C296" s="14" t="str">
        <f>IF(ISBLANK(A296),"",_xlfn.XLOOKUP(A296,'DISPATCH SHEET'!B$3:B$121,'DISPATCH SHEET'!#REF!,""))</f>
        <v/>
      </c>
      <c r="D296" s="14"/>
      <c r="E296" s="15"/>
      <c r="F296" s="16"/>
      <c r="G296" s="17" t="s">
        <v>0</v>
      </c>
      <c r="H296" s="15"/>
      <c r="I296" s="14" t="s">
        <v>0</v>
      </c>
      <c r="J296" s="14"/>
      <c r="K296" s="18"/>
    </row>
    <row r="297" spans="1:11" s="5" customFormat="1" ht="15" customHeight="1" x14ac:dyDescent="0.2">
      <c r="A297" s="13"/>
      <c r="B297" s="14" t="str">
        <f>IF(A297="","",_xlfn.XLOOKUP(A297,'DISPATCH SHEET'!B$3:B$121,'DISPATCH SHEET'!C$3:C$121,""))</f>
        <v/>
      </c>
      <c r="C297" s="14" t="str">
        <f>IF(ISBLANK(A297),"",_xlfn.XLOOKUP(A297,'DISPATCH SHEET'!B$3:B$121,'DISPATCH SHEET'!#REF!,""))</f>
        <v/>
      </c>
      <c r="D297" s="14"/>
      <c r="E297" s="15"/>
      <c r="F297" s="16"/>
      <c r="G297" s="17" t="s">
        <v>0</v>
      </c>
      <c r="H297" s="15"/>
      <c r="I297" s="14" t="s">
        <v>0</v>
      </c>
      <c r="J297" s="14"/>
      <c r="K297" s="18"/>
    </row>
    <row r="298" spans="1:11" s="5" customFormat="1" ht="15" customHeight="1" x14ac:dyDescent="0.2">
      <c r="A298" s="13"/>
      <c r="B298" s="14" t="str">
        <f>IF(A298="","",_xlfn.XLOOKUP(A298,'DISPATCH SHEET'!B$3:B$121,'DISPATCH SHEET'!C$3:C$121,""))</f>
        <v/>
      </c>
      <c r="C298" s="14" t="str">
        <f>IF(ISBLANK(A298),"",_xlfn.XLOOKUP(A298,'DISPATCH SHEET'!B$3:B$121,'DISPATCH SHEET'!#REF!,""))</f>
        <v/>
      </c>
      <c r="D298" s="14"/>
      <c r="E298" s="15"/>
      <c r="F298" s="16"/>
      <c r="G298" s="17" t="s">
        <v>0</v>
      </c>
      <c r="H298" s="15"/>
      <c r="I298" s="14" t="s">
        <v>0</v>
      </c>
      <c r="J298" s="14"/>
      <c r="K298" s="18"/>
    </row>
    <row r="299" spans="1:11" s="5" customFormat="1" ht="15" customHeight="1" x14ac:dyDescent="0.2">
      <c r="A299" s="13"/>
      <c r="B299" s="14" t="str">
        <f>IF(A299="","",_xlfn.XLOOKUP(A299,'DISPATCH SHEET'!B$3:B$121,'DISPATCH SHEET'!C$3:C$121,""))</f>
        <v/>
      </c>
      <c r="C299" s="14" t="str">
        <f>IF(ISBLANK(A299),"",_xlfn.XLOOKUP(A299,'DISPATCH SHEET'!B$3:B$121,'DISPATCH SHEET'!#REF!,""))</f>
        <v/>
      </c>
      <c r="D299" s="14"/>
      <c r="E299" s="15"/>
      <c r="F299" s="16"/>
      <c r="G299" s="17" t="s">
        <v>0</v>
      </c>
      <c r="H299" s="15"/>
      <c r="I299" s="14" t="s">
        <v>0</v>
      </c>
      <c r="J299" s="14"/>
      <c r="K299" s="18"/>
    </row>
    <row r="300" spans="1:11" s="5" customFormat="1" ht="15" customHeight="1" x14ac:dyDescent="0.2">
      <c r="A300" s="13"/>
      <c r="B300" s="14" t="str">
        <f>IF(A300="","",_xlfn.XLOOKUP(A300,'DISPATCH SHEET'!B$3:B$121,'DISPATCH SHEET'!C$3:C$121,""))</f>
        <v/>
      </c>
      <c r="C300" s="14" t="str">
        <f>IF(ISBLANK(A300),"",_xlfn.XLOOKUP(A300,'DISPATCH SHEET'!B$3:B$121,'DISPATCH SHEET'!#REF!,""))</f>
        <v/>
      </c>
      <c r="D300" s="14"/>
      <c r="E300" s="15"/>
      <c r="F300" s="16"/>
      <c r="G300" s="17" t="s">
        <v>0</v>
      </c>
      <c r="H300" s="15"/>
      <c r="I300" s="14" t="s">
        <v>0</v>
      </c>
      <c r="J300" s="14"/>
      <c r="K300" s="18"/>
    </row>
    <row r="301" spans="1:11" s="5" customFormat="1" ht="15" customHeight="1" x14ac:dyDescent="0.2">
      <c r="A301" s="13"/>
      <c r="B301" s="14" t="str">
        <f>IF(A301="","",_xlfn.XLOOKUP(A301,'DISPATCH SHEET'!B$3:B$121,'DISPATCH SHEET'!C$3:C$121,""))</f>
        <v/>
      </c>
      <c r="C301" s="14" t="str">
        <f>IF(ISBLANK(A301),"",_xlfn.XLOOKUP(A301,'DISPATCH SHEET'!B$3:B$121,'DISPATCH SHEET'!#REF!,""))</f>
        <v/>
      </c>
      <c r="D301" s="14"/>
      <c r="E301" s="15"/>
      <c r="F301" s="16"/>
      <c r="G301" s="17" t="s">
        <v>0</v>
      </c>
      <c r="H301" s="15"/>
      <c r="I301" s="14" t="s">
        <v>0</v>
      </c>
      <c r="J301" s="14"/>
      <c r="K301" s="18"/>
    </row>
    <row r="302" spans="1:11" s="5" customFormat="1" ht="15" customHeight="1" x14ac:dyDescent="0.2">
      <c r="A302" s="13"/>
      <c r="B302" s="14" t="str">
        <f>IF(A302="","",_xlfn.XLOOKUP(A302,'DISPATCH SHEET'!B$3:B$121,'DISPATCH SHEET'!C$3:C$121,""))</f>
        <v/>
      </c>
      <c r="C302" s="14" t="str">
        <f>IF(ISBLANK(A302),"",_xlfn.XLOOKUP(A302,'DISPATCH SHEET'!B$3:B$121,'DISPATCH SHEET'!#REF!,""))</f>
        <v/>
      </c>
      <c r="D302" s="14"/>
      <c r="E302" s="15"/>
      <c r="F302" s="16"/>
      <c r="G302" s="17" t="s">
        <v>0</v>
      </c>
      <c r="H302" s="15"/>
      <c r="I302" s="14" t="s">
        <v>0</v>
      </c>
      <c r="J302" s="14"/>
      <c r="K302" s="18"/>
    </row>
    <row r="303" spans="1:11" s="5" customFormat="1" ht="15" customHeight="1" x14ac:dyDescent="0.2">
      <c r="A303" s="13"/>
      <c r="B303" s="14" t="str">
        <f>IF(A303="","",_xlfn.XLOOKUP(A303,'DISPATCH SHEET'!B$3:B$121,'DISPATCH SHEET'!C$3:C$121,""))</f>
        <v/>
      </c>
      <c r="C303" s="14" t="str">
        <f>IF(ISBLANK(A303),"",_xlfn.XLOOKUP(A303,'DISPATCH SHEET'!B$3:B$121,'DISPATCH SHEET'!#REF!,""))</f>
        <v/>
      </c>
      <c r="D303" s="14"/>
      <c r="E303" s="15"/>
      <c r="F303" s="16"/>
      <c r="G303" s="17" t="s">
        <v>0</v>
      </c>
      <c r="H303" s="15"/>
      <c r="I303" s="14" t="s">
        <v>0</v>
      </c>
      <c r="J303" s="14"/>
      <c r="K303" s="18"/>
    </row>
    <row r="304" spans="1:11" s="5" customFormat="1" ht="15" customHeight="1" x14ac:dyDescent="0.2">
      <c r="A304" s="13"/>
      <c r="B304" s="14" t="str">
        <f>IF(A304="","",_xlfn.XLOOKUP(A304,'DISPATCH SHEET'!B$3:B$121,'DISPATCH SHEET'!C$3:C$121,""))</f>
        <v/>
      </c>
      <c r="C304" s="14" t="str">
        <f>IF(ISBLANK(A304),"",_xlfn.XLOOKUP(A304,'DISPATCH SHEET'!B$3:B$121,'DISPATCH SHEET'!#REF!,""))</f>
        <v/>
      </c>
      <c r="D304" s="14"/>
      <c r="E304" s="15"/>
      <c r="F304" s="16"/>
      <c r="G304" s="17" t="s">
        <v>0</v>
      </c>
      <c r="H304" s="15"/>
      <c r="I304" s="14" t="s">
        <v>0</v>
      </c>
      <c r="J304" s="14"/>
      <c r="K304" s="18"/>
    </row>
    <row r="305" spans="1:11" s="5" customFormat="1" ht="15" customHeight="1" x14ac:dyDescent="0.2">
      <c r="A305" s="13"/>
      <c r="B305" s="14" t="str">
        <f>IF(A305="","",_xlfn.XLOOKUP(A305,'DISPATCH SHEET'!B$3:B$121,'DISPATCH SHEET'!C$3:C$121,""))</f>
        <v/>
      </c>
      <c r="C305" s="14" t="str">
        <f>IF(ISBLANK(A305),"",_xlfn.XLOOKUP(A305,'DISPATCH SHEET'!B$3:B$121,'DISPATCH SHEET'!#REF!,""))</f>
        <v/>
      </c>
      <c r="D305" s="14"/>
      <c r="E305" s="15"/>
      <c r="F305" s="16"/>
      <c r="G305" s="17" t="s">
        <v>0</v>
      </c>
      <c r="H305" s="15"/>
      <c r="I305" s="14" t="s">
        <v>0</v>
      </c>
      <c r="J305" s="14"/>
      <c r="K305" s="18"/>
    </row>
    <row r="306" spans="1:11" s="5" customFormat="1" ht="15" customHeight="1" x14ac:dyDescent="0.2">
      <c r="A306" s="13"/>
      <c r="B306" s="14" t="str">
        <f>IF(A306="","",_xlfn.XLOOKUP(A306,'DISPATCH SHEET'!B$3:B$121,'DISPATCH SHEET'!C$3:C$121,""))</f>
        <v/>
      </c>
      <c r="C306" s="14" t="str">
        <f>IF(ISBLANK(A306),"",_xlfn.XLOOKUP(A306,'DISPATCH SHEET'!B$3:B$121,'DISPATCH SHEET'!#REF!,""))</f>
        <v/>
      </c>
      <c r="D306" s="14"/>
      <c r="E306" s="15"/>
      <c r="F306" s="16"/>
      <c r="G306" s="17" t="s">
        <v>0</v>
      </c>
      <c r="H306" s="15"/>
      <c r="I306" s="14" t="s">
        <v>0</v>
      </c>
      <c r="J306" s="14"/>
      <c r="K306" s="18"/>
    </row>
    <row r="307" spans="1:11" s="5" customFormat="1" ht="15" customHeight="1" x14ac:dyDescent="0.2">
      <c r="A307" s="13"/>
      <c r="B307" s="14" t="str">
        <f>IF(A307="","",_xlfn.XLOOKUP(A307,'DISPATCH SHEET'!B$3:B$121,'DISPATCH SHEET'!C$3:C$121,""))</f>
        <v/>
      </c>
      <c r="C307" s="14" t="str">
        <f>IF(ISBLANK(A307),"",_xlfn.XLOOKUP(A307,'DISPATCH SHEET'!B$3:B$121,'DISPATCH SHEET'!#REF!,""))</f>
        <v/>
      </c>
      <c r="D307" s="14"/>
      <c r="E307" s="15"/>
      <c r="F307" s="16"/>
      <c r="G307" s="17" t="s">
        <v>0</v>
      </c>
      <c r="H307" s="15"/>
      <c r="I307" s="14" t="s">
        <v>0</v>
      </c>
      <c r="J307" s="14"/>
      <c r="K307" s="18"/>
    </row>
    <row r="308" spans="1:11" s="5" customFormat="1" ht="15" customHeight="1" x14ac:dyDescent="0.2">
      <c r="A308" s="13"/>
      <c r="B308" s="14" t="str">
        <f>IF(A308="","",_xlfn.XLOOKUP(A308,'DISPATCH SHEET'!B$3:B$121,'DISPATCH SHEET'!C$3:C$121,""))</f>
        <v/>
      </c>
      <c r="C308" s="14" t="str">
        <f>IF(ISBLANK(A308),"",_xlfn.XLOOKUP(A308,'DISPATCH SHEET'!B$3:B$121,'DISPATCH SHEET'!#REF!,""))</f>
        <v/>
      </c>
      <c r="D308" s="14"/>
      <c r="E308" s="15"/>
      <c r="F308" s="16"/>
      <c r="G308" s="17" t="s">
        <v>0</v>
      </c>
      <c r="H308" s="15"/>
      <c r="I308" s="14" t="s">
        <v>0</v>
      </c>
      <c r="J308" s="14"/>
      <c r="K308" s="18"/>
    </row>
    <row r="309" spans="1:11" s="5" customFormat="1" ht="15" customHeight="1" x14ac:dyDescent="0.2">
      <c r="A309" s="13"/>
      <c r="B309" s="14" t="str">
        <f>IF(A309="","",_xlfn.XLOOKUP(A309,'DISPATCH SHEET'!B$3:B$121,'DISPATCH SHEET'!C$3:C$121,""))</f>
        <v/>
      </c>
      <c r="C309" s="14" t="str">
        <f>IF(ISBLANK(A309),"",_xlfn.XLOOKUP(A309,'DISPATCH SHEET'!B$3:B$121,'DISPATCH SHEET'!#REF!,""))</f>
        <v/>
      </c>
      <c r="D309" s="14"/>
      <c r="E309" s="15"/>
      <c r="F309" s="16"/>
      <c r="G309" s="17" t="s">
        <v>0</v>
      </c>
      <c r="H309" s="15"/>
      <c r="I309" s="14" t="s">
        <v>0</v>
      </c>
      <c r="J309" s="14"/>
      <c r="K309" s="18"/>
    </row>
    <row r="310" spans="1:11" s="5" customFormat="1" ht="15" customHeight="1" x14ac:dyDescent="0.2">
      <c r="A310" s="13"/>
      <c r="B310" s="14" t="str">
        <f>IF(A310="","",_xlfn.XLOOKUP(A310,'DISPATCH SHEET'!B$3:B$121,'DISPATCH SHEET'!C$3:C$121,""))</f>
        <v/>
      </c>
      <c r="C310" s="14" t="str">
        <f>IF(ISBLANK(A310),"",_xlfn.XLOOKUP(A310,'DISPATCH SHEET'!B$3:B$121,'DISPATCH SHEET'!#REF!,""))</f>
        <v/>
      </c>
      <c r="D310" s="14"/>
      <c r="E310" s="15"/>
      <c r="F310" s="16"/>
      <c r="G310" s="17" t="s">
        <v>0</v>
      </c>
      <c r="H310" s="15"/>
      <c r="I310" s="14" t="s">
        <v>0</v>
      </c>
      <c r="J310" s="14"/>
      <c r="K310" s="18"/>
    </row>
    <row r="311" spans="1:11" s="5" customFormat="1" ht="15" customHeight="1" x14ac:dyDescent="0.2">
      <c r="A311" s="13"/>
      <c r="B311" s="14" t="str">
        <f>IF(A311="","",_xlfn.XLOOKUP(A311,'DISPATCH SHEET'!B$3:B$121,'DISPATCH SHEET'!C$3:C$121,""))</f>
        <v/>
      </c>
      <c r="C311" s="14" t="str">
        <f>IF(ISBLANK(A311),"",_xlfn.XLOOKUP(A311,'DISPATCH SHEET'!B$3:B$121,'DISPATCH SHEET'!#REF!,""))</f>
        <v/>
      </c>
      <c r="D311" s="14"/>
      <c r="E311" s="15"/>
      <c r="F311" s="16"/>
      <c r="G311" s="17" t="s">
        <v>0</v>
      </c>
      <c r="H311" s="15"/>
      <c r="I311" s="14" t="s">
        <v>0</v>
      </c>
      <c r="J311" s="14"/>
      <c r="K311" s="18"/>
    </row>
    <row r="312" spans="1:11" s="5" customFormat="1" ht="15" customHeight="1" x14ac:dyDescent="0.2">
      <c r="A312" s="13"/>
      <c r="B312" s="14" t="str">
        <f>IF(A312="","",_xlfn.XLOOKUP(A312,'DISPATCH SHEET'!B$3:B$121,'DISPATCH SHEET'!C$3:C$121,""))</f>
        <v/>
      </c>
      <c r="C312" s="14" t="str">
        <f>IF(ISBLANK(A312),"",_xlfn.XLOOKUP(A312,'DISPATCH SHEET'!B$3:B$121,'DISPATCH SHEET'!#REF!,""))</f>
        <v/>
      </c>
      <c r="D312" s="14"/>
      <c r="E312" s="15"/>
      <c r="F312" s="16"/>
      <c r="G312" s="17" t="s">
        <v>0</v>
      </c>
      <c r="H312" s="15"/>
      <c r="I312" s="14" t="s">
        <v>0</v>
      </c>
      <c r="J312" s="14"/>
      <c r="K312" s="18"/>
    </row>
    <row r="313" spans="1:11" s="5" customFormat="1" ht="15" customHeight="1" x14ac:dyDescent="0.2">
      <c r="A313" s="13"/>
      <c r="B313" s="14" t="str">
        <f>IF(A313="","",_xlfn.XLOOKUP(A313,'DISPATCH SHEET'!B$3:B$121,'DISPATCH SHEET'!C$3:C$121,""))</f>
        <v/>
      </c>
      <c r="C313" s="14" t="str">
        <f>IF(ISBLANK(A313),"",_xlfn.XLOOKUP(A313,'DISPATCH SHEET'!B$3:B$121,'DISPATCH SHEET'!#REF!,""))</f>
        <v/>
      </c>
      <c r="D313" s="14"/>
      <c r="E313" s="15"/>
      <c r="F313" s="16"/>
      <c r="G313" s="17" t="s">
        <v>0</v>
      </c>
      <c r="H313" s="15"/>
      <c r="I313" s="14" t="s">
        <v>0</v>
      </c>
      <c r="J313" s="14"/>
      <c r="K313" s="18"/>
    </row>
    <row r="314" spans="1:11" s="5" customFormat="1" ht="15" customHeight="1" x14ac:dyDescent="0.2">
      <c r="A314" s="13"/>
      <c r="B314" s="14" t="str">
        <f>IF(A314="","",_xlfn.XLOOKUP(A314,'DISPATCH SHEET'!B$3:B$121,'DISPATCH SHEET'!C$3:C$121,""))</f>
        <v/>
      </c>
      <c r="C314" s="14" t="str">
        <f>IF(ISBLANK(A314),"",_xlfn.XLOOKUP(A314,'DISPATCH SHEET'!B$3:B$121,'DISPATCH SHEET'!#REF!,""))</f>
        <v/>
      </c>
      <c r="D314" s="14"/>
      <c r="E314" s="15"/>
      <c r="F314" s="16"/>
      <c r="G314" s="17" t="s">
        <v>0</v>
      </c>
      <c r="H314" s="15"/>
      <c r="I314" s="14" t="s">
        <v>0</v>
      </c>
      <c r="J314" s="14"/>
      <c r="K314" s="18"/>
    </row>
    <row r="315" spans="1:11" s="5" customFormat="1" ht="15" customHeight="1" x14ac:dyDescent="0.2">
      <c r="A315" s="13"/>
      <c r="B315" s="14" t="str">
        <f>IF(A315="","",_xlfn.XLOOKUP(A315,'DISPATCH SHEET'!B$3:B$121,'DISPATCH SHEET'!C$3:C$121,""))</f>
        <v/>
      </c>
      <c r="C315" s="14" t="str">
        <f>IF(ISBLANK(A315),"",_xlfn.XLOOKUP(A315,'DISPATCH SHEET'!B$3:B$121,'DISPATCH SHEET'!#REF!,""))</f>
        <v/>
      </c>
      <c r="D315" s="14"/>
      <c r="E315" s="15"/>
      <c r="F315" s="16"/>
      <c r="G315" s="17" t="s">
        <v>0</v>
      </c>
      <c r="H315" s="15"/>
      <c r="I315" s="14" t="s">
        <v>0</v>
      </c>
      <c r="J315" s="14"/>
      <c r="K315" s="18"/>
    </row>
    <row r="316" spans="1:11" s="5" customFormat="1" ht="15" customHeight="1" x14ac:dyDescent="0.2">
      <c r="A316" s="13"/>
      <c r="B316" s="14" t="str">
        <f>IF(A316="","",_xlfn.XLOOKUP(A316,'DISPATCH SHEET'!B$3:B$121,'DISPATCH SHEET'!C$3:C$121,""))</f>
        <v/>
      </c>
      <c r="C316" s="14" t="str">
        <f>IF(ISBLANK(A316),"",_xlfn.XLOOKUP(A316,'DISPATCH SHEET'!B$3:B$121,'DISPATCH SHEET'!#REF!,""))</f>
        <v/>
      </c>
      <c r="D316" s="14"/>
      <c r="E316" s="15"/>
      <c r="F316" s="16"/>
      <c r="G316" s="17" t="s">
        <v>0</v>
      </c>
      <c r="H316" s="15"/>
      <c r="I316" s="14" t="s">
        <v>0</v>
      </c>
      <c r="J316" s="14"/>
      <c r="K316" s="18"/>
    </row>
    <row r="317" spans="1:11" s="5" customFormat="1" ht="15" customHeight="1" x14ac:dyDescent="0.2">
      <c r="A317" s="13"/>
      <c r="B317" s="14" t="str">
        <f>IF(A317="","",_xlfn.XLOOKUP(A317,'DISPATCH SHEET'!B$3:B$121,'DISPATCH SHEET'!C$3:C$121,""))</f>
        <v/>
      </c>
      <c r="C317" s="14" t="str">
        <f>IF(ISBLANK(A317),"",_xlfn.XLOOKUP(A317,'DISPATCH SHEET'!B$3:B$121,'DISPATCH SHEET'!#REF!,""))</f>
        <v/>
      </c>
      <c r="D317" s="14"/>
      <c r="E317" s="15"/>
      <c r="F317" s="16"/>
      <c r="G317" s="17" t="s">
        <v>0</v>
      </c>
      <c r="H317" s="15"/>
      <c r="I317" s="14" t="s">
        <v>0</v>
      </c>
      <c r="J317" s="14"/>
      <c r="K317" s="18"/>
    </row>
    <row r="318" spans="1:11" s="5" customFormat="1" ht="15" customHeight="1" x14ac:dyDescent="0.2">
      <c r="A318" s="13"/>
      <c r="B318" s="14" t="str">
        <f>IF(A318="","",_xlfn.XLOOKUP(A318,'DISPATCH SHEET'!B$3:B$121,'DISPATCH SHEET'!C$3:C$121,""))</f>
        <v/>
      </c>
      <c r="C318" s="14" t="str">
        <f>IF(ISBLANK(A318),"",_xlfn.XLOOKUP(A318,'DISPATCH SHEET'!B$3:B$121,'DISPATCH SHEET'!#REF!,""))</f>
        <v/>
      </c>
      <c r="D318" s="14"/>
      <c r="E318" s="15"/>
      <c r="F318" s="16"/>
      <c r="G318" s="17" t="s">
        <v>0</v>
      </c>
      <c r="H318" s="15"/>
      <c r="I318" s="14" t="s">
        <v>0</v>
      </c>
      <c r="J318" s="14"/>
      <c r="K318" s="18"/>
    </row>
    <row r="319" spans="1:11" s="5" customFormat="1" ht="15" customHeight="1" x14ac:dyDescent="0.2">
      <c r="A319" s="13"/>
      <c r="B319" s="14" t="str">
        <f>IF(A319="","",_xlfn.XLOOKUP(A319,'DISPATCH SHEET'!B$3:B$121,'DISPATCH SHEET'!C$3:C$121,""))</f>
        <v/>
      </c>
      <c r="C319" s="14" t="str">
        <f>IF(ISBLANK(A319),"",_xlfn.XLOOKUP(A319,'DISPATCH SHEET'!B$3:B$121,'DISPATCH SHEET'!#REF!,""))</f>
        <v/>
      </c>
      <c r="D319" s="14"/>
      <c r="E319" s="15"/>
      <c r="F319" s="16"/>
      <c r="G319" s="17" t="s">
        <v>0</v>
      </c>
      <c r="H319" s="15"/>
      <c r="I319" s="14" t="s">
        <v>0</v>
      </c>
      <c r="J319" s="14"/>
      <c r="K319" s="18"/>
    </row>
    <row r="320" spans="1:11" s="5" customFormat="1" ht="15" customHeight="1" x14ac:dyDescent="0.2">
      <c r="A320" s="13"/>
      <c r="B320" s="14" t="str">
        <f>IF(A320="","",_xlfn.XLOOKUP(A320,'DISPATCH SHEET'!B$3:B$121,'DISPATCH SHEET'!C$3:C$121,""))</f>
        <v/>
      </c>
      <c r="C320" s="14" t="str">
        <f>IF(ISBLANK(A320),"",_xlfn.XLOOKUP(A320,'DISPATCH SHEET'!B$3:B$121,'DISPATCH SHEET'!#REF!,""))</f>
        <v/>
      </c>
      <c r="D320" s="14"/>
      <c r="E320" s="15"/>
      <c r="F320" s="16"/>
      <c r="G320" s="17" t="s">
        <v>0</v>
      </c>
      <c r="H320" s="15"/>
      <c r="I320" s="14" t="s">
        <v>0</v>
      </c>
      <c r="J320" s="14"/>
      <c r="K320" s="18"/>
    </row>
    <row r="321" spans="1:11" s="5" customFormat="1" ht="15" customHeight="1" x14ac:dyDescent="0.2">
      <c r="A321" s="13"/>
      <c r="B321" s="14" t="str">
        <f>IF(A321="","",_xlfn.XLOOKUP(A321,'DISPATCH SHEET'!B$3:B$121,'DISPATCH SHEET'!C$3:C$121,""))</f>
        <v/>
      </c>
      <c r="C321" s="14" t="str">
        <f>IF(ISBLANK(A321),"",_xlfn.XLOOKUP(A321,'DISPATCH SHEET'!B$3:B$121,'DISPATCH SHEET'!#REF!,""))</f>
        <v/>
      </c>
      <c r="D321" s="14"/>
      <c r="E321" s="15"/>
      <c r="F321" s="16"/>
      <c r="G321" s="17" t="s">
        <v>0</v>
      </c>
      <c r="H321" s="15"/>
      <c r="I321" s="14" t="s">
        <v>0</v>
      </c>
      <c r="J321" s="14"/>
      <c r="K321" s="18"/>
    </row>
    <row r="322" spans="1:11" s="5" customFormat="1" ht="15" customHeight="1" x14ac:dyDescent="0.2">
      <c r="A322" s="13"/>
      <c r="B322" s="14" t="str">
        <f>IF(A322="","",_xlfn.XLOOKUP(A322,'DISPATCH SHEET'!B$3:B$121,'DISPATCH SHEET'!C$3:C$121,""))</f>
        <v/>
      </c>
      <c r="C322" s="14" t="str">
        <f>IF(ISBLANK(A322),"",_xlfn.XLOOKUP(A322,'DISPATCH SHEET'!B$3:B$121,'DISPATCH SHEET'!#REF!,""))</f>
        <v/>
      </c>
      <c r="D322" s="14"/>
      <c r="E322" s="15"/>
      <c r="F322" s="16"/>
      <c r="G322" s="17" t="s">
        <v>0</v>
      </c>
      <c r="H322" s="15"/>
      <c r="I322" s="14" t="s">
        <v>0</v>
      </c>
      <c r="J322" s="14"/>
      <c r="K322" s="18"/>
    </row>
    <row r="323" spans="1:11" s="5" customFormat="1" ht="15" customHeight="1" x14ac:dyDescent="0.2">
      <c r="A323" s="13"/>
      <c r="B323" s="14" t="str">
        <f>IF(A323="","",_xlfn.XLOOKUP(A323,'DISPATCH SHEET'!B$3:B$121,'DISPATCH SHEET'!C$3:C$121,""))</f>
        <v/>
      </c>
      <c r="C323" s="14" t="str">
        <f>IF(ISBLANK(A323),"",_xlfn.XLOOKUP(A323,'DISPATCH SHEET'!B$3:B$121,'DISPATCH SHEET'!#REF!,""))</f>
        <v/>
      </c>
      <c r="D323" s="14"/>
      <c r="E323" s="15"/>
      <c r="F323" s="16"/>
      <c r="G323" s="17" t="s">
        <v>0</v>
      </c>
      <c r="H323" s="15"/>
      <c r="I323" s="14" t="s">
        <v>0</v>
      </c>
      <c r="J323" s="14"/>
      <c r="K323" s="18"/>
    </row>
    <row r="324" spans="1:11" s="5" customFormat="1" ht="15" customHeight="1" x14ac:dyDescent="0.2">
      <c r="A324" s="13"/>
      <c r="B324" s="14" t="str">
        <f>IF(A324="","",_xlfn.XLOOKUP(A324,'DISPATCH SHEET'!B$3:B$121,'DISPATCH SHEET'!C$3:C$121,""))</f>
        <v/>
      </c>
      <c r="C324" s="14" t="str">
        <f>IF(ISBLANK(A324),"",_xlfn.XLOOKUP(A324,'DISPATCH SHEET'!B$3:B$121,'DISPATCH SHEET'!#REF!,""))</f>
        <v/>
      </c>
      <c r="D324" s="14"/>
      <c r="E324" s="15"/>
      <c r="F324" s="16"/>
      <c r="G324" s="17" t="s">
        <v>0</v>
      </c>
      <c r="H324" s="15"/>
      <c r="I324" s="14" t="s">
        <v>0</v>
      </c>
      <c r="J324" s="14"/>
      <c r="K324" s="18"/>
    </row>
    <row r="325" spans="1:11" s="5" customFormat="1" ht="15" customHeight="1" x14ac:dyDescent="0.2">
      <c r="A325" s="13"/>
      <c r="B325" s="14" t="str">
        <f>IF(A325="","",_xlfn.XLOOKUP(A325,'DISPATCH SHEET'!B$3:B$121,'DISPATCH SHEET'!C$3:C$121,""))</f>
        <v/>
      </c>
      <c r="C325" s="14" t="str">
        <f>IF(ISBLANK(A325),"",_xlfn.XLOOKUP(A325,'DISPATCH SHEET'!B$3:B$121,'DISPATCH SHEET'!#REF!,""))</f>
        <v/>
      </c>
      <c r="D325" s="14"/>
      <c r="E325" s="15"/>
      <c r="F325" s="16"/>
      <c r="G325" s="17" t="s">
        <v>0</v>
      </c>
      <c r="H325" s="15"/>
      <c r="I325" s="14" t="s">
        <v>0</v>
      </c>
      <c r="J325" s="14"/>
      <c r="K325" s="18"/>
    </row>
    <row r="326" spans="1:11" s="5" customFormat="1" ht="15" customHeight="1" x14ac:dyDescent="0.2">
      <c r="A326" s="13"/>
      <c r="B326" s="14" t="str">
        <f>IF(A326="","",_xlfn.XLOOKUP(A326,'DISPATCH SHEET'!B$3:B$121,'DISPATCH SHEET'!C$3:C$121,""))</f>
        <v/>
      </c>
      <c r="C326" s="14" t="str">
        <f>IF(ISBLANK(A326),"",_xlfn.XLOOKUP(A326,'DISPATCH SHEET'!B$3:B$121,'DISPATCH SHEET'!#REF!,""))</f>
        <v/>
      </c>
      <c r="D326" s="14"/>
      <c r="E326" s="15"/>
      <c r="F326" s="16"/>
      <c r="G326" s="17" t="s">
        <v>0</v>
      </c>
      <c r="H326" s="15"/>
      <c r="I326" s="14" t="s">
        <v>0</v>
      </c>
      <c r="J326" s="14"/>
      <c r="K326" s="18"/>
    </row>
    <row r="327" spans="1:11" s="5" customFormat="1" ht="15" customHeight="1" x14ac:dyDescent="0.2">
      <c r="A327" s="13"/>
      <c r="B327" s="14" t="str">
        <f>IF(A327="","",_xlfn.XLOOKUP(A327,'DISPATCH SHEET'!B$3:B$121,'DISPATCH SHEET'!C$3:C$121,""))</f>
        <v/>
      </c>
      <c r="C327" s="14" t="str">
        <f>IF(ISBLANK(A327),"",_xlfn.XLOOKUP(A327,'DISPATCH SHEET'!B$3:B$121,'DISPATCH SHEET'!#REF!,""))</f>
        <v/>
      </c>
      <c r="D327" s="14"/>
      <c r="E327" s="15"/>
      <c r="F327" s="16"/>
      <c r="G327" s="17" t="s">
        <v>0</v>
      </c>
      <c r="H327" s="15"/>
      <c r="I327" s="14" t="s">
        <v>0</v>
      </c>
      <c r="J327" s="14"/>
      <c r="K327" s="18"/>
    </row>
    <row r="328" spans="1:11" s="5" customFormat="1" ht="15" customHeight="1" x14ac:dyDescent="0.2">
      <c r="A328" s="13"/>
      <c r="B328" s="14" t="str">
        <f>IF(A328="","",_xlfn.XLOOKUP(A328,'DISPATCH SHEET'!B$3:B$121,'DISPATCH SHEET'!C$3:C$121,""))</f>
        <v/>
      </c>
      <c r="C328" s="14" t="str">
        <f>IF(ISBLANK(A328),"",_xlfn.XLOOKUP(A328,'DISPATCH SHEET'!B$3:B$121,'DISPATCH SHEET'!#REF!,""))</f>
        <v/>
      </c>
      <c r="D328" s="14"/>
      <c r="E328" s="15"/>
      <c r="F328" s="16"/>
      <c r="G328" s="17" t="s">
        <v>0</v>
      </c>
      <c r="H328" s="15"/>
      <c r="I328" s="14" t="s">
        <v>0</v>
      </c>
      <c r="J328" s="14"/>
      <c r="K328" s="18"/>
    </row>
    <row r="329" spans="1:11" s="5" customFormat="1" ht="15" customHeight="1" x14ac:dyDescent="0.2">
      <c r="A329" s="13"/>
      <c r="B329" s="14" t="str">
        <f>IF(A329="","",_xlfn.XLOOKUP(A329,'DISPATCH SHEET'!B$3:B$121,'DISPATCH SHEET'!C$3:C$121,""))</f>
        <v/>
      </c>
      <c r="C329" s="14" t="str">
        <f>IF(ISBLANK(A329),"",_xlfn.XLOOKUP(A329,'DISPATCH SHEET'!B$3:B$121,'DISPATCH SHEET'!#REF!,""))</f>
        <v/>
      </c>
      <c r="D329" s="14"/>
      <c r="E329" s="15"/>
      <c r="F329" s="16"/>
      <c r="G329" s="17" t="s">
        <v>0</v>
      </c>
      <c r="H329" s="15"/>
      <c r="I329" s="14" t="s">
        <v>0</v>
      </c>
      <c r="J329" s="14"/>
      <c r="K329" s="18"/>
    </row>
    <row r="330" spans="1:11" s="5" customFormat="1" ht="15" customHeight="1" x14ac:dyDescent="0.2">
      <c r="A330" s="13"/>
      <c r="B330" s="14" t="str">
        <f>IF(A330="","",_xlfn.XLOOKUP(A330,'DISPATCH SHEET'!B$3:B$121,'DISPATCH SHEET'!C$3:C$121,""))</f>
        <v/>
      </c>
      <c r="C330" s="14" t="str">
        <f>IF(ISBLANK(A330),"",_xlfn.XLOOKUP(A330,'DISPATCH SHEET'!B$3:B$121,'DISPATCH SHEET'!#REF!,""))</f>
        <v/>
      </c>
      <c r="D330" s="14"/>
      <c r="E330" s="15"/>
      <c r="F330" s="16"/>
      <c r="G330" s="17" t="s">
        <v>0</v>
      </c>
      <c r="H330" s="15"/>
      <c r="I330" s="14" t="s">
        <v>0</v>
      </c>
      <c r="J330" s="14"/>
      <c r="K330" s="18"/>
    </row>
    <row r="331" spans="1:11" s="5" customFormat="1" ht="15" customHeight="1" x14ac:dyDescent="0.2">
      <c r="A331" s="13"/>
      <c r="B331" s="14" t="str">
        <f>IF(A331="","",_xlfn.XLOOKUP(A331,'DISPATCH SHEET'!B$3:B$121,'DISPATCH SHEET'!C$3:C$121,""))</f>
        <v/>
      </c>
      <c r="C331" s="14" t="str">
        <f>IF(ISBLANK(A331),"",_xlfn.XLOOKUP(A331,'DISPATCH SHEET'!B$3:B$121,'DISPATCH SHEET'!#REF!,""))</f>
        <v/>
      </c>
      <c r="D331" s="14"/>
      <c r="E331" s="15"/>
      <c r="F331" s="16"/>
      <c r="G331" s="17" t="s">
        <v>0</v>
      </c>
      <c r="H331" s="15"/>
      <c r="I331" s="14" t="s">
        <v>0</v>
      </c>
      <c r="J331" s="14"/>
      <c r="K331" s="18"/>
    </row>
    <row r="332" spans="1:11" s="5" customFormat="1" ht="15" customHeight="1" x14ac:dyDescent="0.2">
      <c r="A332" s="13"/>
      <c r="B332" s="14" t="str">
        <f>IF(A332="","",_xlfn.XLOOKUP(A332,'DISPATCH SHEET'!B$3:B$121,'DISPATCH SHEET'!C$3:C$121,""))</f>
        <v/>
      </c>
      <c r="C332" s="14" t="str">
        <f>IF(ISBLANK(A332),"",_xlfn.XLOOKUP(A332,'DISPATCH SHEET'!B$3:B$121,'DISPATCH SHEET'!#REF!,""))</f>
        <v/>
      </c>
      <c r="D332" s="14"/>
      <c r="E332" s="15"/>
      <c r="F332" s="16"/>
      <c r="G332" s="17" t="s">
        <v>0</v>
      </c>
      <c r="H332" s="15"/>
      <c r="I332" s="14" t="s">
        <v>0</v>
      </c>
      <c r="J332" s="14"/>
      <c r="K332" s="18"/>
    </row>
    <row r="333" spans="1:11" s="5" customFormat="1" ht="15" customHeight="1" x14ac:dyDescent="0.2">
      <c r="A333" s="13"/>
      <c r="B333" s="14" t="str">
        <f>IF(A333="","",_xlfn.XLOOKUP(A333,'DISPATCH SHEET'!B$3:B$121,'DISPATCH SHEET'!C$3:C$121,""))</f>
        <v/>
      </c>
      <c r="C333" s="14" t="str">
        <f>IF(ISBLANK(A333),"",_xlfn.XLOOKUP(A333,'DISPATCH SHEET'!B$3:B$121,'DISPATCH SHEET'!#REF!,""))</f>
        <v/>
      </c>
      <c r="D333" s="14"/>
      <c r="E333" s="15"/>
      <c r="F333" s="16"/>
      <c r="G333" s="17" t="s">
        <v>0</v>
      </c>
      <c r="H333" s="15"/>
      <c r="I333" s="14" t="s">
        <v>0</v>
      </c>
      <c r="J333" s="14"/>
      <c r="K333" s="18"/>
    </row>
    <row r="334" spans="1:11" s="5" customFormat="1" ht="15" customHeight="1" x14ac:dyDescent="0.2">
      <c r="A334" s="13"/>
      <c r="B334" s="14" t="str">
        <f>IF(A334="","",_xlfn.XLOOKUP(A334,'DISPATCH SHEET'!B$3:B$121,'DISPATCH SHEET'!C$3:C$121,""))</f>
        <v/>
      </c>
      <c r="C334" s="14" t="str">
        <f>IF(ISBLANK(A334),"",_xlfn.XLOOKUP(A334,'DISPATCH SHEET'!B$3:B$121,'DISPATCH SHEET'!#REF!,""))</f>
        <v/>
      </c>
      <c r="D334" s="14"/>
      <c r="E334" s="15"/>
      <c r="F334" s="16"/>
      <c r="G334" s="17" t="s">
        <v>0</v>
      </c>
      <c r="H334" s="15"/>
      <c r="I334" s="14" t="s">
        <v>0</v>
      </c>
      <c r="J334" s="14"/>
      <c r="K334" s="18"/>
    </row>
    <row r="335" spans="1:11" s="5" customFormat="1" ht="15" customHeight="1" x14ac:dyDescent="0.2">
      <c r="A335" s="13"/>
      <c r="B335" s="14" t="str">
        <f>IF(A335="","",_xlfn.XLOOKUP(A335,'DISPATCH SHEET'!B$3:B$121,'DISPATCH SHEET'!C$3:C$121,""))</f>
        <v/>
      </c>
      <c r="C335" s="14" t="str">
        <f>IF(ISBLANK(A335),"",_xlfn.XLOOKUP(A335,'DISPATCH SHEET'!B$3:B$121,'DISPATCH SHEET'!#REF!,""))</f>
        <v/>
      </c>
      <c r="D335" s="14"/>
      <c r="E335" s="15"/>
      <c r="F335" s="16"/>
      <c r="G335" s="17" t="s">
        <v>0</v>
      </c>
      <c r="H335" s="15"/>
      <c r="I335" s="14" t="s">
        <v>0</v>
      </c>
      <c r="J335" s="14"/>
      <c r="K335" s="18"/>
    </row>
    <row r="336" spans="1:11" s="5" customFormat="1" ht="15" customHeight="1" x14ac:dyDescent="0.2">
      <c r="A336" s="13"/>
      <c r="B336" s="14" t="str">
        <f>IF(A336="","",_xlfn.XLOOKUP(A336,'DISPATCH SHEET'!B$3:B$121,'DISPATCH SHEET'!C$3:C$121,""))</f>
        <v/>
      </c>
      <c r="C336" s="14" t="str">
        <f>IF(ISBLANK(A336),"",_xlfn.XLOOKUP(A336,'DISPATCH SHEET'!B$3:B$121,'DISPATCH SHEET'!#REF!,""))</f>
        <v/>
      </c>
      <c r="D336" s="14"/>
      <c r="E336" s="15"/>
      <c r="F336" s="16"/>
      <c r="G336" s="17" t="s">
        <v>0</v>
      </c>
      <c r="H336" s="15"/>
      <c r="I336" s="14" t="s">
        <v>0</v>
      </c>
      <c r="J336" s="14"/>
      <c r="K336" s="18"/>
    </row>
    <row r="337" spans="1:11" s="5" customFormat="1" ht="15" customHeight="1" x14ac:dyDescent="0.2">
      <c r="A337" s="13"/>
      <c r="B337" s="14" t="str">
        <f>IF(A337="","",_xlfn.XLOOKUP(A337,'DISPATCH SHEET'!B$3:B$121,'DISPATCH SHEET'!C$3:C$121,""))</f>
        <v/>
      </c>
      <c r="C337" s="14" t="str">
        <f>IF(ISBLANK(A337),"",_xlfn.XLOOKUP(A337,'DISPATCH SHEET'!B$3:B$121,'DISPATCH SHEET'!#REF!,""))</f>
        <v/>
      </c>
      <c r="D337" s="14"/>
      <c r="E337" s="15"/>
      <c r="F337" s="16"/>
      <c r="G337" s="17" t="s">
        <v>0</v>
      </c>
      <c r="H337" s="15"/>
      <c r="I337" s="14" t="s">
        <v>0</v>
      </c>
      <c r="J337" s="14"/>
      <c r="K337" s="18"/>
    </row>
    <row r="338" spans="1:11" s="5" customFormat="1" ht="15" customHeight="1" x14ac:dyDescent="0.2">
      <c r="A338" s="13"/>
      <c r="B338" s="14" t="str">
        <f>IF(A338="","",_xlfn.XLOOKUP(A338,'DISPATCH SHEET'!B$3:B$121,'DISPATCH SHEET'!C$3:C$121,""))</f>
        <v/>
      </c>
      <c r="C338" s="14" t="str">
        <f>IF(ISBLANK(A338),"",_xlfn.XLOOKUP(A338,'DISPATCH SHEET'!B$3:B$121,'DISPATCH SHEET'!#REF!,""))</f>
        <v/>
      </c>
      <c r="D338" s="14"/>
      <c r="E338" s="15"/>
      <c r="F338" s="16"/>
      <c r="G338" s="17" t="s">
        <v>0</v>
      </c>
      <c r="H338" s="15"/>
      <c r="I338" s="14" t="s">
        <v>0</v>
      </c>
      <c r="J338" s="14"/>
      <c r="K338" s="18"/>
    </row>
    <row r="339" spans="1:11" s="5" customFormat="1" ht="15" customHeight="1" x14ac:dyDescent="0.2">
      <c r="A339" s="13"/>
      <c r="B339" s="14" t="str">
        <f>IF(A339="","",_xlfn.XLOOKUP(A339,'DISPATCH SHEET'!B$3:B$121,'DISPATCH SHEET'!C$3:C$121,""))</f>
        <v/>
      </c>
      <c r="C339" s="14" t="str">
        <f>IF(ISBLANK(A339),"",_xlfn.XLOOKUP(A339,'DISPATCH SHEET'!B$3:B$121,'DISPATCH SHEET'!#REF!,""))</f>
        <v/>
      </c>
      <c r="D339" s="14"/>
      <c r="E339" s="15"/>
      <c r="F339" s="16"/>
      <c r="G339" s="17" t="s">
        <v>0</v>
      </c>
      <c r="H339" s="15"/>
      <c r="I339" s="14" t="s">
        <v>0</v>
      </c>
      <c r="J339" s="14"/>
      <c r="K339" s="18"/>
    </row>
    <row r="340" spans="1:11" s="5" customFormat="1" ht="15" customHeight="1" x14ac:dyDescent="0.2">
      <c r="A340" s="13"/>
      <c r="B340" s="14" t="str">
        <f>IF(A340="","",_xlfn.XLOOKUP(A340,'DISPATCH SHEET'!B$3:B$121,'DISPATCH SHEET'!C$3:C$121,""))</f>
        <v/>
      </c>
      <c r="C340" s="14" t="str">
        <f>IF(ISBLANK(A340),"",_xlfn.XLOOKUP(A340,'DISPATCH SHEET'!B$3:B$121,'DISPATCH SHEET'!#REF!,""))</f>
        <v/>
      </c>
      <c r="D340" s="14"/>
      <c r="E340" s="15"/>
      <c r="F340" s="16"/>
      <c r="G340" s="17" t="s">
        <v>0</v>
      </c>
      <c r="H340" s="15"/>
      <c r="I340" s="14" t="s">
        <v>0</v>
      </c>
      <c r="J340" s="14"/>
      <c r="K340" s="18"/>
    </row>
    <row r="341" spans="1:11" s="5" customFormat="1" ht="15" customHeight="1" x14ac:dyDescent="0.2">
      <c r="A341" s="13"/>
      <c r="B341" s="14" t="str">
        <f>IF(A341="","",_xlfn.XLOOKUP(A341,'DISPATCH SHEET'!B$3:B$121,'DISPATCH SHEET'!C$3:C$121,""))</f>
        <v/>
      </c>
      <c r="C341" s="14" t="str">
        <f>IF(ISBLANK(A341),"",_xlfn.XLOOKUP(A341,'DISPATCH SHEET'!B$3:B$121,'DISPATCH SHEET'!#REF!,""))</f>
        <v/>
      </c>
      <c r="D341" s="14"/>
      <c r="E341" s="15"/>
      <c r="F341" s="16"/>
      <c r="G341" s="17" t="s">
        <v>0</v>
      </c>
      <c r="H341" s="15"/>
      <c r="I341" s="14" t="s">
        <v>0</v>
      </c>
      <c r="J341" s="14"/>
      <c r="K341" s="18"/>
    </row>
    <row r="342" spans="1:11" s="5" customFormat="1" ht="15" customHeight="1" x14ac:dyDescent="0.2">
      <c r="A342" s="13"/>
      <c r="B342" s="14" t="str">
        <f>IF(A342="","",_xlfn.XLOOKUP(A342,'DISPATCH SHEET'!B$3:B$121,'DISPATCH SHEET'!C$3:C$121,""))</f>
        <v/>
      </c>
      <c r="C342" s="14" t="str">
        <f>IF(ISBLANK(A342),"",_xlfn.XLOOKUP(A342,'DISPATCH SHEET'!B$3:B$121,'DISPATCH SHEET'!#REF!,""))</f>
        <v/>
      </c>
      <c r="D342" s="14"/>
      <c r="E342" s="15"/>
      <c r="F342" s="16"/>
      <c r="G342" s="17" t="s">
        <v>0</v>
      </c>
      <c r="H342" s="15"/>
      <c r="I342" s="14" t="s">
        <v>0</v>
      </c>
      <c r="J342" s="14"/>
      <c r="K342" s="18"/>
    </row>
    <row r="343" spans="1:11" s="5" customFormat="1" ht="15" customHeight="1" x14ac:dyDescent="0.2">
      <c r="A343" s="13"/>
      <c r="B343" s="14" t="str">
        <f>IF(A343="","",_xlfn.XLOOKUP(A343,'DISPATCH SHEET'!B$3:B$121,'DISPATCH SHEET'!C$3:C$121,""))</f>
        <v/>
      </c>
      <c r="C343" s="14" t="str">
        <f>IF(ISBLANK(A343),"",_xlfn.XLOOKUP(A343,'DISPATCH SHEET'!B$3:B$121,'DISPATCH SHEET'!#REF!,""))</f>
        <v/>
      </c>
      <c r="D343" s="14"/>
      <c r="E343" s="15"/>
      <c r="F343" s="16"/>
      <c r="G343" s="17" t="s">
        <v>0</v>
      </c>
      <c r="H343" s="15"/>
      <c r="I343" s="14" t="s">
        <v>0</v>
      </c>
      <c r="J343" s="14"/>
      <c r="K343" s="18"/>
    </row>
    <row r="344" spans="1:11" s="5" customFormat="1" ht="15" customHeight="1" x14ac:dyDescent="0.2">
      <c r="A344" s="13"/>
      <c r="B344" s="14" t="str">
        <f>IF(A344="","",_xlfn.XLOOKUP(A344,'DISPATCH SHEET'!B$3:B$121,'DISPATCH SHEET'!C$3:C$121,""))</f>
        <v/>
      </c>
      <c r="C344" s="14" t="str">
        <f>IF(ISBLANK(A344),"",_xlfn.XLOOKUP(A344,'DISPATCH SHEET'!B$3:B$121,'DISPATCH SHEET'!#REF!,""))</f>
        <v/>
      </c>
      <c r="D344" s="14"/>
      <c r="E344" s="15"/>
      <c r="F344" s="16"/>
      <c r="G344" s="17" t="s">
        <v>0</v>
      </c>
      <c r="H344" s="15"/>
      <c r="I344" s="14" t="s">
        <v>0</v>
      </c>
      <c r="J344" s="14"/>
      <c r="K344" s="18"/>
    </row>
    <row r="345" spans="1:11" s="5" customFormat="1" ht="15" customHeight="1" x14ac:dyDescent="0.2">
      <c r="A345" s="13"/>
      <c r="B345" s="14" t="str">
        <f>IF(A345="","",_xlfn.XLOOKUP(A345,'DISPATCH SHEET'!B$3:B$121,'DISPATCH SHEET'!C$3:C$121,""))</f>
        <v/>
      </c>
      <c r="C345" s="14" t="str">
        <f>IF(ISBLANK(A345),"",_xlfn.XLOOKUP(A345,'DISPATCH SHEET'!B$3:B$121,'DISPATCH SHEET'!#REF!,""))</f>
        <v/>
      </c>
      <c r="D345" s="14"/>
      <c r="E345" s="15"/>
      <c r="F345" s="16"/>
      <c r="G345" s="17" t="s">
        <v>0</v>
      </c>
      <c r="H345" s="15"/>
      <c r="I345" s="14" t="s">
        <v>0</v>
      </c>
      <c r="J345" s="14"/>
      <c r="K345" s="18"/>
    </row>
    <row r="346" spans="1:11" s="5" customFormat="1" ht="15" customHeight="1" x14ac:dyDescent="0.2">
      <c r="A346" s="13"/>
      <c r="B346" s="14" t="str">
        <f>IF(A346="","",_xlfn.XLOOKUP(A346,'DISPATCH SHEET'!B$3:B$121,'DISPATCH SHEET'!C$3:C$121,""))</f>
        <v/>
      </c>
      <c r="C346" s="14" t="str">
        <f>IF(ISBLANK(A346),"",_xlfn.XLOOKUP(A346,'DISPATCH SHEET'!B$3:B$121,'DISPATCH SHEET'!#REF!,""))</f>
        <v/>
      </c>
      <c r="D346" s="14"/>
      <c r="E346" s="15"/>
      <c r="F346" s="16"/>
      <c r="G346" s="17" t="s">
        <v>0</v>
      </c>
      <c r="H346" s="15"/>
      <c r="I346" s="14" t="s">
        <v>0</v>
      </c>
      <c r="J346" s="14"/>
      <c r="K346" s="18"/>
    </row>
    <row r="347" spans="1:11" s="5" customFormat="1" ht="15" customHeight="1" x14ac:dyDescent="0.2">
      <c r="A347" s="13"/>
      <c r="B347" s="14" t="str">
        <f>IF(A347="","",_xlfn.XLOOKUP(A347,'DISPATCH SHEET'!B$3:B$121,'DISPATCH SHEET'!C$3:C$121,""))</f>
        <v/>
      </c>
      <c r="C347" s="14" t="str">
        <f>IF(ISBLANK(A347),"",_xlfn.XLOOKUP(A347,'DISPATCH SHEET'!B$3:B$121,'DISPATCH SHEET'!#REF!,""))</f>
        <v/>
      </c>
      <c r="D347" s="14"/>
      <c r="E347" s="15"/>
      <c r="F347" s="16"/>
      <c r="G347" s="17" t="s">
        <v>0</v>
      </c>
      <c r="H347" s="15"/>
      <c r="I347" s="14" t="s">
        <v>0</v>
      </c>
      <c r="J347" s="14"/>
      <c r="K347" s="18"/>
    </row>
    <row r="348" spans="1:11" s="5" customFormat="1" ht="15" customHeight="1" x14ac:dyDescent="0.2">
      <c r="A348" s="13"/>
      <c r="B348" s="14" t="str">
        <f>IF(A348="","",_xlfn.XLOOKUP(A348,'DISPATCH SHEET'!B$3:B$121,'DISPATCH SHEET'!C$3:C$121,""))</f>
        <v/>
      </c>
      <c r="C348" s="14" t="str">
        <f>IF(ISBLANK(A348),"",_xlfn.XLOOKUP(A348,'DISPATCH SHEET'!B$3:B$121,'DISPATCH SHEET'!#REF!,""))</f>
        <v/>
      </c>
      <c r="D348" s="14"/>
      <c r="E348" s="15"/>
      <c r="F348" s="16"/>
      <c r="G348" s="17" t="s">
        <v>0</v>
      </c>
      <c r="H348" s="15"/>
      <c r="I348" s="14" t="s">
        <v>0</v>
      </c>
      <c r="J348" s="14"/>
      <c r="K348" s="18"/>
    </row>
    <row r="349" spans="1:11" s="5" customFormat="1" ht="15" customHeight="1" x14ac:dyDescent="0.2">
      <c r="A349" s="13"/>
      <c r="B349" s="14" t="str">
        <f>IF(A349="","",_xlfn.XLOOKUP(A349,'DISPATCH SHEET'!B$3:B$121,'DISPATCH SHEET'!C$3:C$121,""))</f>
        <v/>
      </c>
      <c r="C349" s="14" t="str">
        <f>IF(ISBLANK(A349),"",_xlfn.XLOOKUP(A349,'DISPATCH SHEET'!B$3:B$121,'DISPATCH SHEET'!#REF!,""))</f>
        <v/>
      </c>
      <c r="D349" s="14"/>
      <c r="E349" s="15"/>
      <c r="F349" s="16"/>
      <c r="G349" s="17" t="s">
        <v>0</v>
      </c>
      <c r="H349" s="15"/>
      <c r="I349" s="14" t="s">
        <v>0</v>
      </c>
      <c r="J349" s="14"/>
      <c r="K349" s="18"/>
    </row>
    <row r="350" spans="1:11" s="5" customFormat="1" ht="15" customHeight="1" x14ac:dyDescent="0.2">
      <c r="A350" s="13"/>
      <c r="B350" s="14" t="str">
        <f>IF(A350="","",_xlfn.XLOOKUP(A350,'DISPATCH SHEET'!B$3:B$121,'DISPATCH SHEET'!C$3:C$121,""))</f>
        <v/>
      </c>
      <c r="C350" s="14" t="str">
        <f>IF(ISBLANK(A350),"",_xlfn.XLOOKUP(A350,'DISPATCH SHEET'!B$3:B$121,'DISPATCH SHEET'!#REF!,""))</f>
        <v/>
      </c>
      <c r="D350" s="14"/>
      <c r="E350" s="15"/>
      <c r="F350" s="16"/>
      <c r="G350" s="17" t="s">
        <v>0</v>
      </c>
      <c r="H350" s="15"/>
      <c r="I350" s="14" t="s">
        <v>0</v>
      </c>
      <c r="J350" s="14"/>
      <c r="K350" s="18"/>
    </row>
    <row r="351" spans="1:11" s="5" customFormat="1" ht="15" customHeight="1" x14ac:dyDescent="0.2">
      <c r="A351" s="13"/>
      <c r="B351" s="14" t="str">
        <f>IF(A351="","",_xlfn.XLOOKUP(A351,'DISPATCH SHEET'!B$3:B$121,'DISPATCH SHEET'!C$3:C$121,""))</f>
        <v/>
      </c>
      <c r="C351" s="14" t="str">
        <f>IF(ISBLANK(A351),"",_xlfn.XLOOKUP(A351,'DISPATCH SHEET'!B$3:B$121,'DISPATCH SHEET'!#REF!,""))</f>
        <v/>
      </c>
      <c r="D351" s="14"/>
      <c r="E351" s="15"/>
      <c r="F351" s="16"/>
      <c r="G351" s="17" t="s">
        <v>0</v>
      </c>
      <c r="H351" s="15"/>
      <c r="I351" s="14" t="s">
        <v>0</v>
      </c>
      <c r="J351" s="14"/>
      <c r="K351" s="18"/>
    </row>
    <row r="352" spans="1:11" s="5" customFormat="1" ht="15" customHeight="1" x14ac:dyDescent="0.2">
      <c r="A352" s="13"/>
      <c r="B352" s="14" t="str">
        <f>IF(A352="","",_xlfn.XLOOKUP(A352,'DISPATCH SHEET'!B$3:B$121,'DISPATCH SHEET'!C$3:C$121,""))</f>
        <v/>
      </c>
      <c r="C352" s="14" t="str">
        <f>IF(ISBLANK(A352),"",_xlfn.XLOOKUP(A352,'DISPATCH SHEET'!B$3:B$121,'DISPATCH SHEET'!#REF!,""))</f>
        <v/>
      </c>
      <c r="D352" s="14"/>
      <c r="E352" s="15"/>
      <c r="F352" s="16"/>
      <c r="G352" s="17" t="s">
        <v>0</v>
      </c>
      <c r="H352" s="15"/>
      <c r="I352" s="14" t="s">
        <v>0</v>
      </c>
      <c r="J352" s="14"/>
      <c r="K352" s="18"/>
    </row>
    <row r="353" spans="1:11" s="5" customFormat="1" ht="15" customHeight="1" x14ac:dyDescent="0.2">
      <c r="A353" s="13"/>
      <c r="B353" s="14" t="str">
        <f>IF(A353="","",_xlfn.XLOOKUP(A353,'DISPATCH SHEET'!B$3:B$121,'DISPATCH SHEET'!C$3:C$121,""))</f>
        <v/>
      </c>
      <c r="C353" s="14" t="str">
        <f>IF(ISBLANK(A353),"",_xlfn.XLOOKUP(A353,'DISPATCH SHEET'!B$3:B$121,'DISPATCH SHEET'!#REF!,""))</f>
        <v/>
      </c>
      <c r="D353" s="14"/>
      <c r="E353" s="15"/>
      <c r="F353" s="16"/>
      <c r="G353" s="17" t="s">
        <v>0</v>
      </c>
      <c r="H353" s="15"/>
      <c r="I353" s="14" t="s">
        <v>0</v>
      </c>
      <c r="J353" s="14"/>
      <c r="K353" s="18"/>
    </row>
    <row r="354" spans="1:11" s="5" customFormat="1" ht="15" customHeight="1" x14ac:dyDescent="0.2">
      <c r="A354" s="13"/>
      <c r="B354" s="14" t="str">
        <f>IF(A354="","",_xlfn.XLOOKUP(A354,'DISPATCH SHEET'!B$3:B$121,'DISPATCH SHEET'!C$3:C$121,""))</f>
        <v/>
      </c>
      <c r="C354" s="14" t="str">
        <f>IF(ISBLANK(A354),"",_xlfn.XLOOKUP(A354,'DISPATCH SHEET'!B$3:B$121,'DISPATCH SHEET'!#REF!,""))</f>
        <v/>
      </c>
      <c r="D354" s="14"/>
      <c r="E354" s="15"/>
      <c r="F354" s="16"/>
      <c r="G354" s="17" t="s">
        <v>0</v>
      </c>
      <c r="H354" s="15"/>
      <c r="I354" s="14" t="s">
        <v>0</v>
      </c>
      <c r="J354" s="14"/>
      <c r="K354" s="18"/>
    </row>
    <row r="355" spans="1:11" s="5" customFormat="1" ht="15" customHeight="1" x14ac:dyDescent="0.2">
      <c r="A355" s="13"/>
      <c r="B355" s="14" t="str">
        <f>IF(A355="","",_xlfn.XLOOKUP(A355,'DISPATCH SHEET'!B$3:B$121,'DISPATCH SHEET'!C$3:C$121,""))</f>
        <v/>
      </c>
      <c r="C355" s="14" t="str">
        <f>IF(ISBLANK(A355),"",_xlfn.XLOOKUP(A355,'DISPATCH SHEET'!B$3:B$121,'DISPATCH SHEET'!#REF!,""))</f>
        <v/>
      </c>
      <c r="D355" s="14"/>
      <c r="E355" s="15"/>
      <c r="F355" s="16"/>
      <c r="G355" s="17" t="s">
        <v>0</v>
      </c>
      <c r="H355" s="15"/>
      <c r="I355" s="14" t="s">
        <v>0</v>
      </c>
      <c r="J355" s="14"/>
      <c r="K355" s="18"/>
    </row>
    <row r="356" spans="1:11" s="5" customFormat="1" ht="15" customHeight="1" x14ac:dyDescent="0.2">
      <c r="A356" s="13"/>
      <c r="B356" s="14" t="str">
        <f>IF(A356="","",_xlfn.XLOOKUP(A356,'DISPATCH SHEET'!B$3:B$121,'DISPATCH SHEET'!C$3:C$121,""))</f>
        <v/>
      </c>
      <c r="C356" s="14" t="str">
        <f>IF(ISBLANK(A356),"",_xlfn.XLOOKUP(A356,'DISPATCH SHEET'!B$3:B$121,'DISPATCH SHEET'!#REF!,""))</f>
        <v/>
      </c>
      <c r="D356" s="14"/>
      <c r="E356" s="15"/>
      <c r="F356" s="16"/>
      <c r="G356" s="17" t="s">
        <v>0</v>
      </c>
      <c r="H356" s="15"/>
      <c r="I356" s="14" t="s">
        <v>0</v>
      </c>
      <c r="J356" s="14"/>
      <c r="K356" s="18"/>
    </row>
    <row r="357" spans="1:11" s="5" customFormat="1" ht="15" customHeight="1" x14ac:dyDescent="0.2">
      <c r="A357" s="13"/>
      <c r="B357" s="14" t="str">
        <f>IF(A357="","",_xlfn.XLOOKUP(A357,'DISPATCH SHEET'!B$3:B$121,'DISPATCH SHEET'!C$3:C$121,""))</f>
        <v/>
      </c>
      <c r="C357" s="14" t="str">
        <f>IF(ISBLANK(A357),"",_xlfn.XLOOKUP(A357,'DISPATCH SHEET'!B$3:B$121,'DISPATCH SHEET'!#REF!,""))</f>
        <v/>
      </c>
      <c r="D357" s="14"/>
      <c r="E357" s="15"/>
      <c r="F357" s="16"/>
      <c r="G357" s="17" t="s">
        <v>0</v>
      </c>
      <c r="H357" s="15"/>
      <c r="I357" s="14" t="s">
        <v>0</v>
      </c>
      <c r="J357" s="14"/>
      <c r="K357" s="18"/>
    </row>
    <row r="358" spans="1:11" s="5" customFormat="1" ht="15" customHeight="1" x14ac:dyDescent="0.2">
      <c r="A358" s="13"/>
      <c r="B358" s="14" t="str">
        <f>IF(A358="","",_xlfn.XLOOKUP(A358,'DISPATCH SHEET'!B$3:B$121,'DISPATCH SHEET'!C$3:C$121,""))</f>
        <v/>
      </c>
      <c r="C358" s="14" t="str">
        <f>IF(ISBLANK(A358),"",_xlfn.XLOOKUP(A358,'DISPATCH SHEET'!B$3:B$121,'DISPATCH SHEET'!#REF!,""))</f>
        <v/>
      </c>
      <c r="D358" s="14"/>
      <c r="E358" s="15"/>
      <c r="F358" s="16"/>
      <c r="G358" s="17" t="s">
        <v>0</v>
      </c>
      <c r="H358" s="15"/>
      <c r="I358" s="14" t="s">
        <v>0</v>
      </c>
      <c r="J358" s="14"/>
      <c r="K358" s="18"/>
    </row>
    <row r="359" spans="1:11" s="5" customFormat="1" ht="15" customHeight="1" x14ac:dyDescent="0.2">
      <c r="A359" s="13"/>
      <c r="B359" s="14" t="str">
        <f>IF(A359="","",_xlfn.XLOOKUP(A359,'DISPATCH SHEET'!B$3:B$121,'DISPATCH SHEET'!C$3:C$121,""))</f>
        <v/>
      </c>
      <c r="C359" s="14" t="str">
        <f>IF(ISBLANK(A359),"",_xlfn.XLOOKUP(A359,'DISPATCH SHEET'!B$3:B$121,'DISPATCH SHEET'!#REF!,""))</f>
        <v/>
      </c>
      <c r="D359" s="14"/>
      <c r="E359" s="15"/>
      <c r="F359" s="16"/>
      <c r="G359" s="17" t="s">
        <v>0</v>
      </c>
      <c r="H359" s="15"/>
      <c r="I359" s="14" t="s">
        <v>0</v>
      </c>
      <c r="J359" s="14"/>
      <c r="K359" s="18"/>
    </row>
    <row r="360" spans="1:11" s="5" customFormat="1" ht="15" customHeight="1" x14ac:dyDescent="0.2">
      <c r="A360" s="13"/>
      <c r="B360" s="14" t="str">
        <f>IF(A360="","",_xlfn.XLOOKUP(A360,'DISPATCH SHEET'!B$3:B$121,'DISPATCH SHEET'!C$3:C$121,""))</f>
        <v/>
      </c>
      <c r="C360" s="14" t="str">
        <f>IF(ISBLANK(A360),"",_xlfn.XLOOKUP(A360,'DISPATCH SHEET'!B$3:B$121,'DISPATCH SHEET'!#REF!,""))</f>
        <v/>
      </c>
      <c r="D360" s="14"/>
      <c r="E360" s="15"/>
      <c r="F360" s="16"/>
      <c r="G360" s="17" t="s">
        <v>0</v>
      </c>
      <c r="H360" s="15"/>
      <c r="I360" s="14" t="s">
        <v>0</v>
      </c>
      <c r="J360" s="14"/>
      <c r="K360" s="18"/>
    </row>
    <row r="361" spans="1:11" s="5" customFormat="1" ht="15" customHeight="1" x14ac:dyDescent="0.2">
      <c r="A361" s="13"/>
      <c r="B361" s="14" t="str">
        <f>IF(A361="","",_xlfn.XLOOKUP(A361,'DISPATCH SHEET'!B$3:B$121,'DISPATCH SHEET'!C$3:C$121,""))</f>
        <v/>
      </c>
      <c r="C361" s="14" t="str">
        <f>IF(ISBLANK(A361),"",_xlfn.XLOOKUP(A361,'DISPATCH SHEET'!B$3:B$121,'DISPATCH SHEET'!#REF!,""))</f>
        <v/>
      </c>
      <c r="D361" s="14"/>
      <c r="E361" s="15"/>
      <c r="F361" s="16"/>
      <c r="G361" s="17" t="s">
        <v>0</v>
      </c>
      <c r="H361" s="15"/>
      <c r="I361" s="14" t="s">
        <v>0</v>
      </c>
      <c r="J361" s="14"/>
      <c r="K361" s="18"/>
    </row>
    <row r="362" spans="1:11" s="5" customFormat="1" ht="15" customHeight="1" x14ac:dyDescent="0.2">
      <c r="A362" s="13"/>
      <c r="B362" s="14" t="str">
        <f>IF(A362="","",_xlfn.XLOOKUP(A362,'DISPATCH SHEET'!B$3:B$121,'DISPATCH SHEET'!C$3:C$121,""))</f>
        <v/>
      </c>
      <c r="C362" s="14" t="str">
        <f>IF(ISBLANK(A362),"",_xlfn.XLOOKUP(A362,'DISPATCH SHEET'!B$3:B$121,'DISPATCH SHEET'!#REF!,""))</f>
        <v/>
      </c>
      <c r="D362" s="14"/>
      <c r="E362" s="15"/>
      <c r="F362" s="16"/>
      <c r="G362" s="17" t="s">
        <v>0</v>
      </c>
      <c r="H362" s="15"/>
      <c r="I362" s="14" t="s">
        <v>0</v>
      </c>
      <c r="J362" s="14"/>
      <c r="K362" s="18"/>
    </row>
    <row r="363" spans="1:11" s="5" customFormat="1" ht="15" customHeight="1" x14ac:dyDescent="0.2">
      <c r="A363" s="13"/>
      <c r="B363" s="14" t="str">
        <f>IF(A363="","",_xlfn.XLOOKUP(A363,'DISPATCH SHEET'!B$3:B$121,'DISPATCH SHEET'!C$3:C$121,""))</f>
        <v/>
      </c>
      <c r="C363" s="14" t="str">
        <f>IF(ISBLANK(A363),"",_xlfn.XLOOKUP(A363,'DISPATCH SHEET'!B$3:B$121,'DISPATCH SHEET'!#REF!,""))</f>
        <v/>
      </c>
      <c r="D363" s="14"/>
      <c r="E363" s="15"/>
      <c r="F363" s="16"/>
      <c r="G363" s="17" t="s">
        <v>0</v>
      </c>
      <c r="H363" s="15"/>
      <c r="I363" s="14" t="s">
        <v>0</v>
      </c>
      <c r="J363" s="14"/>
      <c r="K363" s="18"/>
    </row>
    <row r="364" spans="1:11" s="5" customFormat="1" ht="15" customHeight="1" x14ac:dyDescent="0.2">
      <c r="A364" s="13"/>
      <c r="B364" s="14" t="str">
        <f>IF(A364="","",_xlfn.XLOOKUP(A364,'DISPATCH SHEET'!B$3:B$121,'DISPATCH SHEET'!C$3:C$121,""))</f>
        <v/>
      </c>
      <c r="C364" s="14" t="str">
        <f>IF(ISBLANK(A364),"",_xlfn.XLOOKUP(A364,'DISPATCH SHEET'!B$3:B$121,'DISPATCH SHEET'!#REF!,""))</f>
        <v/>
      </c>
      <c r="D364" s="14"/>
      <c r="E364" s="15"/>
      <c r="F364" s="16"/>
      <c r="G364" s="17" t="s">
        <v>0</v>
      </c>
      <c r="H364" s="15"/>
      <c r="I364" s="14" t="s">
        <v>0</v>
      </c>
      <c r="J364" s="14"/>
      <c r="K364" s="18"/>
    </row>
    <row r="365" spans="1:11" s="5" customFormat="1" ht="15" customHeight="1" x14ac:dyDescent="0.2">
      <c r="A365" s="13"/>
      <c r="B365" s="14" t="str">
        <f>IF(A365="","",_xlfn.XLOOKUP(A365,'DISPATCH SHEET'!B$3:B$121,'DISPATCH SHEET'!C$3:C$121,""))</f>
        <v/>
      </c>
      <c r="C365" s="14" t="str">
        <f>IF(ISBLANK(A365),"",_xlfn.XLOOKUP(A365,'DISPATCH SHEET'!B$3:B$121,'DISPATCH SHEET'!#REF!,""))</f>
        <v/>
      </c>
      <c r="D365" s="14"/>
      <c r="E365" s="15"/>
      <c r="F365" s="16"/>
      <c r="G365" s="17" t="s">
        <v>0</v>
      </c>
      <c r="H365" s="15"/>
      <c r="I365" s="14" t="s">
        <v>0</v>
      </c>
      <c r="J365" s="14"/>
      <c r="K365" s="18"/>
    </row>
    <row r="366" spans="1:11" s="5" customFormat="1" ht="15" customHeight="1" x14ac:dyDescent="0.2">
      <c r="A366" s="13"/>
      <c r="B366" s="14" t="str">
        <f>IF(A366="","",_xlfn.XLOOKUP(A366,'DISPATCH SHEET'!B$3:B$121,'DISPATCH SHEET'!C$3:C$121,""))</f>
        <v/>
      </c>
      <c r="C366" s="14" t="str">
        <f>IF(ISBLANK(A366),"",_xlfn.XLOOKUP(A366,'DISPATCH SHEET'!B$3:B$121,'DISPATCH SHEET'!#REF!,""))</f>
        <v/>
      </c>
      <c r="D366" s="14"/>
      <c r="E366" s="15"/>
      <c r="F366" s="16"/>
      <c r="G366" s="17" t="s">
        <v>0</v>
      </c>
      <c r="H366" s="15"/>
      <c r="I366" s="14" t="s">
        <v>0</v>
      </c>
      <c r="J366" s="14"/>
      <c r="K366" s="18"/>
    </row>
    <row r="367" spans="1:11" s="5" customFormat="1" ht="15" customHeight="1" x14ac:dyDescent="0.2">
      <c r="A367" s="13"/>
      <c r="B367" s="14" t="str">
        <f>IF(A367="","",_xlfn.XLOOKUP(A367,'DISPATCH SHEET'!B$3:B$121,'DISPATCH SHEET'!C$3:C$121,""))</f>
        <v/>
      </c>
      <c r="C367" s="14" t="str">
        <f>IF(ISBLANK(A367),"",_xlfn.XLOOKUP(A367,'DISPATCH SHEET'!B$3:B$121,'DISPATCH SHEET'!#REF!,""))</f>
        <v/>
      </c>
      <c r="D367" s="14"/>
      <c r="E367" s="15"/>
      <c r="F367" s="16"/>
      <c r="G367" s="17" t="s">
        <v>0</v>
      </c>
      <c r="H367" s="15"/>
      <c r="I367" s="14" t="s">
        <v>0</v>
      </c>
      <c r="J367" s="14"/>
      <c r="K367" s="18"/>
    </row>
    <row r="368" spans="1:11" s="5" customFormat="1" ht="15" customHeight="1" x14ac:dyDescent="0.2">
      <c r="A368" s="13"/>
      <c r="B368" s="14" t="str">
        <f>IF(A368="","",_xlfn.XLOOKUP(A368,'DISPATCH SHEET'!B$3:B$121,'DISPATCH SHEET'!C$3:C$121,""))</f>
        <v/>
      </c>
      <c r="C368" s="14" t="str">
        <f>IF(ISBLANK(A368),"",_xlfn.XLOOKUP(A368,'DISPATCH SHEET'!B$3:B$121,'DISPATCH SHEET'!#REF!,""))</f>
        <v/>
      </c>
      <c r="D368" s="14"/>
      <c r="E368" s="15"/>
      <c r="F368" s="16"/>
      <c r="G368" s="17" t="s">
        <v>0</v>
      </c>
      <c r="H368" s="15"/>
      <c r="I368" s="14" t="s">
        <v>0</v>
      </c>
      <c r="J368" s="14"/>
      <c r="K368" s="18"/>
    </row>
    <row r="369" spans="1:11" s="5" customFormat="1" ht="15" customHeight="1" x14ac:dyDescent="0.2">
      <c r="A369" s="13"/>
      <c r="B369" s="14" t="str">
        <f>IF(A369="","",_xlfn.XLOOKUP(A369,'DISPATCH SHEET'!B$3:B$121,'DISPATCH SHEET'!C$3:C$121,""))</f>
        <v/>
      </c>
      <c r="C369" s="14" t="str">
        <f>IF(ISBLANK(A369),"",_xlfn.XLOOKUP(A369,'DISPATCH SHEET'!B$3:B$121,'DISPATCH SHEET'!#REF!,""))</f>
        <v/>
      </c>
      <c r="D369" s="14"/>
      <c r="E369" s="15"/>
      <c r="F369" s="16"/>
      <c r="G369" s="17" t="s">
        <v>0</v>
      </c>
      <c r="H369" s="15"/>
      <c r="I369" s="14" t="s">
        <v>0</v>
      </c>
      <c r="J369" s="14"/>
      <c r="K369" s="18"/>
    </row>
    <row r="370" spans="1:11" s="5" customFormat="1" ht="15" customHeight="1" x14ac:dyDescent="0.2">
      <c r="A370" s="13"/>
      <c r="B370" s="14" t="str">
        <f>IF(A370="","",_xlfn.XLOOKUP(A370,'DISPATCH SHEET'!B$3:B$121,'DISPATCH SHEET'!C$3:C$121,""))</f>
        <v/>
      </c>
      <c r="C370" s="14" t="str">
        <f>IF(ISBLANK(A370),"",_xlfn.XLOOKUP(A370,'DISPATCH SHEET'!B$3:B$121,'DISPATCH SHEET'!#REF!,""))</f>
        <v/>
      </c>
      <c r="D370" s="14"/>
      <c r="E370" s="15"/>
      <c r="F370" s="16"/>
      <c r="G370" s="17" t="s">
        <v>0</v>
      </c>
      <c r="H370" s="15"/>
      <c r="I370" s="14" t="s">
        <v>0</v>
      </c>
      <c r="J370" s="14"/>
      <c r="K370" s="18"/>
    </row>
    <row r="371" spans="1:11" s="5" customFormat="1" ht="15" customHeight="1" x14ac:dyDescent="0.2">
      <c r="A371" s="13"/>
      <c r="B371" s="14" t="str">
        <f>IF(A371="","",_xlfn.XLOOKUP(A371,'DISPATCH SHEET'!B$3:B$121,'DISPATCH SHEET'!C$3:C$121,""))</f>
        <v/>
      </c>
      <c r="C371" s="14" t="str">
        <f>IF(ISBLANK(A371),"",_xlfn.XLOOKUP(A371,'DISPATCH SHEET'!B$3:B$121,'DISPATCH SHEET'!#REF!,""))</f>
        <v/>
      </c>
      <c r="D371" s="14"/>
      <c r="E371" s="15"/>
      <c r="F371" s="16"/>
      <c r="G371" s="17" t="s">
        <v>0</v>
      </c>
      <c r="H371" s="15"/>
      <c r="I371" s="14" t="s">
        <v>0</v>
      </c>
      <c r="J371" s="14"/>
      <c r="K371" s="18"/>
    </row>
    <row r="372" spans="1:11" s="5" customFormat="1" ht="15" customHeight="1" x14ac:dyDescent="0.2">
      <c r="A372" s="13"/>
      <c r="B372" s="14" t="str">
        <f>IF(A372="","",_xlfn.XLOOKUP(A372,'DISPATCH SHEET'!B$3:B$121,'DISPATCH SHEET'!C$3:C$121,""))</f>
        <v/>
      </c>
      <c r="C372" s="14" t="str">
        <f>IF(ISBLANK(A372),"",_xlfn.XLOOKUP(A372,'DISPATCH SHEET'!B$3:B$121,'DISPATCH SHEET'!#REF!,""))</f>
        <v/>
      </c>
      <c r="D372" s="14"/>
      <c r="E372" s="15"/>
      <c r="F372" s="16"/>
      <c r="G372" s="17" t="s">
        <v>0</v>
      </c>
      <c r="H372" s="15"/>
      <c r="I372" s="14" t="s">
        <v>0</v>
      </c>
      <c r="J372" s="14"/>
      <c r="K372" s="18"/>
    </row>
    <row r="373" spans="1:11" s="5" customFormat="1" ht="15" customHeight="1" x14ac:dyDescent="0.2">
      <c r="A373" s="13"/>
      <c r="B373" s="14" t="str">
        <f>IF(A373="","",_xlfn.XLOOKUP(A373,'DISPATCH SHEET'!B$3:B$121,'DISPATCH SHEET'!C$3:C$121,""))</f>
        <v/>
      </c>
      <c r="C373" s="14" t="str">
        <f>IF(ISBLANK(A373),"",_xlfn.XLOOKUP(A373,'DISPATCH SHEET'!B$3:B$121,'DISPATCH SHEET'!#REF!,""))</f>
        <v/>
      </c>
      <c r="D373" s="14"/>
      <c r="E373" s="15"/>
      <c r="F373" s="16"/>
      <c r="G373" s="17" t="s">
        <v>0</v>
      </c>
      <c r="H373" s="15"/>
      <c r="I373" s="14" t="s">
        <v>0</v>
      </c>
      <c r="J373" s="14"/>
      <c r="K373" s="18"/>
    </row>
    <row r="374" spans="1:11" s="5" customFormat="1" ht="15" customHeight="1" x14ac:dyDescent="0.2">
      <c r="A374" s="13"/>
      <c r="B374" s="14" t="str">
        <f>IF(A374="","",_xlfn.XLOOKUP(A374,'DISPATCH SHEET'!B$3:B$121,'DISPATCH SHEET'!C$3:C$121,""))</f>
        <v/>
      </c>
      <c r="C374" s="14" t="str">
        <f>IF(ISBLANK(A374),"",_xlfn.XLOOKUP(A374,'DISPATCH SHEET'!B$3:B$121,'DISPATCH SHEET'!#REF!,""))</f>
        <v/>
      </c>
      <c r="D374" s="14"/>
      <c r="E374" s="15"/>
      <c r="F374" s="16"/>
      <c r="G374" s="17" t="s">
        <v>0</v>
      </c>
      <c r="H374" s="15"/>
      <c r="I374" s="14" t="s">
        <v>0</v>
      </c>
      <c r="J374" s="14"/>
      <c r="K374" s="18"/>
    </row>
    <row r="375" spans="1:11" s="5" customFormat="1" ht="15" customHeight="1" x14ac:dyDescent="0.2">
      <c r="A375" s="13"/>
      <c r="B375" s="14" t="str">
        <f>IF(A375="","",_xlfn.XLOOKUP(A375,'DISPATCH SHEET'!B$3:B$121,'DISPATCH SHEET'!C$3:C$121,""))</f>
        <v/>
      </c>
      <c r="C375" s="14" t="str">
        <f>IF(ISBLANK(A375),"",_xlfn.XLOOKUP(A375,'DISPATCH SHEET'!B$3:B$121,'DISPATCH SHEET'!#REF!,""))</f>
        <v/>
      </c>
      <c r="D375" s="14"/>
      <c r="E375" s="15"/>
      <c r="F375" s="16"/>
      <c r="G375" s="17" t="s">
        <v>0</v>
      </c>
      <c r="H375" s="15"/>
      <c r="I375" s="14" t="s">
        <v>0</v>
      </c>
      <c r="J375" s="14"/>
      <c r="K375" s="18"/>
    </row>
    <row r="376" spans="1:11" s="5" customFormat="1" ht="15" customHeight="1" x14ac:dyDescent="0.2">
      <c r="A376" s="13"/>
      <c r="B376" s="14" t="str">
        <f>IF(A376="","",_xlfn.XLOOKUP(A376,'DISPATCH SHEET'!B$3:B$121,'DISPATCH SHEET'!C$3:C$121,""))</f>
        <v/>
      </c>
      <c r="C376" s="14" t="str">
        <f>IF(ISBLANK(A376),"",_xlfn.XLOOKUP(A376,'DISPATCH SHEET'!B$3:B$121,'DISPATCH SHEET'!#REF!,""))</f>
        <v/>
      </c>
      <c r="D376" s="14"/>
      <c r="E376" s="15"/>
      <c r="F376" s="16"/>
      <c r="G376" s="17" t="s">
        <v>0</v>
      </c>
      <c r="H376" s="15"/>
      <c r="I376" s="14" t="s">
        <v>0</v>
      </c>
      <c r="J376" s="14"/>
      <c r="K376" s="18"/>
    </row>
    <row r="377" spans="1:11" s="5" customFormat="1" ht="15" customHeight="1" x14ac:dyDescent="0.2">
      <c r="A377" s="13"/>
      <c r="B377" s="14" t="str">
        <f>IF(A377="","",_xlfn.XLOOKUP(A377,'DISPATCH SHEET'!B$3:B$121,'DISPATCH SHEET'!C$3:C$121,""))</f>
        <v/>
      </c>
      <c r="C377" s="14" t="str">
        <f>IF(ISBLANK(A377),"",_xlfn.XLOOKUP(A377,'DISPATCH SHEET'!B$3:B$121,'DISPATCH SHEET'!#REF!,""))</f>
        <v/>
      </c>
      <c r="D377" s="14"/>
      <c r="E377" s="15"/>
      <c r="F377" s="16"/>
      <c r="G377" s="17" t="s">
        <v>0</v>
      </c>
      <c r="H377" s="15"/>
      <c r="I377" s="14" t="s">
        <v>0</v>
      </c>
      <c r="J377" s="14"/>
      <c r="K377" s="18"/>
    </row>
    <row r="378" spans="1:11" s="5" customFormat="1" ht="15" customHeight="1" x14ac:dyDescent="0.2">
      <c r="A378" s="13"/>
      <c r="B378" s="14" t="str">
        <f>IF(A378="","",_xlfn.XLOOKUP(A378,'DISPATCH SHEET'!B$3:B$121,'DISPATCH SHEET'!C$3:C$121,""))</f>
        <v/>
      </c>
      <c r="C378" s="14" t="str">
        <f>IF(ISBLANK(A378),"",_xlfn.XLOOKUP(A378,'DISPATCH SHEET'!B$3:B$121,'DISPATCH SHEET'!#REF!,""))</f>
        <v/>
      </c>
      <c r="D378" s="14"/>
      <c r="E378" s="15"/>
      <c r="F378" s="16"/>
      <c r="G378" s="17" t="s">
        <v>0</v>
      </c>
      <c r="H378" s="15"/>
      <c r="I378" s="14" t="s">
        <v>0</v>
      </c>
      <c r="J378" s="14"/>
      <c r="K378" s="18"/>
    </row>
    <row r="379" spans="1:11" s="5" customFormat="1" ht="15" customHeight="1" x14ac:dyDescent="0.2">
      <c r="A379" s="13"/>
      <c r="B379" s="14" t="str">
        <f>IF(A379="","",_xlfn.XLOOKUP(A379,'DISPATCH SHEET'!B$3:B$121,'DISPATCH SHEET'!C$3:C$121,""))</f>
        <v/>
      </c>
      <c r="C379" s="14" t="str">
        <f>IF(ISBLANK(A379),"",_xlfn.XLOOKUP(A379,'DISPATCH SHEET'!B$3:B$121,'DISPATCH SHEET'!#REF!,""))</f>
        <v/>
      </c>
      <c r="D379" s="14"/>
      <c r="E379" s="15"/>
      <c r="F379" s="16"/>
      <c r="G379" s="17" t="s">
        <v>0</v>
      </c>
      <c r="H379" s="15"/>
      <c r="I379" s="14" t="s">
        <v>0</v>
      </c>
      <c r="J379" s="14"/>
      <c r="K379" s="18"/>
    </row>
    <row r="380" spans="1:11" s="5" customFormat="1" ht="15" customHeight="1" x14ac:dyDescent="0.2">
      <c r="A380" s="13"/>
      <c r="B380" s="14" t="str">
        <f>IF(A380="","",_xlfn.XLOOKUP(A380,'DISPATCH SHEET'!B$3:B$121,'DISPATCH SHEET'!C$3:C$121,""))</f>
        <v/>
      </c>
      <c r="C380" s="14" t="str">
        <f>IF(ISBLANK(A380),"",_xlfn.XLOOKUP(A380,'DISPATCH SHEET'!B$3:B$121,'DISPATCH SHEET'!#REF!,""))</f>
        <v/>
      </c>
      <c r="D380" s="14"/>
      <c r="E380" s="15"/>
      <c r="F380" s="16"/>
      <c r="G380" s="17" t="s">
        <v>0</v>
      </c>
      <c r="H380" s="15"/>
      <c r="I380" s="14" t="s">
        <v>0</v>
      </c>
      <c r="J380" s="14"/>
      <c r="K380" s="18"/>
    </row>
    <row r="381" spans="1:11" s="5" customFormat="1" ht="15" customHeight="1" x14ac:dyDescent="0.2">
      <c r="A381" s="13"/>
      <c r="B381" s="14" t="str">
        <f>IF(A381="","",_xlfn.XLOOKUP(A381,'DISPATCH SHEET'!B$3:B$121,'DISPATCH SHEET'!C$3:C$121,""))</f>
        <v/>
      </c>
      <c r="C381" s="14" t="str">
        <f>IF(ISBLANK(A381),"",_xlfn.XLOOKUP(A381,'DISPATCH SHEET'!B$3:B$121,'DISPATCH SHEET'!#REF!,""))</f>
        <v/>
      </c>
      <c r="D381" s="14"/>
      <c r="E381" s="15"/>
      <c r="F381" s="16"/>
      <c r="G381" s="17" t="s">
        <v>0</v>
      </c>
      <c r="H381" s="15"/>
      <c r="I381" s="14" t="s">
        <v>0</v>
      </c>
      <c r="J381" s="14"/>
      <c r="K381" s="18"/>
    </row>
    <row r="382" spans="1:11" s="5" customFormat="1" ht="15" customHeight="1" x14ac:dyDescent="0.2">
      <c r="A382" s="13"/>
      <c r="B382" s="14" t="str">
        <f>IF(A382="","",_xlfn.XLOOKUP(A382,'DISPATCH SHEET'!B$3:B$121,'DISPATCH SHEET'!C$3:C$121,""))</f>
        <v/>
      </c>
      <c r="C382" s="14" t="str">
        <f>IF(ISBLANK(A382),"",_xlfn.XLOOKUP(A382,'DISPATCH SHEET'!B$3:B$121,'DISPATCH SHEET'!#REF!,""))</f>
        <v/>
      </c>
      <c r="D382" s="14"/>
      <c r="E382" s="15"/>
      <c r="F382" s="16"/>
      <c r="G382" s="17" t="s">
        <v>0</v>
      </c>
      <c r="H382" s="15"/>
      <c r="I382" s="14" t="s">
        <v>0</v>
      </c>
      <c r="J382" s="14"/>
      <c r="K382" s="18"/>
    </row>
    <row r="383" spans="1:11" s="5" customFormat="1" ht="15" customHeight="1" x14ac:dyDescent="0.2">
      <c r="A383" s="13"/>
      <c r="B383" s="14" t="str">
        <f>IF(A383="","",_xlfn.XLOOKUP(A383,'DISPATCH SHEET'!B$3:B$121,'DISPATCH SHEET'!C$3:C$121,""))</f>
        <v/>
      </c>
      <c r="C383" s="14" t="str">
        <f>IF(ISBLANK(A383),"",_xlfn.XLOOKUP(A383,'DISPATCH SHEET'!B$3:B$121,'DISPATCH SHEET'!#REF!,""))</f>
        <v/>
      </c>
      <c r="D383" s="14"/>
      <c r="E383" s="15"/>
      <c r="F383" s="16"/>
      <c r="G383" s="17" t="s">
        <v>0</v>
      </c>
      <c r="H383" s="15"/>
      <c r="I383" s="14" t="s">
        <v>0</v>
      </c>
      <c r="J383" s="14"/>
      <c r="K383" s="18"/>
    </row>
    <row r="384" spans="1:11" s="5" customFormat="1" ht="15" customHeight="1" x14ac:dyDescent="0.2">
      <c r="A384" s="13"/>
      <c r="B384" s="14" t="str">
        <f>IF(A384="","",_xlfn.XLOOKUP(A384,'DISPATCH SHEET'!B$3:B$121,'DISPATCH SHEET'!C$3:C$121,""))</f>
        <v/>
      </c>
      <c r="C384" s="14" t="str">
        <f>IF(ISBLANK(A384),"",_xlfn.XLOOKUP(A384,'DISPATCH SHEET'!B$3:B$121,'DISPATCH SHEET'!#REF!,""))</f>
        <v/>
      </c>
      <c r="D384" s="14"/>
      <c r="E384" s="15"/>
      <c r="F384" s="16"/>
      <c r="G384" s="17" t="s">
        <v>0</v>
      </c>
      <c r="H384" s="15"/>
      <c r="I384" s="14" t="s">
        <v>0</v>
      </c>
      <c r="J384" s="14"/>
      <c r="K384" s="18"/>
    </row>
    <row r="385" spans="1:11" s="5" customFormat="1" ht="15" customHeight="1" x14ac:dyDescent="0.2">
      <c r="A385" s="13"/>
      <c r="B385" s="14" t="str">
        <f>IF(A385="","",_xlfn.XLOOKUP(A385,'DISPATCH SHEET'!B$3:B$121,'DISPATCH SHEET'!C$3:C$121,""))</f>
        <v/>
      </c>
      <c r="C385" s="14" t="str">
        <f>IF(ISBLANK(A385),"",_xlfn.XLOOKUP(A385,'DISPATCH SHEET'!B$3:B$121,'DISPATCH SHEET'!#REF!,""))</f>
        <v/>
      </c>
      <c r="D385" s="14"/>
      <c r="E385" s="15"/>
      <c r="F385" s="16"/>
      <c r="G385" s="17" t="s">
        <v>0</v>
      </c>
      <c r="H385" s="15"/>
      <c r="I385" s="14" t="s">
        <v>0</v>
      </c>
      <c r="J385" s="14"/>
      <c r="K385" s="18"/>
    </row>
    <row r="386" spans="1:11" s="5" customFormat="1" ht="15" customHeight="1" x14ac:dyDescent="0.2">
      <c r="A386" s="13"/>
      <c r="B386" s="14" t="str">
        <f>IF(A386="","",_xlfn.XLOOKUP(A386,'DISPATCH SHEET'!B$3:B$121,'DISPATCH SHEET'!C$3:C$121,""))</f>
        <v/>
      </c>
      <c r="C386" s="14" t="str">
        <f>IF(ISBLANK(A386),"",_xlfn.XLOOKUP(A386,'DISPATCH SHEET'!B$3:B$121,'DISPATCH SHEET'!#REF!,""))</f>
        <v/>
      </c>
      <c r="D386" s="14"/>
      <c r="E386" s="15"/>
      <c r="F386" s="16"/>
      <c r="G386" s="17" t="s">
        <v>0</v>
      </c>
      <c r="H386" s="15"/>
      <c r="I386" s="14" t="s">
        <v>0</v>
      </c>
      <c r="J386" s="14"/>
      <c r="K386" s="18"/>
    </row>
    <row r="387" spans="1:11" s="5" customFormat="1" ht="15" customHeight="1" x14ac:dyDescent="0.2">
      <c r="A387" s="13"/>
      <c r="B387" s="14" t="str">
        <f>IF(A387="","",_xlfn.XLOOKUP(A387,'DISPATCH SHEET'!B$3:B$121,'DISPATCH SHEET'!C$3:C$121,""))</f>
        <v/>
      </c>
      <c r="C387" s="14" t="str">
        <f>IF(ISBLANK(A387),"",_xlfn.XLOOKUP(A387,'DISPATCH SHEET'!B$3:B$121,'DISPATCH SHEET'!#REF!,""))</f>
        <v/>
      </c>
      <c r="D387" s="14"/>
      <c r="E387" s="15"/>
      <c r="F387" s="16"/>
      <c r="G387" s="17" t="s">
        <v>0</v>
      </c>
      <c r="H387" s="15"/>
      <c r="I387" s="14" t="s">
        <v>0</v>
      </c>
      <c r="J387" s="14"/>
      <c r="K387" s="18"/>
    </row>
    <row r="388" spans="1:11" s="5" customFormat="1" ht="15" customHeight="1" x14ac:dyDescent="0.2">
      <c r="A388" s="13"/>
      <c r="B388" s="14" t="str">
        <f>IF(A388="","",_xlfn.XLOOKUP(A388,'DISPATCH SHEET'!B$3:B$121,'DISPATCH SHEET'!C$3:C$121,""))</f>
        <v/>
      </c>
      <c r="C388" s="14" t="str">
        <f>IF(ISBLANK(A388),"",_xlfn.XLOOKUP(A388,'DISPATCH SHEET'!B$3:B$121,'DISPATCH SHEET'!#REF!,""))</f>
        <v/>
      </c>
      <c r="D388" s="14"/>
      <c r="E388" s="15"/>
      <c r="F388" s="16"/>
      <c r="G388" s="17" t="s">
        <v>0</v>
      </c>
      <c r="H388" s="15"/>
      <c r="I388" s="14" t="s">
        <v>0</v>
      </c>
      <c r="J388" s="14"/>
      <c r="K388" s="18"/>
    </row>
    <row r="389" spans="1:11" s="5" customFormat="1" ht="15" customHeight="1" x14ac:dyDescent="0.2">
      <c r="A389" s="13"/>
      <c r="B389" s="14" t="str">
        <f>IF(A389="","",_xlfn.XLOOKUP(A389,'DISPATCH SHEET'!B$3:B$121,'DISPATCH SHEET'!C$3:C$121,""))</f>
        <v/>
      </c>
      <c r="C389" s="14" t="str">
        <f>IF(ISBLANK(A389),"",_xlfn.XLOOKUP(A389,'DISPATCH SHEET'!B$3:B$121,'DISPATCH SHEET'!#REF!,""))</f>
        <v/>
      </c>
      <c r="D389" s="14"/>
      <c r="E389" s="15"/>
      <c r="F389" s="16"/>
      <c r="G389" s="17" t="s">
        <v>0</v>
      </c>
      <c r="H389" s="15"/>
      <c r="I389" s="14" t="s">
        <v>0</v>
      </c>
      <c r="J389" s="14"/>
      <c r="K389" s="18"/>
    </row>
    <row r="390" spans="1:11" s="5" customFormat="1" ht="15" customHeight="1" x14ac:dyDescent="0.2">
      <c r="A390" s="13"/>
      <c r="B390" s="14" t="str">
        <f>IF(A390="","",_xlfn.XLOOKUP(A390,'DISPATCH SHEET'!B$3:B$121,'DISPATCH SHEET'!C$3:C$121,""))</f>
        <v/>
      </c>
      <c r="C390" s="14" t="str">
        <f>IF(ISBLANK(A390),"",_xlfn.XLOOKUP(A390,'DISPATCH SHEET'!B$3:B$121,'DISPATCH SHEET'!#REF!,""))</f>
        <v/>
      </c>
      <c r="D390" s="14"/>
      <c r="E390" s="15"/>
      <c r="F390" s="16"/>
      <c r="G390" s="17" t="s">
        <v>0</v>
      </c>
      <c r="H390" s="15"/>
      <c r="I390" s="14" t="s">
        <v>0</v>
      </c>
      <c r="J390" s="14"/>
      <c r="K390" s="18"/>
    </row>
    <row r="391" spans="1:11" s="5" customFormat="1" ht="15" customHeight="1" x14ac:dyDescent="0.2">
      <c r="A391" s="13"/>
      <c r="B391" s="14" t="str">
        <f>IF(A391="","",_xlfn.XLOOKUP(A391,'DISPATCH SHEET'!B$3:B$121,'DISPATCH SHEET'!C$3:C$121,""))</f>
        <v/>
      </c>
      <c r="C391" s="14" t="str">
        <f>IF(ISBLANK(A391),"",_xlfn.XLOOKUP(A391,'DISPATCH SHEET'!B$3:B$121,'DISPATCH SHEET'!#REF!,""))</f>
        <v/>
      </c>
      <c r="D391" s="14"/>
      <c r="E391" s="15"/>
      <c r="F391" s="16"/>
      <c r="G391" s="17" t="s">
        <v>0</v>
      </c>
      <c r="H391" s="15"/>
      <c r="I391" s="14" t="s">
        <v>0</v>
      </c>
      <c r="J391" s="14"/>
      <c r="K391" s="18"/>
    </row>
    <row r="392" spans="1:11" s="5" customFormat="1" ht="15" customHeight="1" x14ac:dyDescent="0.2">
      <c r="A392" s="13"/>
      <c r="B392" s="14" t="str">
        <f>IF(A392="","",_xlfn.XLOOKUP(A392,'DISPATCH SHEET'!B$3:B$121,'DISPATCH SHEET'!C$3:C$121,""))</f>
        <v/>
      </c>
      <c r="C392" s="14" t="str">
        <f>IF(ISBLANK(A392),"",_xlfn.XLOOKUP(A392,'DISPATCH SHEET'!B$3:B$121,'DISPATCH SHEET'!#REF!,""))</f>
        <v/>
      </c>
      <c r="D392" s="14"/>
      <c r="E392" s="15"/>
      <c r="F392" s="16"/>
      <c r="G392" s="17" t="s">
        <v>0</v>
      </c>
      <c r="H392" s="15"/>
      <c r="I392" s="14" t="s">
        <v>0</v>
      </c>
      <c r="J392" s="14"/>
      <c r="K392" s="18"/>
    </row>
    <row r="393" spans="1:11" s="5" customFormat="1" ht="15" customHeight="1" x14ac:dyDescent="0.2">
      <c r="A393" s="13"/>
      <c r="B393" s="14" t="str">
        <f>IF(A393="","",_xlfn.XLOOKUP(A393,'DISPATCH SHEET'!B$3:B$121,'DISPATCH SHEET'!C$3:C$121,""))</f>
        <v/>
      </c>
      <c r="C393" s="14" t="str">
        <f>IF(ISBLANK(A393),"",_xlfn.XLOOKUP(A393,'DISPATCH SHEET'!B$3:B$121,'DISPATCH SHEET'!#REF!,""))</f>
        <v/>
      </c>
      <c r="D393" s="14"/>
      <c r="E393" s="15"/>
      <c r="F393" s="16"/>
      <c r="G393" s="17" t="s">
        <v>0</v>
      </c>
      <c r="H393" s="15"/>
      <c r="I393" s="14" t="s">
        <v>0</v>
      </c>
      <c r="J393" s="14"/>
      <c r="K393" s="18"/>
    </row>
    <row r="394" spans="1:11" s="5" customFormat="1" ht="15" customHeight="1" x14ac:dyDescent="0.2">
      <c r="A394" s="13"/>
      <c r="B394" s="14" t="str">
        <f>IF(A394="","",_xlfn.XLOOKUP(A394,'DISPATCH SHEET'!B$3:B$121,'DISPATCH SHEET'!C$3:C$121,""))</f>
        <v/>
      </c>
      <c r="C394" s="14" t="str">
        <f>IF(ISBLANK(A394),"",_xlfn.XLOOKUP(A394,'DISPATCH SHEET'!B$3:B$121,'DISPATCH SHEET'!#REF!,""))</f>
        <v/>
      </c>
      <c r="D394" s="14"/>
      <c r="E394" s="15"/>
      <c r="F394" s="16"/>
      <c r="G394" s="17" t="s">
        <v>0</v>
      </c>
      <c r="H394" s="15"/>
      <c r="I394" s="14" t="s">
        <v>0</v>
      </c>
      <c r="J394" s="14"/>
      <c r="K394" s="18"/>
    </row>
    <row r="395" spans="1:11" s="5" customFormat="1" ht="15" customHeight="1" x14ac:dyDescent="0.2">
      <c r="A395" s="13"/>
      <c r="B395" s="14" t="str">
        <f>IF(A395="","",_xlfn.XLOOKUP(A395,'DISPATCH SHEET'!B$3:B$121,'DISPATCH SHEET'!C$3:C$121,""))</f>
        <v/>
      </c>
      <c r="C395" s="14" t="str">
        <f>IF(ISBLANK(A395),"",_xlfn.XLOOKUP(A395,'DISPATCH SHEET'!B$3:B$121,'DISPATCH SHEET'!#REF!,""))</f>
        <v/>
      </c>
      <c r="D395" s="14"/>
      <c r="E395" s="15"/>
      <c r="F395" s="16"/>
      <c r="G395" s="17" t="s">
        <v>0</v>
      </c>
      <c r="H395" s="15"/>
      <c r="I395" s="14" t="s">
        <v>0</v>
      </c>
      <c r="J395" s="14"/>
      <c r="K395" s="18"/>
    </row>
    <row r="396" spans="1:11" s="5" customFormat="1" ht="15" customHeight="1" x14ac:dyDescent="0.2">
      <c r="A396" s="13"/>
      <c r="B396" s="14" t="str">
        <f>IF(A396="","",_xlfn.XLOOKUP(A396,'DISPATCH SHEET'!B$3:B$121,'DISPATCH SHEET'!C$3:C$121,""))</f>
        <v/>
      </c>
      <c r="C396" s="14" t="str">
        <f>IF(ISBLANK(A396),"",_xlfn.XLOOKUP(A396,'DISPATCH SHEET'!B$3:B$121,'DISPATCH SHEET'!#REF!,""))</f>
        <v/>
      </c>
      <c r="D396" s="14"/>
      <c r="E396" s="15"/>
      <c r="F396" s="16"/>
      <c r="G396" s="17" t="s">
        <v>0</v>
      </c>
      <c r="H396" s="15"/>
      <c r="I396" s="14" t="s">
        <v>0</v>
      </c>
      <c r="J396" s="14"/>
      <c r="K396" s="18"/>
    </row>
    <row r="397" spans="1:11" s="5" customFormat="1" ht="15" customHeight="1" x14ac:dyDescent="0.2">
      <c r="A397" s="13"/>
      <c r="B397" s="14" t="str">
        <f>IF(A397="","",_xlfn.XLOOKUP(A397,'DISPATCH SHEET'!B$3:B$121,'DISPATCH SHEET'!C$3:C$121,""))</f>
        <v/>
      </c>
      <c r="C397" s="14" t="str">
        <f>IF(ISBLANK(A397),"",_xlfn.XLOOKUP(A397,'DISPATCH SHEET'!B$3:B$121,'DISPATCH SHEET'!#REF!,""))</f>
        <v/>
      </c>
      <c r="D397" s="14"/>
      <c r="E397" s="15"/>
      <c r="F397" s="16"/>
      <c r="G397" s="17" t="s">
        <v>0</v>
      </c>
      <c r="H397" s="15"/>
      <c r="I397" s="14" t="s">
        <v>0</v>
      </c>
      <c r="J397" s="14"/>
      <c r="K397" s="18"/>
    </row>
    <row r="398" spans="1:11" s="5" customFormat="1" ht="15" customHeight="1" x14ac:dyDescent="0.2">
      <c r="A398" s="13"/>
      <c r="B398" s="14" t="str">
        <f>IF(A398="","",_xlfn.XLOOKUP(A398,'DISPATCH SHEET'!B$3:B$121,'DISPATCH SHEET'!C$3:C$121,""))</f>
        <v/>
      </c>
      <c r="C398" s="14" t="str">
        <f>IF(ISBLANK(A398),"",_xlfn.XLOOKUP(A398,'DISPATCH SHEET'!B$3:B$121,'DISPATCH SHEET'!#REF!,""))</f>
        <v/>
      </c>
      <c r="D398" s="14"/>
      <c r="E398" s="15"/>
      <c r="F398" s="16"/>
      <c r="G398" s="17" t="s">
        <v>0</v>
      </c>
      <c r="H398" s="15"/>
      <c r="I398" s="14" t="s">
        <v>0</v>
      </c>
      <c r="J398" s="14"/>
      <c r="K398" s="18"/>
    </row>
    <row r="399" spans="1:11" s="5" customFormat="1" ht="15" customHeight="1" x14ac:dyDescent="0.2">
      <c r="A399" s="13"/>
      <c r="B399" s="14" t="str">
        <f>IF(A399="","",_xlfn.XLOOKUP(A399,'DISPATCH SHEET'!B$3:B$121,'DISPATCH SHEET'!C$3:C$121,""))</f>
        <v/>
      </c>
      <c r="C399" s="14" t="str">
        <f>IF(ISBLANK(A399),"",_xlfn.XLOOKUP(A399,'DISPATCH SHEET'!B$3:B$121,'DISPATCH SHEET'!#REF!,""))</f>
        <v/>
      </c>
      <c r="D399" s="14"/>
      <c r="E399" s="15"/>
      <c r="F399" s="16"/>
      <c r="G399" s="17" t="s">
        <v>0</v>
      </c>
      <c r="H399" s="15"/>
      <c r="I399" s="14" t="s">
        <v>0</v>
      </c>
      <c r="J399" s="14"/>
      <c r="K399" s="18"/>
    </row>
    <row r="400" spans="1:11" s="5" customFormat="1" ht="15" customHeight="1" x14ac:dyDescent="0.2">
      <c r="A400" s="13"/>
      <c r="B400" s="14" t="str">
        <f>IF(A400="","",_xlfn.XLOOKUP(A400,'DISPATCH SHEET'!B$3:B$121,'DISPATCH SHEET'!C$3:C$121,""))</f>
        <v/>
      </c>
      <c r="C400" s="14" t="str">
        <f>IF(ISBLANK(A400),"",_xlfn.XLOOKUP(A400,'DISPATCH SHEET'!B$3:B$121,'DISPATCH SHEET'!#REF!,""))</f>
        <v/>
      </c>
      <c r="D400" s="14"/>
      <c r="E400" s="15"/>
      <c r="F400" s="16"/>
      <c r="G400" s="17" t="s">
        <v>0</v>
      </c>
      <c r="H400" s="15"/>
      <c r="I400" s="14" t="s">
        <v>0</v>
      </c>
      <c r="J400" s="14"/>
      <c r="K400" s="18"/>
    </row>
    <row r="401" spans="1:11" s="5" customFormat="1" ht="15" customHeight="1" x14ac:dyDescent="0.2">
      <c r="A401" s="13"/>
      <c r="B401" s="14" t="str">
        <f>IF(A401="","",_xlfn.XLOOKUP(A401,'DISPATCH SHEET'!B$3:B$121,'DISPATCH SHEET'!C$3:C$121,""))</f>
        <v/>
      </c>
      <c r="C401" s="14" t="str">
        <f>IF(ISBLANK(A401),"",_xlfn.XLOOKUP(A401,'DISPATCH SHEET'!B$3:B$121,'DISPATCH SHEET'!#REF!,""))</f>
        <v/>
      </c>
      <c r="D401" s="14"/>
      <c r="E401" s="15"/>
      <c r="F401" s="16"/>
      <c r="G401" s="17" t="s">
        <v>0</v>
      </c>
      <c r="H401" s="15"/>
      <c r="I401" s="14" t="s">
        <v>0</v>
      </c>
      <c r="J401" s="14"/>
      <c r="K401" s="18"/>
    </row>
    <row r="402" spans="1:11" s="5" customFormat="1" ht="15" customHeight="1" x14ac:dyDescent="0.2">
      <c r="A402" s="13"/>
      <c r="B402" s="14" t="str">
        <f>IF(A402="","",_xlfn.XLOOKUP(A402,'DISPATCH SHEET'!B$3:B$121,'DISPATCH SHEET'!C$3:C$121,""))</f>
        <v/>
      </c>
      <c r="C402" s="14" t="str">
        <f>IF(ISBLANK(A402),"",_xlfn.XLOOKUP(A402,'DISPATCH SHEET'!B$3:B$121,'DISPATCH SHEET'!#REF!,""))</f>
        <v/>
      </c>
      <c r="D402" s="14"/>
      <c r="E402" s="15"/>
      <c r="F402" s="16"/>
      <c r="G402" s="17" t="s">
        <v>0</v>
      </c>
      <c r="H402" s="15"/>
      <c r="I402" s="14" t="s">
        <v>0</v>
      </c>
      <c r="J402" s="14"/>
      <c r="K402" s="18"/>
    </row>
    <row r="403" spans="1:11" s="5" customFormat="1" ht="15" customHeight="1" x14ac:dyDescent="0.2">
      <c r="A403" s="13"/>
      <c r="B403" s="14" t="str">
        <f>IF(A403="","",_xlfn.XLOOKUP(A403,'DISPATCH SHEET'!B$3:B$121,'DISPATCH SHEET'!C$3:C$121,""))</f>
        <v/>
      </c>
      <c r="C403" s="14" t="str">
        <f>IF(ISBLANK(A403),"",_xlfn.XLOOKUP(A403,'DISPATCH SHEET'!B$3:B$121,'DISPATCH SHEET'!#REF!,""))</f>
        <v/>
      </c>
      <c r="D403" s="14"/>
      <c r="E403" s="15"/>
      <c r="F403" s="16"/>
      <c r="G403" s="17" t="s">
        <v>0</v>
      </c>
      <c r="H403" s="15"/>
      <c r="I403" s="14" t="s">
        <v>0</v>
      </c>
      <c r="J403" s="14"/>
      <c r="K403" s="18"/>
    </row>
    <row r="404" spans="1:11" s="5" customFormat="1" ht="15" customHeight="1" x14ac:dyDescent="0.2">
      <c r="A404" s="13"/>
      <c r="B404" s="14" t="str">
        <f>IF(A404="","",_xlfn.XLOOKUP(A404,'DISPATCH SHEET'!B$3:B$121,'DISPATCH SHEET'!C$3:C$121,""))</f>
        <v/>
      </c>
      <c r="C404" s="14" t="str">
        <f>IF(ISBLANK(A404),"",_xlfn.XLOOKUP(A404,'DISPATCH SHEET'!B$3:B$121,'DISPATCH SHEET'!#REF!,""))</f>
        <v/>
      </c>
      <c r="D404" s="14"/>
      <c r="E404" s="15"/>
      <c r="F404" s="16"/>
      <c r="G404" s="17" t="s">
        <v>0</v>
      </c>
      <c r="H404" s="15"/>
      <c r="I404" s="14" t="s">
        <v>0</v>
      </c>
      <c r="J404" s="14"/>
      <c r="K404" s="18"/>
    </row>
    <row r="405" spans="1:11" s="5" customFormat="1" ht="15" customHeight="1" x14ac:dyDescent="0.2">
      <c r="A405" s="13"/>
      <c r="B405" s="14" t="str">
        <f>IF(A405="","",_xlfn.XLOOKUP(A405,'DISPATCH SHEET'!B$3:B$121,'DISPATCH SHEET'!C$3:C$121,""))</f>
        <v/>
      </c>
      <c r="C405" s="14" t="str">
        <f>IF(ISBLANK(A405),"",_xlfn.XLOOKUP(A405,'DISPATCH SHEET'!B$3:B$121,'DISPATCH SHEET'!#REF!,""))</f>
        <v/>
      </c>
      <c r="D405" s="14"/>
      <c r="E405" s="15"/>
      <c r="F405" s="16"/>
      <c r="G405" s="17" t="s">
        <v>0</v>
      </c>
      <c r="H405" s="15"/>
      <c r="I405" s="14" t="s">
        <v>0</v>
      </c>
      <c r="J405" s="14"/>
      <c r="K405" s="18"/>
    </row>
    <row r="406" spans="1:11" s="5" customFormat="1" ht="15" customHeight="1" x14ac:dyDescent="0.2">
      <c r="A406" s="13"/>
      <c r="B406" s="14" t="str">
        <f>IF(A406="","",_xlfn.XLOOKUP(A406,'DISPATCH SHEET'!B$3:B$121,'DISPATCH SHEET'!C$3:C$121,""))</f>
        <v/>
      </c>
      <c r="C406" s="14" t="str">
        <f>IF(ISBLANK(A406),"",_xlfn.XLOOKUP(A406,'DISPATCH SHEET'!B$3:B$121,'DISPATCH SHEET'!#REF!,""))</f>
        <v/>
      </c>
      <c r="D406" s="14"/>
      <c r="E406" s="15"/>
      <c r="F406" s="16"/>
      <c r="G406" s="17" t="s">
        <v>0</v>
      </c>
      <c r="H406" s="15"/>
      <c r="I406" s="14" t="s">
        <v>0</v>
      </c>
      <c r="J406" s="14"/>
      <c r="K406" s="18"/>
    </row>
    <row r="407" spans="1:11" s="5" customFormat="1" ht="15" customHeight="1" x14ac:dyDescent="0.2">
      <c r="A407" s="13"/>
      <c r="B407" s="14" t="str">
        <f>IF(A407="","",_xlfn.XLOOKUP(A407,'DISPATCH SHEET'!B$3:B$121,'DISPATCH SHEET'!C$3:C$121,""))</f>
        <v/>
      </c>
      <c r="C407" s="14" t="str">
        <f>IF(ISBLANK(A407),"",_xlfn.XLOOKUP(A407,'DISPATCH SHEET'!B$3:B$121,'DISPATCH SHEET'!#REF!,""))</f>
        <v/>
      </c>
      <c r="D407" s="14"/>
      <c r="E407" s="15"/>
      <c r="F407" s="16"/>
      <c r="G407" s="17" t="s">
        <v>0</v>
      </c>
      <c r="H407" s="15"/>
      <c r="I407" s="14" t="s">
        <v>0</v>
      </c>
      <c r="J407" s="14"/>
      <c r="K407" s="18"/>
    </row>
    <row r="408" spans="1:11" s="5" customFormat="1" ht="15" customHeight="1" x14ac:dyDescent="0.2">
      <c r="A408" s="13"/>
      <c r="B408" s="14" t="str">
        <f>IF(A408="","",_xlfn.XLOOKUP(A408,'DISPATCH SHEET'!B$3:B$121,'DISPATCH SHEET'!C$3:C$121,""))</f>
        <v/>
      </c>
      <c r="C408" s="14" t="str">
        <f>IF(ISBLANK(A408),"",_xlfn.XLOOKUP(A408,'DISPATCH SHEET'!B$3:B$121,'DISPATCH SHEET'!#REF!,""))</f>
        <v/>
      </c>
      <c r="D408" s="14"/>
      <c r="E408" s="15"/>
      <c r="F408" s="16"/>
      <c r="G408" s="17" t="s">
        <v>0</v>
      </c>
      <c r="H408" s="15"/>
      <c r="I408" s="14" t="s">
        <v>0</v>
      </c>
      <c r="J408" s="14"/>
      <c r="K408" s="18"/>
    </row>
    <row r="409" spans="1:11" s="5" customFormat="1" ht="15" customHeight="1" x14ac:dyDescent="0.2">
      <c r="A409" s="13"/>
      <c r="B409" s="14" t="str">
        <f>IF(A409="","",_xlfn.XLOOKUP(A409,'DISPATCH SHEET'!B$3:B$121,'DISPATCH SHEET'!C$3:C$121,""))</f>
        <v/>
      </c>
      <c r="C409" s="14" t="str">
        <f>IF(ISBLANK(A409),"",_xlfn.XLOOKUP(A409,'DISPATCH SHEET'!B$3:B$121,'DISPATCH SHEET'!#REF!,""))</f>
        <v/>
      </c>
      <c r="D409" s="14"/>
      <c r="E409" s="15"/>
      <c r="F409" s="16"/>
      <c r="G409" s="17" t="s">
        <v>0</v>
      </c>
      <c r="H409" s="15"/>
      <c r="I409" s="14" t="s">
        <v>0</v>
      </c>
      <c r="J409" s="14"/>
      <c r="K409" s="18"/>
    </row>
    <row r="410" spans="1:11" s="5" customFormat="1" ht="15" customHeight="1" x14ac:dyDescent="0.2">
      <c r="A410" s="13"/>
      <c r="B410" s="14" t="str">
        <f>IF(A410="","",_xlfn.XLOOKUP(A410,'DISPATCH SHEET'!B$3:B$121,'DISPATCH SHEET'!C$3:C$121,""))</f>
        <v/>
      </c>
      <c r="C410" s="14" t="str">
        <f>IF(ISBLANK(A410),"",_xlfn.XLOOKUP(A410,'DISPATCH SHEET'!B$3:B$121,'DISPATCH SHEET'!#REF!,""))</f>
        <v/>
      </c>
      <c r="D410" s="14"/>
      <c r="E410" s="15"/>
      <c r="F410" s="16"/>
      <c r="G410" s="17" t="s">
        <v>0</v>
      </c>
      <c r="H410" s="15"/>
      <c r="I410" s="14" t="s">
        <v>0</v>
      </c>
      <c r="J410" s="14"/>
      <c r="K410" s="18"/>
    </row>
    <row r="411" spans="1:11" s="5" customFormat="1" ht="15" customHeight="1" x14ac:dyDescent="0.2">
      <c r="A411" s="13"/>
      <c r="B411" s="14" t="str">
        <f>IF(A411="","",_xlfn.XLOOKUP(A411,'DISPATCH SHEET'!B$3:B$121,'DISPATCH SHEET'!C$3:C$121,""))</f>
        <v/>
      </c>
      <c r="C411" s="14" t="str">
        <f>IF(ISBLANK(A411),"",_xlfn.XLOOKUP(A411,'DISPATCH SHEET'!B$3:B$121,'DISPATCH SHEET'!#REF!,""))</f>
        <v/>
      </c>
      <c r="D411" s="14"/>
      <c r="E411" s="15"/>
      <c r="F411" s="16"/>
      <c r="G411" s="17" t="s">
        <v>0</v>
      </c>
      <c r="H411" s="15"/>
      <c r="I411" s="14" t="s">
        <v>0</v>
      </c>
      <c r="J411" s="14"/>
      <c r="K411" s="18"/>
    </row>
    <row r="412" spans="1:11" s="5" customFormat="1" ht="15" customHeight="1" x14ac:dyDescent="0.2">
      <c r="A412" s="13"/>
      <c r="B412" s="14" t="str">
        <f>IF(A412="","",_xlfn.XLOOKUP(A412,'DISPATCH SHEET'!B$3:B$121,'DISPATCH SHEET'!C$3:C$121,""))</f>
        <v/>
      </c>
      <c r="C412" s="14" t="str">
        <f>IF(ISBLANK(A412),"",_xlfn.XLOOKUP(A412,'DISPATCH SHEET'!B$3:B$121,'DISPATCH SHEET'!#REF!,""))</f>
        <v/>
      </c>
      <c r="D412" s="14"/>
      <c r="E412" s="15"/>
      <c r="F412" s="16"/>
      <c r="G412" s="17" t="s">
        <v>0</v>
      </c>
      <c r="H412" s="15"/>
      <c r="I412" s="14" t="s">
        <v>0</v>
      </c>
      <c r="J412" s="14"/>
      <c r="K412" s="18"/>
    </row>
    <row r="413" spans="1:11" s="5" customFormat="1" ht="15" customHeight="1" x14ac:dyDescent="0.2">
      <c r="A413" s="13"/>
      <c r="B413" s="14" t="str">
        <f>IF(A413="","",_xlfn.XLOOKUP(A413,'DISPATCH SHEET'!B$3:B$121,'DISPATCH SHEET'!C$3:C$121,""))</f>
        <v/>
      </c>
      <c r="C413" s="14" t="str">
        <f>IF(ISBLANK(A413),"",_xlfn.XLOOKUP(A413,'DISPATCH SHEET'!B$3:B$121,'DISPATCH SHEET'!#REF!,""))</f>
        <v/>
      </c>
      <c r="D413" s="14"/>
      <c r="E413" s="15"/>
      <c r="F413" s="16"/>
      <c r="G413" s="17" t="s">
        <v>0</v>
      </c>
      <c r="H413" s="15"/>
      <c r="I413" s="14" t="s">
        <v>0</v>
      </c>
      <c r="J413" s="14"/>
      <c r="K413" s="18"/>
    </row>
    <row r="414" spans="1:11" s="5" customFormat="1" ht="15" customHeight="1" x14ac:dyDescent="0.2">
      <c r="A414" s="13"/>
      <c r="B414" s="14" t="str">
        <f>IF(A414="","",_xlfn.XLOOKUP(A414,'DISPATCH SHEET'!B$3:B$121,'DISPATCH SHEET'!C$3:C$121,""))</f>
        <v/>
      </c>
      <c r="C414" s="14" t="str">
        <f>IF(ISBLANK(A414),"",_xlfn.XLOOKUP(A414,'DISPATCH SHEET'!B$3:B$121,'DISPATCH SHEET'!#REF!,""))</f>
        <v/>
      </c>
      <c r="D414" s="14"/>
      <c r="E414" s="15"/>
      <c r="F414" s="16"/>
      <c r="G414" s="17" t="s">
        <v>0</v>
      </c>
      <c r="H414" s="15"/>
      <c r="I414" s="14" t="s">
        <v>0</v>
      </c>
      <c r="J414" s="14"/>
      <c r="K414" s="18"/>
    </row>
    <row r="415" spans="1:11" s="5" customFormat="1" ht="15" customHeight="1" x14ac:dyDescent="0.2">
      <c r="A415" s="13"/>
      <c r="B415" s="14" t="str">
        <f>IF(A415="","",_xlfn.XLOOKUP(A415,'DISPATCH SHEET'!B$3:B$121,'DISPATCH SHEET'!C$3:C$121,""))</f>
        <v/>
      </c>
      <c r="C415" s="14" t="str">
        <f>IF(ISBLANK(A415),"",_xlfn.XLOOKUP(A415,'DISPATCH SHEET'!B$3:B$121,'DISPATCH SHEET'!#REF!,""))</f>
        <v/>
      </c>
      <c r="D415" s="14"/>
      <c r="E415" s="15"/>
      <c r="F415" s="16"/>
      <c r="G415" s="17" t="s">
        <v>0</v>
      </c>
      <c r="H415" s="15"/>
      <c r="I415" s="14" t="s">
        <v>0</v>
      </c>
      <c r="J415" s="14"/>
      <c r="K415" s="18"/>
    </row>
    <row r="416" spans="1:11" s="5" customFormat="1" ht="15" customHeight="1" x14ac:dyDescent="0.2">
      <c r="A416" s="13"/>
      <c r="B416" s="14" t="str">
        <f>IF(A416="","",_xlfn.XLOOKUP(A416,'DISPATCH SHEET'!B$3:B$121,'DISPATCH SHEET'!C$3:C$121,""))</f>
        <v/>
      </c>
      <c r="C416" s="14" t="str">
        <f>IF(ISBLANK(A416),"",_xlfn.XLOOKUP(A416,'DISPATCH SHEET'!B$3:B$121,'DISPATCH SHEET'!#REF!,""))</f>
        <v/>
      </c>
      <c r="D416" s="14"/>
      <c r="E416" s="15"/>
      <c r="F416" s="16"/>
      <c r="G416" s="17" t="s">
        <v>0</v>
      </c>
      <c r="H416" s="15"/>
      <c r="I416" s="14" t="s">
        <v>0</v>
      </c>
      <c r="J416" s="14"/>
      <c r="K416" s="18"/>
    </row>
    <row r="417" spans="1:11" s="5" customFormat="1" ht="15" customHeight="1" x14ac:dyDescent="0.2">
      <c r="A417" s="13"/>
      <c r="B417" s="14" t="str">
        <f>IF(A417="","",_xlfn.XLOOKUP(A417,'DISPATCH SHEET'!B$3:B$121,'DISPATCH SHEET'!C$3:C$121,""))</f>
        <v/>
      </c>
      <c r="C417" s="14" t="str">
        <f>IF(ISBLANK(A417),"",_xlfn.XLOOKUP(A417,'DISPATCH SHEET'!B$3:B$121,'DISPATCH SHEET'!#REF!,""))</f>
        <v/>
      </c>
      <c r="D417" s="14"/>
      <c r="E417" s="15"/>
      <c r="F417" s="16"/>
      <c r="G417" s="17" t="s">
        <v>0</v>
      </c>
      <c r="H417" s="15"/>
      <c r="I417" s="14" t="s">
        <v>0</v>
      </c>
      <c r="J417" s="14"/>
      <c r="K417" s="18"/>
    </row>
    <row r="418" spans="1:11" s="5" customFormat="1" ht="15" customHeight="1" x14ac:dyDescent="0.2">
      <c r="A418" s="13"/>
      <c r="B418" s="14" t="str">
        <f>IF(A418="","",_xlfn.XLOOKUP(A418,'DISPATCH SHEET'!B$3:B$121,'DISPATCH SHEET'!C$3:C$121,""))</f>
        <v/>
      </c>
      <c r="C418" s="14" t="str">
        <f>IF(ISBLANK(A418),"",_xlfn.XLOOKUP(A418,'DISPATCH SHEET'!B$3:B$121,'DISPATCH SHEET'!#REF!,""))</f>
        <v/>
      </c>
      <c r="D418" s="14"/>
      <c r="E418" s="15"/>
      <c r="F418" s="16"/>
      <c r="G418" s="17" t="s">
        <v>0</v>
      </c>
      <c r="H418" s="15"/>
      <c r="I418" s="14" t="s">
        <v>0</v>
      </c>
      <c r="J418" s="14"/>
      <c r="K418" s="18"/>
    </row>
    <row r="419" spans="1:11" s="5" customFormat="1" ht="15" customHeight="1" x14ac:dyDescent="0.2">
      <c r="A419" s="13"/>
      <c r="B419" s="14" t="str">
        <f>IF(A419="","",_xlfn.XLOOKUP(A419,'DISPATCH SHEET'!B$3:B$121,'DISPATCH SHEET'!C$3:C$121,""))</f>
        <v/>
      </c>
      <c r="C419" s="14" t="str">
        <f>IF(ISBLANK(A419),"",_xlfn.XLOOKUP(A419,'DISPATCH SHEET'!B$3:B$121,'DISPATCH SHEET'!#REF!,""))</f>
        <v/>
      </c>
      <c r="D419" s="14"/>
      <c r="E419" s="15"/>
      <c r="F419" s="16"/>
      <c r="G419" s="17" t="s">
        <v>0</v>
      </c>
      <c r="H419" s="15"/>
      <c r="I419" s="14" t="s">
        <v>0</v>
      </c>
      <c r="J419" s="14"/>
      <c r="K419" s="18"/>
    </row>
    <row r="420" spans="1:11" s="5" customFormat="1" ht="15" customHeight="1" x14ac:dyDescent="0.2">
      <c r="A420" s="13"/>
      <c r="B420" s="14" t="str">
        <f>IF(A420="","",_xlfn.XLOOKUP(A420,'DISPATCH SHEET'!B$3:B$121,'DISPATCH SHEET'!C$3:C$121,""))</f>
        <v/>
      </c>
      <c r="C420" s="14" t="str">
        <f>IF(ISBLANK(A420),"",_xlfn.XLOOKUP(A420,'DISPATCH SHEET'!B$3:B$121,'DISPATCH SHEET'!#REF!,""))</f>
        <v/>
      </c>
      <c r="D420" s="14"/>
      <c r="E420" s="15"/>
      <c r="F420" s="16"/>
      <c r="G420" s="17" t="s">
        <v>0</v>
      </c>
      <c r="H420" s="15"/>
      <c r="I420" s="14" t="s">
        <v>0</v>
      </c>
      <c r="J420" s="14"/>
      <c r="K420" s="18"/>
    </row>
    <row r="421" spans="1:11" s="5" customFormat="1" ht="15" customHeight="1" x14ac:dyDescent="0.2">
      <c r="A421" s="13"/>
      <c r="B421" s="14" t="str">
        <f>IF(A421="","",_xlfn.XLOOKUP(A421,'DISPATCH SHEET'!B$3:B$121,'DISPATCH SHEET'!C$3:C$121,""))</f>
        <v/>
      </c>
      <c r="C421" s="14" t="str">
        <f>IF(ISBLANK(A421),"",_xlfn.XLOOKUP(A421,'DISPATCH SHEET'!B$3:B$121,'DISPATCH SHEET'!#REF!,""))</f>
        <v/>
      </c>
      <c r="D421" s="14"/>
      <c r="E421" s="15"/>
      <c r="F421" s="16"/>
      <c r="G421" s="17" t="s">
        <v>0</v>
      </c>
      <c r="H421" s="15"/>
      <c r="I421" s="14" t="s">
        <v>0</v>
      </c>
      <c r="J421" s="14"/>
      <c r="K421" s="18"/>
    </row>
    <row r="422" spans="1:11" s="5" customFormat="1" ht="15" customHeight="1" x14ac:dyDescent="0.2">
      <c r="A422" s="13"/>
      <c r="B422" s="14" t="str">
        <f>IF(A422="","",_xlfn.XLOOKUP(A422,'DISPATCH SHEET'!B$3:B$121,'DISPATCH SHEET'!C$3:C$121,""))</f>
        <v/>
      </c>
      <c r="C422" s="14" t="str">
        <f>IF(ISBLANK(A422),"",_xlfn.XLOOKUP(A422,'DISPATCH SHEET'!B$3:B$121,'DISPATCH SHEET'!#REF!,""))</f>
        <v/>
      </c>
      <c r="D422" s="14"/>
      <c r="E422" s="15"/>
      <c r="F422" s="16"/>
      <c r="G422" s="17" t="s">
        <v>0</v>
      </c>
      <c r="H422" s="15"/>
      <c r="I422" s="14" t="s">
        <v>0</v>
      </c>
      <c r="J422" s="14"/>
      <c r="K422" s="18"/>
    </row>
    <row r="423" spans="1:11" s="5" customFormat="1" ht="15" customHeight="1" x14ac:dyDescent="0.2">
      <c r="A423" s="13"/>
      <c r="B423" s="14" t="str">
        <f>IF(A423="","",_xlfn.XLOOKUP(A423,'DISPATCH SHEET'!B$3:B$121,'DISPATCH SHEET'!C$3:C$121,""))</f>
        <v/>
      </c>
      <c r="C423" s="14" t="str">
        <f>IF(ISBLANK(A423),"",_xlfn.XLOOKUP(A423,'DISPATCH SHEET'!B$3:B$121,'DISPATCH SHEET'!#REF!,""))</f>
        <v/>
      </c>
      <c r="D423" s="14"/>
      <c r="E423" s="15"/>
      <c r="F423" s="16"/>
      <c r="G423" s="17" t="s">
        <v>0</v>
      </c>
      <c r="H423" s="15"/>
      <c r="I423" s="14" t="s">
        <v>0</v>
      </c>
      <c r="J423" s="14"/>
      <c r="K423" s="18"/>
    </row>
    <row r="424" spans="1:11" s="5" customFormat="1" ht="15" customHeight="1" x14ac:dyDescent="0.2">
      <c r="A424" s="13"/>
      <c r="B424" s="14" t="str">
        <f>IF(A424="","",_xlfn.XLOOKUP(A424,'DISPATCH SHEET'!B$3:B$121,'DISPATCH SHEET'!C$3:C$121,""))</f>
        <v/>
      </c>
      <c r="C424" s="14" t="str">
        <f>IF(ISBLANK(A424),"",_xlfn.XLOOKUP(A424,'DISPATCH SHEET'!B$3:B$121,'DISPATCH SHEET'!#REF!,""))</f>
        <v/>
      </c>
      <c r="D424" s="14"/>
      <c r="E424" s="15"/>
      <c r="F424" s="16"/>
      <c r="G424" s="17" t="s">
        <v>0</v>
      </c>
      <c r="H424" s="15"/>
      <c r="I424" s="14" t="s">
        <v>0</v>
      </c>
      <c r="J424" s="14"/>
      <c r="K424" s="18"/>
    </row>
    <row r="425" spans="1:11" s="5" customFormat="1" ht="15" customHeight="1" x14ac:dyDescent="0.2">
      <c r="A425" s="13"/>
      <c r="B425" s="14" t="str">
        <f>IF(A425="","",_xlfn.XLOOKUP(A425,'DISPATCH SHEET'!B$3:B$121,'DISPATCH SHEET'!C$3:C$121,""))</f>
        <v/>
      </c>
      <c r="C425" s="14" t="str">
        <f>IF(ISBLANK(A425),"",_xlfn.XLOOKUP(A425,'DISPATCH SHEET'!B$3:B$121,'DISPATCH SHEET'!#REF!,""))</f>
        <v/>
      </c>
      <c r="D425" s="14"/>
      <c r="E425" s="15"/>
      <c r="F425" s="16"/>
      <c r="G425" s="17" t="s">
        <v>0</v>
      </c>
      <c r="H425" s="15"/>
      <c r="I425" s="14" t="s">
        <v>0</v>
      </c>
      <c r="J425" s="14"/>
      <c r="K425" s="18"/>
    </row>
    <row r="426" spans="1:11" s="5" customFormat="1" ht="15" customHeight="1" x14ac:dyDescent="0.2">
      <c r="A426" s="13"/>
      <c r="B426" s="14" t="str">
        <f>IF(A426="","",_xlfn.XLOOKUP(A426,'DISPATCH SHEET'!B$3:B$121,'DISPATCH SHEET'!C$3:C$121,""))</f>
        <v/>
      </c>
      <c r="C426" s="14" t="str">
        <f>IF(ISBLANK(A426),"",_xlfn.XLOOKUP(A426,'DISPATCH SHEET'!B$3:B$121,'DISPATCH SHEET'!#REF!,""))</f>
        <v/>
      </c>
      <c r="D426" s="14"/>
      <c r="E426" s="15"/>
      <c r="F426" s="16"/>
      <c r="G426" s="17" t="s">
        <v>0</v>
      </c>
      <c r="H426" s="15"/>
      <c r="I426" s="14" t="s">
        <v>0</v>
      </c>
      <c r="J426" s="14"/>
      <c r="K426" s="18"/>
    </row>
    <row r="427" spans="1:11" s="5" customFormat="1" ht="15" customHeight="1" x14ac:dyDescent="0.2">
      <c r="A427" s="13"/>
      <c r="B427" s="14" t="str">
        <f>IF(A427="","",_xlfn.XLOOKUP(A427,'DISPATCH SHEET'!B$3:B$121,'DISPATCH SHEET'!C$3:C$121,""))</f>
        <v/>
      </c>
      <c r="C427" s="14" t="str">
        <f>IF(ISBLANK(A427),"",_xlfn.XLOOKUP(A427,'DISPATCH SHEET'!B$3:B$121,'DISPATCH SHEET'!#REF!,""))</f>
        <v/>
      </c>
      <c r="D427" s="14"/>
      <c r="E427" s="15"/>
      <c r="F427" s="16"/>
      <c r="G427" s="17" t="s">
        <v>0</v>
      </c>
      <c r="H427" s="15"/>
      <c r="I427" s="14" t="s">
        <v>0</v>
      </c>
      <c r="J427" s="14"/>
      <c r="K427" s="18"/>
    </row>
    <row r="428" spans="1:11" s="5" customFormat="1" ht="15" customHeight="1" x14ac:dyDescent="0.2">
      <c r="A428" s="13"/>
      <c r="B428" s="14" t="str">
        <f>IF(A428="","",_xlfn.XLOOKUP(A428,'DISPATCH SHEET'!B$3:B$121,'DISPATCH SHEET'!C$3:C$121,""))</f>
        <v/>
      </c>
      <c r="C428" s="14" t="str">
        <f>IF(ISBLANK(A428),"",_xlfn.XLOOKUP(A428,'DISPATCH SHEET'!B$3:B$121,'DISPATCH SHEET'!#REF!,""))</f>
        <v/>
      </c>
      <c r="D428" s="14"/>
      <c r="E428" s="15"/>
      <c r="F428" s="16"/>
      <c r="G428" s="17" t="s">
        <v>0</v>
      </c>
      <c r="H428" s="15"/>
      <c r="I428" s="14" t="s">
        <v>0</v>
      </c>
      <c r="J428" s="14"/>
      <c r="K428" s="18"/>
    </row>
    <row r="429" spans="1:11" s="5" customFormat="1" ht="15" customHeight="1" x14ac:dyDescent="0.2">
      <c r="A429" s="13"/>
      <c r="B429" s="14" t="str">
        <f>IF(A429="","",_xlfn.XLOOKUP(A429,'DISPATCH SHEET'!B$3:B$121,'DISPATCH SHEET'!C$3:C$121,""))</f>
        <v/>
      </c>
      <c r="C429" s="14" t="str">
        <f>IF(ISBLANK(A429),"",_xlfn.XLOOKUP(A429,'DISPATCH SHEET'!B$3:B$121,'DISPATCH SHEET'!#REF!,""))</f>
        <v/>
      </c>
      <c r="D429" s="14"/>
      <c r="E429" s="15"/>
      <c r="F429" s="16"/>
      <c r="G429" s="17" t="s">
        <v>0</v>
      </c>
      <c r="H429" s="15"/>
      <c r="I429" s="14" t="s">
        <v>0</v>
      </c>
      <c r="J429" s="14"/>
      <c r="K429" s="18"/>
    </row>
    <row r="430" spans="1:11" s="5" customFormat="1" ht="15" customHeight="1" x14ac:dyDescent="0.2">
      <c r="A430" s="13"/>
      <c r="B430" s="14" t="str">
        <f>IF(A430="","",_xlfn.XLOOKUP(A430,'DISPATCH SHEET'!B$3:B$121,'DISPATCH SHEET'!C$3:C$121,""))</f>
        <v/>
      </c>
      <c r="C430" s="14" t="str">
        <f>IF(ISBLANK(A430),"",_xlfn.XLOOKUP(A430,'DISPATCH SHEET'!B$3:B$121,'DISPATCH SHEET'!#REF!,""))</f>
        <v/>
      </c>
      <c r="D430" s="14"/>
      <c r="E430" s="15"/>
      <c r="F430" s="16"/>
      <c r="G430" s="17" t="s">
        <v>0</v>
      </c>
      <c r="H430" s="15"/>
      <c r="I430" s="14" t="s">
        <v>0</v>
      </c>
      <c r="J430" s="14"/>
      <c r="K430" s="18"/>
    </row>
    <row r="431" spans="1:11" s="5" customFormat="1" ht="15" customHeight="1" x14ac:dyDescent="0.2">
      <c r="A431" s="13"/>
      <c r="B431" s="14" t="str">
        <f>IF(A431="","",_xlfn.XLOOKUP(A431,'DISPATCH SHEET'!B$3:B$121,'DISPATCH SHEET'!C$3:C$121,""))</f>
        <v/>
      </c>
      <c r="C431" s="14" t="str">
        <f>IF(ISBLANK(A431),"",_xlfn.XLOOKUP(A431,'DISPATCH SHEET'!B$3:B$121,'DISPATCH SHEET'!#REF!,""))</f>
        <v/>
      </c>
      <c r="D431" s="14"/>
      <c r="E431" s="15"/>
      <c r="F431" s="16"/>
      <c r="G431" s="17" t="s">
        <v>0</v>
      </c>
      <c r="H431" s="15"/>
      <c r="I431" s="14" t="s">
        <v>0</v>
      </c>
      <c r="J431" s="14"/>
      <c r="K431" s="18"/>
    </row>
    <row r="432" spans="1:11" s="5" customFormat="1" ht="15" customHeight="1" x14ac:dyDescent="0.2">
      <c r="A432" s="13"/>
      <c r="B432" s="14" t="str">
        <f>IF(A432="","",_xlfn.XLOOKUP(A432,'DISPATCH SHEET'!B$3:B$121,'DISPATCH SHEET'!C$3:C$121,""))</f>
        <v/>
      </c>
      <c r="C432" s="14" t="str">
        <f>IF(ISBLANK(A432),"",_xlfn.XLOOKUP(A432,'DISPATCH SHEET'!B$3:B$121,'DISPATCH SHEET'!#REF!,""))</f>
        <v/>
      </c>
      <c r="D432" s="14"/>
      <c r="E432" s="15"/>
      <c r="F432" s="16"/>
      <c r="G432" s="17" t="s">
        <v>0</v>
      </c>
      <c r="H432" s="15"/>
      <c r="I432" s="14" t="s">
        <v>0</v>
      </c>
      <c r="J432" s="14"/>
      <c r="K432" s="18"/>
    </row>
    <row r="433" spans="1:11" s="5" customFormat="1" ht="15" customHeight="1" x14ac:dyDescent="0.2">
      <c r="A433" s="13"/>
      <c r="B433" s="14" t="str">
        <f>IF(A433="","",_xlfn.XLOOKUP(A433,'DISPATCH SHEET'!B$3:B$121,'DISPATCH SHEET'!C$3:C$121,""))</f>
        <v/>
      </c>
      <c r="C433" s="14" t="str">
        <f>IF(ISBLANK(A433),"",_xlfn.XLOOKUP(A433,'DISPATCH SHEET'!B$3:B$121,'DISPATCH SHEET'!#REF!,""))</f>
        <v/>
      </c>
      <c r="D433" s="14"/>
      <c r="E433" s="15"/>
      <c r="F433" s="16"/>
      <c r="G433" s="17" t="s">
        <v>0</v>
      </c>
      <c r="H433" s="15"/>
      <c r="I433" s="14" t="s">
        <v>0</v>
      </c>
      <c r="J433" s="14"/>
      <c r="K433" s="18"/>
    </row>
    <row r="434" spans="1:11" s="5" customFormat="1" ht="15" customHeight="1" x14ac:dyDescent="0.2">
      <c r="A434" s="13"/>
      <c r="B434" s="14" t="str">
        <f>IF(A434="","",_xlfn.XLOOKUP(A434,'DISPATCH SHEET'!B$3:B$121,'DISPATCH SHEET'!C$3:C$121,""))</f>
        <v/>
      </c>
      <c r="C434" s="14" t="str">
        <f>IF(ISBLANK(A434),"",_xlfn.XLOOKUP(A434,'DISPATCH SHEET'!B$3:B$121,'DISPATCH SHEET'!#REF!,""))</f>
        <v/>
      </c>
      <c r="D434" s="14"/>
      <c r="E434" s="15"/>
      <c r="F434" s="16"/>
      <c r="G434" s="17" t="s">
        <v>0</v>
      </c>
      <c r="H434" s="15"/>
      <c r="I434" s="14" t="s">
        <v>0</v>
      </c>
      <c r="J434" s="14"/>
      <c r="K434" s="18"/>
    </row>
    <row r="435" spans="1:11" s="5" customFormat="1" ht="15" customHeight="1" x14ac:dyDescent="0.2">
      <c r="A435" s="13"/>
      <c r="B435" s="14" t="str">
        <f>IF(A435="","",_xlfn.XLOOKUP(A435,'DISPATCH SHEET'!B$3:B$121,'DISPATCH SHEET'!C$3:C$121,""))</f>
        <v/>
      </c>
      <c r="C435" s="14" t="str">
        <f>IF(ISBLANK(A435),"",_xlfn.XLOOKUP(A435,'DISPATCH SHEET'!B$3:B$121,'DISPATCH SHEET'!#REF!,""))</f>
        <v/>
      </c>
      <c r="D435" s="14"/>
      <c r="E435" s="15"/>
      <c r="F435" s="16"/>
      <c r="G435" s="17" t="s">
        <v>0</v>
      </c>
      <c r="H435" s="15"/>
      <c r="I435" s="14" t="s">
        <v>0</v>
      </c>
      <c r="J435" s="14"/>
      <c r="K435" s="18"/>
    </row>
    <row r="436" spans="1:11" s="5" customFormat="1" ht="15" customHeight="1" x14ac:dyDescent="0.2">
      <c r="A436" s="13"/>
      <c r="B436" s="14" t="str">
        <f>IF(A436="","",_xlfn.XLOOKUP(A436,'DISPATCH SHEET'!B$3:B$121,'DISPATCH SHEET'!C$3:C$121,""))</f>
        <v/>
      </c>
      <c r="C436" s="14" t="str">
        <f>IF(ISBLANK(A436),"",_xlfn.XLOOKUP(A436,'DISPATCH SHEET'!B$3:B$121,'DISPATCH SHEET'!#REF!,""))</f>
        <v/>
      </c>
      <c r="D436" s="14"/>
      <c r="E436" s="15"/>
      <c r="F436" s="16"/>
      <c r="G436" s="17" t="s">
        <v>0</v>
      </c>
      <c r="H436" s="15"/>
      <c r="I436" s="14" t="s">
        <v>0</v>
      </c>
      <c r="J436" s="14"/>
      <c r="K436" s="18"/>
    </row>
    <row r="437" spans="1:11" s="5" customFormat="1" ht="15" customHeight="1" x14ac:dyDescent="0.2">
      <c r="A437" s="13"/>
      <c r="B437" s="14" t="str">
        <f>IF(A437="","",_xlfn.XLOOKUP(A437,'DISPATCH SHEET'!B$3:B$121,'DISPATCH SHEET'!C$3:C$121,""))</f>
        <v/>
      </c>
      <c r="C437" s="14" t="str">
        <f>IF(ISBLANK(A437),"",_xlfn.XLOOKUP(A437,'DISPATCH SHEET'!B$3:B$121,'DISPATCH SHEET'!#REF!,""))</f>
        <v/>
      </c>
      <c r="D437" s="14"/>
      <c r="E437" s="15"/>
      <c r="F437" s="16"/>
      <c r="G437" s="17" t="s">
        <v>0</v>
      </c>
      <c r="H437" s="15"/>
      <c r="I437" s="14" t="s">
        <v>0</v>
      </c>
      <c r="J437" s="14"/>
      <c r="K437" s="18"/>
    </row>
    <row r="438" spans="1:11" s="5" customFormat="1" ht="15" customHeight="1" x14ac:dyDescent="0.2">
      <c r="A438" s="13"/>
      <c r="B438" s="14" t="str">
        <f>IF(A438="","",_xlfn.XLOOKUP(A438,'DISPATCH SHEET'!B$3:B$121,'DISPATCH SHEET'!C$3:C$121,""))</f>
        <v/>
      </c>
      <c r="C438" s="14" t="str">
        <f>IF(ISBLANK(A438),"",_xlfn.XLOOKUP(A438,'DISPATCH SHEET'!B$3:B$121,'DISPATCH SHEET'!#REF!,""))</f>
        <v/>
      </c>
      <c r="D438" s="14"/>
      <c r="E438" s="15"/>
      <c r="F438" s="16"/>
      <c r="G438" s="17" t="s">
        <v>0</v>
      </c>
      <c r="H438" s="15"/>
      <c r="I438" s="14" t="s">
        <v>0</v>
      </c>
      <c r="J438" s="14"/>
      <c r="K438" s="18"/>
    </row>
    <row r="439" spans="1:11" s="5" customFormat="1" ht="15" customHeight="1" x14ac:dyDescent="0.2">
      <c r="A439" s="13"/>
      <c r="B439" s="14" t="str">
        <f>IF(A439="","",_xlfn.XLOOKUP(A439,'DISPATCH SHEET'!B$3:B$121,'DISPATCH SHEET'!C$3:C$121,""))</f>
        <v/>
      </c>
      <c r="C439" s="14" t="str">
        <f>IF(ISBLANK(A439),"",_xlfn.XLOOKUP(A439,'DISPATCH SHEET'!B$3:B$121,'DISPATCH SHEET'!#REF!,""))</f>
        <v/>
      </c>
      <c r="D439" s="14"/>
      <c r="E439" s="15"/>
      <c r="F439" s="16"/>
      <c r="G439" s="17" t="s">
        <v>0</v>
      </c>
      <c r="H439" s="15"/>
      <c r="I439" s="14" t="s">
        <v>0</v>
      </c>
      <c r="J439" s="14"/>
      <c r="K439" s="18"/>
    </row>
    <row r="440" spans="1:11" s="5" customFormat="1" ht="15" customHeight="1" x14ac:dyDescent="0.2">
      <c r="A440" s="13"/>
      <c r="B440" s="14" t="str">
        <f>IF(A440="","",_xlfn.XLOOKUP(A440,'DISPATCH SHEET'!B$3:B$121,'DISPATCH SHEET'!C$3:C$121,""))</f>
        <v/>
      </c>
      <c r="C440" s="14" t="str">
        <f>IF(ISBLANK(A440),"",_xlfn.XLOOKUP(A440,'DISPATCH SHEET'!B$3:B$121,'DISPATCH SHEET'!#REF!,""))</f>
        <v/>
      </c>
      <c r="D440" s="14"/>
      <c r="E440" s="15"/>
      <c r="F440" s="16"/>
      <c r="G440" s="17" t="s">
        <v>0</v>
      </c>
      <c r="H440" s="15"/>
      <c r="I440" s="14" t="s">
        <v>0</v>
      </c>
      <c r="J440" s="14"/>
      <c r="K440" s="18"/>
    </row>
    <row r="441" spans="1:11" s="5" customFormat="1" ht="15" customHeight="1" x14ac:dyDescent="0.2">
      <c r="A441" s="13"/>
      <c r="B441" s="14" t="str">
        <f>IF(A441="","",_xlfn.XLOOKUP(A441,'DISPATCH SHEET'!B$3:B$121,'DISPATCH SHEET'!C$3:C$121,""))</f>
        <v/>
      </c>
      <c r="C441" s="14" t="str">
        <f>IF(ISBLANK(A441),"",_xlfn.XLOOKUP(A441,'DISPATCH SHEET'!B$3:B$121,'DISPATCH SHEET'!#REF!,""))</f>
        <v/>
      </c>
      <c r="D441" s="14"/>
      <c r="E441" s="15"/>
      <c r="F441" s="16"/>
      <c r="G441" s="17" t="s">
        <v>0</v>
      </c>
      <c r="H441" s="15"/>
      <c r="I441" s="14" t="s">
        <v>0</v>
      </c>
      <c r="J441" s="14"/>
      <c r="K441" s="18"/>
    </row>
    <row r="442" spans="1:11" s="5" customFormat="1" ht="15" customHeight="1" x14ac:dyDescent="0.2">
      <c r="A442" s="13"/>
      <c r="B442" s="14" t="str">
        <f>IF(A442="","",_xlfn.XLOOKUP(A442,'DISPATCH SHEET'!B$3:B$121,'DISPATCH SHEET'!C$3:C$121,""))</f>
        <v/>
      </c>
      <c r="C442" s="14" t="str">
        <f>IF(ISBLANK(A442),"",_xlfn.XLOOKUP(A442,'DISPATCH SHEET'!B$3:B$121,'DISPATCH SHEET'!#REF!,""))</f>
        <v/>
      </c>
      <c r="D442" s="14"/>
      <c r="E442" s="15"/>
      <c r="F442" s="16"/>
      <c r="G442" s="17" t="s">
        <v>0</v>
      </c>
      <c r="H442" s="15"/>
      <c r="I442" s="14" t="s">
        <v>0</v>
      </c>
      <c r="J442" s="14"/>
      <c r="K442" s="18"/>
    </row>
    <row r="443" spans="1:11" s="5" customFormat="1" ht="15" customHeight="1" x14ac:dyDescent="0.2">
      <c r="A443" s="13"/>
      <c r="B443" s="14" t="str">
        <f>IF(A443="","",_xlfn.XLOOKUP(A443,'DISPATCH SHEET'!B$3:B$121,'DISPATCH SHEET'!C$3:C$121,""))</f>
        <v/>
      </c>
      <c r="C443" s="14" t="str">
        <f>IF(ISBLANK(A443),"",_xlfn.XLOOKUP(A443,'DISPATCH SHEET'!B$3:B$121,'DISPATCH SHEET'!#REF!,""))</f>
        <v/>
      </c>
      <c r="D443" s="14"/>
      <c r="E443" s="15"/>
      <c r="F443" s="16"/>
      <c r="G443" s="17" t="s">
        <v>0</v>
      </c>
      <c r="H443" s="15"/>
      <c r="I443" s="14" t="s">
        <v>0</v>
      </c>
      <c r="J443" s="14"/>
      <c r="K443" s="18"/>
    </row>
    <row r="444" spans="1:11" s="5" customFormat="1" ht="15" customHeight="1" x14ac:dyDescent="0.2">
      <c r="A444" s="13"/>
      <c r="B444" s="14" t="str">
        <f>IF(A444="","",_xlfn.XLOOKUP(A444,'DISPATCH SHEET'!B$3:B$121,'DISPATCH SHEET'!C$3:C$121,""))</f>
        <v/>
      </c>
      <c r="C444" s="14" t="str">
        <f>IF(ISBLANK(A444),"",_xlfn.XLOOKUP(A444,'DISPATCH SHEET'!B$3:B$121,'DISPATCH SHEET'!#REF!,""))</f>
        <v/>
      </c>
      <c r="D444" s="14"/>
      <c r="E444" s="15"/>
      <c r="F444" s="16"/>
      <c r="G444" s="17" t="s">
        <v>0</v>
      </c>
      <c r="H444" s="15"/>
      <c r="I444" s="14" t="s">
        <v>0</v>
      </c>
      <c r="J444" s="14"/>
      <c r="K444" s="18"/>
    </row>
    <row r="445" spans="1:11" s="5" customFormat="1" ht="15" customHeight="1" x14ac:dyDescent="0.2">
      <c r="A445" s="13"/>
      <c r="B445" s="14" t="str">
        <f>IF(A445="","",_xlfn.XLOOKUP(A445,'DISPATCH SHEET'!B$3:B$121,'DISPATCH SHEET'!C$3:C$121,""))</f>
        <v/>
      </c>
      <c r="C445" s="14" t="str">
        <f>IF(ISBLANK(A445),"",_xlfn.XLOOKUP(A445,'DISPATCH SHEET'!B$3:B$121,'DISPATCH SHEET'!#REF!,""))</f>
        <v/>
      </c>
      <c r="D445" s="14"/>
      <c r="E445" s="15"/>
      <c r="F445" s="16"/>
      <c r="G445" s="17" t="s">
        <v>0</v>
      </c>
      <c r="H445" s="15"/>
      <c r="I445" s="14" t="s">
        <v>0</v>
      </c>
      <c r="J445" s="14"/>
      <c r="K445" s="18"/>
    </row>
    <row r="446" spans="1:11" s="5" customFormat="1" ht="15" customHeight="1" x14ac:dyDescent="0.2">
      <c r="A446" s="13"/>
      <c r="B446" s="14" t="str">
        <f>IF(A446="","",_xlfn.XLOOKUP(A446,'DISPATCH SHEET'!B$3:B$121,'DISPATCH SHEET'!C$3:C$121,""))</f>
        <v/>
      </c>
      <c r="C446" s="14" t="str">
        <f>IF(ISBLANK(A446),"",_xlfn.XLOOKUP(A446,'DISPATCH SHEET'!B$3:B$121,'DISPATCH SHEET'!#REF!,""))</f>
        <v/>
      </c>
      <c r="D446" s="14"/>
      <c r="E446" s="15"/>
      <c r="F446" s="16"/>
      <c r="G446" s="17" t="s">
        <v>0</v>
      </c>
      <c r="H446" s="15"/>
      <c r="I446" s="14" t="s">
        <v>0</v>
      </c>
      <c r="J446" s="14"/>
      <c r="K446" s="18"/>
    </row>
    <row r="447" spans="1:11" s="5" customFormat="1" ht="15" customHeight="1" x14ac:dyDescent="0.2">
      <c r="A447" s="13"/>
      <c r="B447" s="14" t="str">
        <f>IF(A447="","",_xlfn.XLOOKUP(A447,'DISPATCH SHEET'!B$3:B$121,'DISPATCH SHEET'!C$3:C$121,""))</f>
        <v/>
      </c>
      <c r="C447" s="14" t="str">
        <f>IF(ISBLANK(A447),"",_xlfn.XLOOKUP(A447,'DISPATCH SHEET'!B$3:B$121,'DISPATCH SHEET'!#REF!,""))</f>
        <v/>
      </c>
      <c r="D447" s="14"/>
      <c r="E447" s="15"/>
      <c r="F447" s="16"/>
      <c r="G447" s="17" t="s">
        <v>0</v>
      </c>
      <c r="H447" s="15"/>
      <c r="I447" s="14" t="s">
        <v>0</v>
      </c>
      <c r="J447" s="14"/>
      <c r="K447" s="18"/>
    </row>
    <row r="448" spans="1:11" s="5" customFormat="1" ht="15" customHeight="1" x14ac:dyDescent="0.2">
      <c r="A448" s="13"/>
      <c r="B448" s="14" t="str">
        <f>IF(A448="","",_xlfn.XLOOKUP(A448,'DISPATCH SHEET'!B$3:B$121,'DISPATCH SHEET'!C$3:C$121,""))</f>
        <v/>
      </c>
      <c r="C448" s="14" t="str">
        <f>IF(ISBLANK(A448),"",_xlfn.XLOOKUP(A448,'DISPATCH SHEET'!B$3:B$121,'DISPATCH SHEET'!#REF!,""))</f>
        <v/>
      </c>
      <c r="D448" s="14"/>
      <c r="E448" s="15"/>
      <c r="F448" s="16"/>
      <c r="G448" s="17" t="s">
        <v>0</v>
      </c>
      <c r="H448" s="15"/>
      <c r="I448" s="14" t="s">
        <v>0</v>
      </c>
      <c r="J448" s="14"/>
      <c r="K448" s="18"/>
    </row>
    <row r="449" spans="1:11" s="5" customFormat="1" ht="15" customHeight="1" x14ac:dyDescent="0.2">
      <c r="A449" s="13"/>
      <c r="B449" s="14" t="str">
        <f>IF(A449="","",_xlfn.XLOOKUP(A449,'DISPATCH SHEET'!B$3:B$121,'DISPATCH SHEET'!C$3:C$121,""))</f>
        <v/>
      </c>
      <c r="C449" s="14" t="str">
        <f>IF(ISBLANK(A449),"",_xlfn.XLOOKUP(A449,'DISPATCH SHEET'!B$3:B$121,'DISPATCH SHEET'!#REF!,""))</f>
        <v/>
      </c>
      <c r="D449" s="14"/>
      <c r="E449" s="15"/>
      <c r="F449" s="16"/>
      <c r="G449" s="17" t="s">
        <v>0</v>
      </c>
      <c r="H449" s="15"/>
      <c r="I449" s="14" t="s">
        <v>0</v>
      </c>
      <c r="J449" s="14"/>
      <c r="K449" s="18"/>
    </row>
    <row r="450" spans="1:11" s="5" customFormat="1" ht="15" customHeight="1" x14ac:dyDescent="0.2">
      <c r="A450" s="13"/>
      <c r="B450" s="14" t="str">
        <f>IF(A450="","",_xlfn.XLOOKUP(A450,'DISPATCH SHEET'!B$3:B$121,'DISPATCH SHEET'!C$3:C$121,""))</f>
        <v/>
      </c>
      <c r="C450" s="14" t="str">
        <f>IF(ISBLANK(A450),"",_xlfn.XLOOKUP(A450,'DISPATCH SHEET'!B$3:B$121,'DISPATCH SHEET'!#REF!,""))</f>
        <v/>
      </c>
      <c r="D450" s="14"/>
      <c r="E450" s="15"/>
      <c r="F450" s="16"/>
      <c r="G450" s="17" t="s">
        <v>0</v>
      </c>
      <c r="H450" s="15"/>
      <c r="I450" s="14" t="s">
        <v>0</v>
      </c>
      <c r="J450" s="14"/>
      <c r="K450" s="18"/>
    </row>
    <row r="451" spans="1:11" s="5" customFormat="1" ht="15" customHeight="1" x14ac:dyDescent="0.2">
      <c r="A451" s="13"/>
      <c r="B451" s="14" t="str">
        <f>IF(A451="","",_xlfn.XLOOKUP(A451,'DISPATCH SHEET'!B$3:B$121,'DISPATCH SHEET'!C$3:C$121,""))</f>
        <v/>
      </c>
      <c r="C451" s="14" t="str">
        <f>IF(ISBLANK(A451),"",_xlfn.XLOOKUP(A451,'DISPATCH SHEET'!B$3:B$121,'DISPATCH SHEET'!#REF!,""))</f>
        <v/>
      </c>
      <c r="D451" s="14"/>
      <c r="E451" s="15"/>
      <c r="F451" s="16"/>
      <c r="G451" s="17" t="s">
        <v>0</v>
      </c>
      <c r="H451" s="15"/>
      <c r="I451" s="14" t="s">
        <v>0</v>
      </c>
      <c r="J451" s="14"/>
      <c r="K451" s="18"/>
    </row>
    <row r="452" spans="1:11" s="5" customFormat="1" ht="15" customHeight="1" x14ac:dyDescent="0.2">
      <c r="A452" s="13"/>
      <c r="B452" s="14" t="str">
        <f>IF(A452="","",_xlfn.XLOOKUP(A452,'DISPATCH SHEET'!B$3:B$121,'DISPATCH SHEET'!C$3:C$121,""))</f>
        <v/>
      </c>
      <c r="C452" s="14" t="str">
        <f>IF(ISBLANK(A452),"",_xlfn.XLOOKUP(A452,'DISPATCH SHEET'!B$3:B$121,'DISPATCH SHEET'!#REF!,""))</f>
        <v/>
      </c>
      <c r="D452" s="14"/>
      <c r="E452" s="15"/>
      <c r="F452" s="16"/>
      <c r="G452" s="17" t="s">
        <v>0</v>
      </c>
      <c r="H452" s="15"/>
      <c r="I452" s="14" t="s">
        <v>0</v>
      </c>
      <c r="J452" s="14"/>
      <c r="K452" s="18"/>
    </row>
    <row r="453" spans="1:11" s="5" customFormat="1" ht="15" customHeight="1" x14ac:dyDescent="0.2">
      <c r="A453" s="13"/>
      <c r="B453" s="14" t="str">
        <f>IF(A453="","",_xlfn.XLOOKUP(A453,'DISPATCH SHEET'!B$3:B$121,'DISPATCH SHEET'!C$3:C$121,""))</f>
        <v/>
      </c>
      <c r="C453" s="14" t="str">
        <f>IF(ISBLANK(A453),"",_xlfn.XLOOKUP(A453,'DISPATCH SHEET'!B$3:B$121,'DISPATCH SHEET'!#REF!,""))</f>
        <v/>
      </c>
      <c r="D453" s="14"/>
      <c r="E453" s="15"/>
      <c r="F453" s="16"/>
      <c r="G453" s="17" t="s">
        <v>0</v>
      </c>
      <c r="H453" s="15"/>
      <c r="I453" s="14" t="s">
        <v>0</v>
      </c>
      <c r="J453" s="14"/>
      <c r="K453" s="18"/>
    </row>
    <row r="454" spans="1:11" s="5" customFormat="1" ht="15" customHeight="1" x14ac:dyDescent="0.2">
      <c r="A454" s="13"/>
      <c r="B454" s="14" t="str">
        <f>IF(A454="","",_xlfn.XLOOKUP(A454,'DISPATCH SHEET'!B$3:B$121,'DISPATCH SHEET'!C$3:C$121,""))</f>
        <v/>
      </c>
      <c r="C454" s="14" t="str">
        <f>IF(ISBLANK(A454),"",_xlfn.XLOOKUP(A454,'DISPATCH SHEET'!B$3:B$121,'DISPATCH SHEET'!#REF!,""))</f>
        <v/>
      </c>
      <c r="D454" s="14"/>
      <c r="E454" s="15"/>
      <c r="F454" s="16"/>
      <c r="G454" s="17" t="s">
        <v>0</v>
      </c>
      <c r="H454" s="15"/>
      <c r="I454" s="14" t="s">
        <v>0</v>
      </c>
      <c r="J454" s="14"/>
      <c r="K454" s="18"/>
    </row>
    <row r="455" spans="1:11" s="5" customFormat="1" ht="15" customHeight="1" x14ac:dyDescent="0.2">
      <c r="A455" s="13"/>
      <c r="B455" s="14" t="str">
        <f>IF(A455="","",_xlfn.XLOOKUP(A455,'DISPATCH SHEET'!B$3:B$121,'DISPATCH SHEET'!C$3:C$121,""))</f>
        <v/>
      </c>
      <c r="C455" s="14" t="str">
        <f>IF(ISBLANK(A455),"",_xlfn.XLOOKUP(A455,'DISPATCH SHEET'!B$3:B$121,'DISPATCH SHEET'!#REF!,""))</f>
        <v/>
      </c>
      <c r="D455" s="14"/>
      <c r="E455" s="15"/>
      <c r="F455" s="16"/>
      <c r="G455" s="17" t="s">
        <v>0</v>
      </c>
      <c r="H455" s="15"/>
      <c r="I455" s="14" t="s">
        <v>0</v>
      </c>
      <c r="J455" s="14"/>
      <c r="K455" s="18"/>
    </row>
    <row r="456" spans="1:11" s="5" customFormat="1" ht="15" customHeight="1" x14ac:dyDescent="0.2">
      <c r="A456" s="13"/>
      <c r="B456" s="14" t="str">
        <f>IF(A456="","",_xlfn.XLOOKUP(A456,'DISPATCH SHEET'!B$3:B$121,'DISPATCH SHEET'!C$3:C$121,""))</f>
        <v/>
      </c>
      <c r="C456" s="14" t="str">
        <f>IF(ISBLANK(A456),"",_xlfn.XLOOKUP(A456,'DISPATCH SHEET'!B$3:B$121,'DISPATCH SHEET'!#REF!,""))</f>
        <v/>
      </c>
      <c r="D456" s="14"/>
      <c r="E456" s="15"/>
      <c r="F456" s="16"/>
      <c r="G456" s="17" t="s">
        <v>0</v>
      </c>
      <c r="H456" s="15"/>
      <c r="I456" s="14" t="s">
        <v>0</v>
      </c>
      <c r="J456" s="14"/>
      <c r="K456" s="18"/>
    </row>
    <row r="457" spans="1:11" s="5" customFormat="1" ht="15" customHeight="1" x14ac:dyDescent="0.2">
      <c r="A457" s="13"/>
      <c r="B457" s="14" t="str">
        <f>IF(A457="","",_xlfn.XLOOKUP(A457,'DISPATCH SHEET'!B$3:B$121,'DISPATCH SHEET'!C$3:C$121,""))</f>
        <v/>
      </c>
      <c r="C457" s="14" t="str">
        <f>IF(ISBLANK(A457),"",_xlfn.XLOOKUP(A457,'DISPATCH SHEET'!B$3:B$121,'DISPATCH SHEET'!#REF!,""))</f>
        <v/>
      </c>
      <c r="D457" s="14"/>
      <c r="E457" s="15"/>
      <c r="F457" s="16"/>
      <c r="G457" s="17" t="s">
        <v>0</v>
      </c>
      <c r="H457" s="15"/>
      <c r="I457" s="14" t="s">
        <v>0</v>
      </c>
      <c r="J457" s="14"/>
      <c r="K457" s="18"/>
    </row>
    <row r="458" spans="1:11" s="5" customFormat="1" ht="15" customHeight="1" x14ac:dyDescent="0.2">
      <c r="A458" s="13"/>
      <c r="B458" s="14" t="str">
        <f>IF(A458="","",_xlfn.XLOOKUP(A458,'DISPATCH SHEET'!B$3:B$121,'DISPATCH SHEET'!C$3:C$121,""))</f>
        <v/>
      </c>
      <c r="C458" s="14" t="str">
        <f>IF(ISBLANK(A458),"",_xlfn.XLOOKUP(A458,'DISPATCH SHEET'!B$3:B$121,'DISPATCH SHEET'!#REF!,""))</f>
        <v/>
      </c>
      <c r="D458" s="14"/>
      <c r="E458" s="15"/>
      <c r="F458" s="16"/>
      <c r="G458" s="17" t="s">
        <v>0</v>
      </c>
      <c r="H458" s="15"/>
      <c r="I458" s="14" t="s">
        <v>0</v>
      </c>
      <c r="J458" s="14"/>
      <c r="K458" s="18"/>
    </row>
    <row r="459" spans="1:11" s="5" customFormat="1" ht="15" customHeight="1" x14ac:dyDescent="0.2">
      <c r="A459" s="13"/>
      <c r="B459" s="14" t="str">
        <f>IF(A459="","",_xlfn.XLOOKUP(A459,'DISPATCH SHEET'!B$3:B$121,'DISPATCH SHEET'!C$3:C$121,""))</f>
        <v/>
      </c>
      <c r="C459" s="14" t="str">
        <f>IF(ISBLANK(A459),"",_xlfn.XLOOKUP(A459,'DISPATCH SHEET'!B$3:B$121,'DISPATCH SHEET'!#REF!,""))</f>
        <v/>
      </c>
      <c r="D459" s="14"/>
      <c r="E459" s="15"/>
      <c r="F459" s="16"/>
      <c r="G459" s="17" t="s">
        <v>0</v>
      </c>
      <c r="H459" s="15"/>
      <c r="I459" s="14" t="s">
        <v>0</v>
      </c>
      <c r="J459" s="14"/>
      <c r="K459" s="18"/>
    </row>
    <row r="460" spans="1:11" s="5" customFormat="1" ht="15" customHeight="1" x14ac:dyDescent="0.2">
      <c r="A460" s="13"/>
      <c r="B460" s="14" t="str">
        <f>IF(A460="","",_xlfn.XLOOKUP(A460,'DISPATCH SHEET'!B$3:B$121,'DISPATCH SHEET'!C$3:C$121,""))</f>
        <v/>
      </c>
      <c r="C460" s="14" t="str">
        <f>IF(ISBLANK(A460),"",_xlfn.XLOOKUP(A460,'DISPATCH SHEET'!B$3:B$121,'DISPATCH SHEET'!#REF!,""))</f>
        <v/>
      </c>
      <c r="D460" s="14"/>
      <c r="E460" s="15"/>
      <c r="F460" s="16"/>
      <c r="G460" s="17" t="s">
        <v>0</v>
      </c>
      <c r="H460" s="15"/>
      <c r="I460" s="14" t="s">
        <v>0</v>
      </c>
      <c r="J460" s="14"/>
      <c r="K460" s="18"/>
    </row>
    <row r="461" spans="1:11" s="5" customFormat="1" ht="15" customHeight="1" x14ac:dyDescent="0.2">
      <c r="A461" s="13"/>
      <c r="B461" s="14" t="str">
        <f>IF(A461="","",_xlfn.XLOOKUP(A461,'DISPATCH SHEET'!B$3:B$121,'DISPATCH SHEET'!C$3:C$121,""))</f>
        <v/>
      </c>
      <c r="C461" s="14" t="str">
        <f>IF(ISBLANK(A461),"",_xlfn.XLOOKUP(A461,'DISPATCH SHEET'!B$3:B$121,'DISPATCH SHEET'!#REF!,""))</f>
        <v/>
      </c>
      <c r="D461" s="14"/>
      <c r="E461" s="15"/>
      <c r="F461" s="16"/>
      <c r="G461" s="17" t="s">
        <v>0</v>
      </c>
      <c r="H461" s="15"/>
      <c r="I461" s="14" t="s">
        <v>0</v>
      </c>
      <c r="J461" s="14"/>
      <c r="K461" s="18"/>
    </row>
    <row r="462" spans="1:11" s="5" customFormat="1" ht="15" customHeight="1" x14ac:dyDescent="0.2">
      <c r="A462" s="13"/>
      <c r="B462" s="14" t="str">
        <f>IF(A462="","",_xlfn.XLOOKUP(A462,'DISPATCH SHEET'!B$3:B$121,'DISPATCH SHEET'!C$3:C$121,""))</f>
        <v/>
      </c>
      <c r="C462" s="14" t="str">
        <f>IF(ISBLANK(A462),"",_xlfn.XLOOKUP(A462,'DISPATCH SHEET'!B$3:B$121,'DISPATCH SHEET'!#REF!,""))</f>
        <v/>
      </c>
      <c r="D462" s="14"/>
      <c r="E462" s="15"/>
      <c r="F462" s="16"/>
      <c r="G462" s="17" t="s">
        <v>0</v>
      </c>
      <c r="H462" s="15"/>
      <c r="I462" s="14" t="s">
        <v>0</v>
      </c>
      <c r="J462" s="14"/>
      <c r="K462" s="18"/>
    </row>
    <row r="463" spans="1:11" s="5" customFormat="1" ht="15" customHeight="1" x14ac:dyDescent="0.2">
      <c r="A463" s="13"/>
      <c r="B463" s="14" t="str">
        <f>IF(A463="","",_xlfn.XLOOKUP(A463,'DISPATCH SHEET'!B$3:B$121,'DISPATCH SHEET'!C$3:C$121,""))</f>
        <v/>
      </c>
      <c r="C463" s="14" t="str">
        <f>IF(ISBLANK(A463),"",_xlfn.XLOOKUP(A463,'DISPATCH SHEET'!B$3:B$121,'DISPATCH SHEET'!#REF!,""))</f>
        <v/>
      </c>
      <c r="D463" s="14"/>
      <c r="E463" s="15"/>
      <c r="F463" s="16"/>
      <c r="G463" s="17" t="s">
        <v>0</v>
      </c>
      <c r="H463" s="15"/>
      <c r="I463" s="14" t="s">
        <v>0</v>
      </c>
      <c r="J463" s="14"/>
      <c r="K463" s="18"/>
    </row>
    <row r="464" spans="1:11" s="5" customFormat="1" ht="15" customHeight="1" x14ac:dyDescent="0.2">
      <c r="A464" s="13"/>
      <c r="B464" s="14" t="str">
        <f>IF(A464="","",_xlfn.XLOOKUP(A464,'DISPATCH SHEET'!B$3:B$121,'DISPATCH SHEET'!C$3:C$121,""))</f>
        <v/>
      </c>
      <c r="C464" s="14" t="str">
        <f>IF(ISBLANK(A464),"",_xlfn.XLOOKUP(A464,'DISPATCH SHEET'!B$3:B$121,'DISPATCH SHEET'!#REF!,""))</f>
        <v/>
      </c>
      <c r="D464" s="14"/>
      <c r="E464" s="15"/>
      <c r="F464" s="16"/>
      <c r="G464" s="17" t="s">
        <v>0</v>
      </c>
      <c r="H464" s="15"/>
      <c r="I464" s="14" t="s">
        <v>0</v>
      </c>
      <c r="J464" s="14"/>
      <c r="K464" s="18"/>
    </row>
    <row r="465" spans="1:11" s="5" customFormat="1" ht="15" customHeight="1" x14ac:dyDescent="0.2">
      <c r="A465" s="13"/>
      <c r="B465" s="14" t="str">
        <f>IF(A465="","",_xlfn.XLOOKUP(A465,'DISPATCH SHEET'!B$3:B$121,'DISPATCH SHEET'!C$3:C$121,""))</f>
        <v/>
      </c>
      <c r="C465" s="14" t="str">
        <f>IF(ISBLANK(A465),"",_xlfn.XLOOKUP(A465,'DISPATCH SHEET'!B$3:B$121,'DISPATCH SHEET'!#REF!,""))</f>
        <v/>
      </c>
      <c r="D465" s="14"/>
      <c r="E465" s="15"/>
      <c r="F465" s="16"/>
      <c r="G465" s="17" t="s">
        <v>0</v>
      </c>
      <c r="H465" s="15"/>
      <c r="I465" s="14" t="s">
        <v>0</v>
      </c>
      <c r="J465" s="14"/>
      <c r="K465" s="18"/>
    </row>
    <row r="466" spans="1:11" s="5" customFormat="1" ht="15" customHeight="1" x14ac:dyDescent="0.2">
      <c r="A466" s="13"/>
      <c r="B466" s="14" t="str">
        <f>IF(A466="","",_xlfn.XLOOKUP(A466,'DISPATCH SHEET'!B$3:B$121,'DISPATCH SHEET'!C$3:C$121,""))</f>
        <v/>
      </c>
      <c r="C466" s="14" t="str">
        <f>IF(ISBLANK(A466),"",_xlfn.XLOOKUP(A466,'DISPATCH SHEET'!B$3:B$121,'DISPATCH SHEET'!#REF!,""))</f>
        <v/>
      </c>
      <c r="D466" s="14"/>
      <c r="E466" s="15"/>
      <c r="F466" s="16"/>
      <c r="G466" s="17" t="s">
        <v>0</v>
      </c>
      <c r="H466" s="15"/>
      <c r="I466" s="14" t="s">
        <v>0</v>
      </c>
      <c r="J466" s="14"/>
      <c r="K466" s="18"/>
    </row>
    <row r="467" spans="1:11" s="5" customFormat="1" ht="15" customHeight="1" x14ac:dyDescent="0.2">
      <c r="A467" s="13"/>
      <c r="B467" s="14" t="str">
        <f>IF(A467="","",_xlfn.XLOOKUP(A467,'DISPATCH SHEET'!B$3:B$121,'DISPATCH SHEET'!C$3:C$121,""))</f>
        <v/>
      </c>
      <c r="C467" s="14" t="str">
        <f>IF(ISBLANK(A467),"",_xlfn.XLOOKUP(A467,'DISPATCH SHEET'!B$3:B$121,'DISPATCH SHEET'!#REF!,""))</f>
        <v/>
      </c>
      <c r="D467" s="14"/>
      <c r="E467" s="15"/>
      <c r="F467" s="16"/>
      <c r="G467" s="17" t="s">
        <v>0</v>
      </c>
      <c r="H467" s="15"/>
      <c r="I467" s="14" t="s">
        <v>0</v>
      </c>
      <c r="J467" s="14"/>
      <c r="K467" s="18"/>
    </row>
    <row r="468" spans="1:11" s="5" customFormat="1" ht="15" customHeight="1" x14ac:dyDescent="0.2">
      <c r="A468" s="13"/>
      <c r="B468" s="14" t="str">
        <f>IF(A468="","",_xlfn.XLOOKUP(A468,'DISPATCH SHEET'!B$3:B$121,'DISPATCH SHEET'!C$3:C$121,""))</f>
        <v/>
      </c>
      <c r="C468" s="14" t="str">
        <f>IF(ISBLANK(A468),"",_xlfn.XLOOKUP(A468,'DISPATCH SHEET'!B$3:B$121,'DISPATCH SHEET'!#REF!,""))</f>
        <v/>
      </c>
      <c r="D468" s="14"/>
      <c r="E468" s="15"/>
      <c r="F468" s="16"/>
      <c r="G468" s="17" t="s">
        <v>0</v>
      </c>
      <c r="H468" s="15"/>
      <c r="I468" s="14" t="s">
        <v>0</v>
      </c>
      <c r="J468" s="14"/>
      <c r="K468" s="18"/>
    </row>
    <row r="469" spans="1:11" s="5" customFormat="1" ht="15" customHeight="1" x14ac:dyDescent="0.2">
      <c r="A469" s="13"/>
      <c r="B469" s="14" t="str">
        <f>IF(A469="","",_xlfn.XLOOKUP(A469,'DISPATCH SHEET'!B$3:B$121,'DISPATCH SHEET'!C$3:C$121,""))</f>
        <v/>
      </c>
      <c r="C469" s="14" t="str">
        <f>IF(ISBLANK(A469),"",_xlfn.XLOOKUP(A469,'DISPATCH SHEET'!B$3:B$121,'DISPATCH SHEET'!#REF!,""))</f>
        <v/>
      </c>
      <c r="D469" s="14"/>
      <c r="E469" s="15"/>
      <c r="F469" s="16"/>
      <c r="G469" s="17" t="s">
        <v>0</v>
      </c>
      <c r="H469" s="15"/>
      <c r="I469" s="14" t="s">
        <v>0</v>
      </c>
      <c r="J469" s="14"/>
      <c r="K469" s="18"/>
    </row>
    <row r="470" spans="1:11" s="5" customFormat="1" ht="15" customHeight="1" x14ac:dyDescent="0.2">
      <c r="A470" s="13"/>
      <c r="B470" s="14" t="str">
        <f>IF(A470="","",_xlfn.XLOOKUP(A470,'DISPATCH SHEET'!B$3:B$121,'DISPATCH SHEET'!C$3:C$121,""))</f>
        <v/>
      </c>
      <c r="C470" s="14" t="str">
        <f>IF(ISBLANK(A470),"",_xlfn.XLOOKUP(A470,'DISPATCH SHEET'!B$3:B$121,'DISPATCH SHEET'!#REF!,""))</f>
        <v/>
      </c>
      <c r="D470" s="14"/>
      <c r="E470" s="15"/>
      <c r="F470" s="16"/>
      <c r="G470" s="17" t="s">
        <v>0</v>
      </c>
      <c r="H470" s="15"/>
      <c r="I470" s="14" t="s">
        <v>0</v>
      </c>
      <c r="J470" s="14"/>
      <c r="K470" s="18"/>
    </row>
    <row r="471" spans="1:11" s="5" customFormat="1" ht="15" customHeight="1" x14ac:dyDescent="0.2">
      <c r="A471" s="13"/>
      <c r="B471" s="14" t="str">
        <f>IF(A471="","",_xlfn.XLOOKUP(A471,'DISPATCH SHEET'!B$3:B$121,'DISPATCH SHEET'!C$3:C$121,""))</f>
        <v/>
      </c>
      <c r="C471" s="14" t="str">
        <f>IF(ISBLANK(A471),"",_xlfn.XLOOKUP(A471,'DISPATCH SHEET'!B$3:B$121,'DISPATCH SHEET'!#REF!,""))</f>
        <v/>
      </c>
      <c r="D471" s="14"/>
      <c r="E471" s="15"/>
      <c r="F471" s="16"/>
      <c r="G471" s="17" t="s">
        <v>0</v>
      </c>
      <c r="H471" s="15"/>
      <c r="I471" s="14" t="s">
        <v>0</v>
      </c>
      <c r="J471" s="14"/>
      <c r="K471" s="18"/>
    </row>
    <row r="472" spans="1:11" s="5" customFormat="1" ht="15" customHeight="1" x14ac:dyDescent="0.2">
      <c r="A472" s="13"/>
      <c r="B472" s="14" t="str">
        <f>IF(A472="","",_xlfn.XLOOKUP(A472,'DISPATCH SHEET'!B$3:B$121,'DISPATCH SHEET'!C$3:C$121,""))</f>
        <v/>
      </c>
      <c r="C472" s="14" t="str">
        <f>IF(ISBLANK(A472),"",_xlfn.XLOOKUP(A472,'DISPATCH SHEET'!B$3:B$121,'DISPATCH SHEET'!#REF!,""))</f>
        <v/>
      </c>
      <c r="D472" s="14"/>
      <c r="E472" s="15"/>
      <c r="F472" s="16"/>
      <c r="G472" s="17" t="s">
        <v>0</v>
      </c>
      <c r="H472" s="15"/>
      <c r="I472" s="14" t="s">
        <v>0</v>
      </c>
      <c r="J472" s="14"/>
      <c r="K472" s="18"/>
    </row>
    <row r="473" spans="1:11" s="5" customFormat="1" ht="15" customHeight="1" x14ac:dyDescent="0.2">
      <c r="A473" s="13"/>
      <c r="B473" s="14" t="str">
        <f>IF(A473="","",_xlfn.XLOOKUP(A473,'DISPATCH SHEET'!B$3:B$121,'DISPATCH SHEET'!C$3:C$121,""))</f>
        <v/>
      </c>
      <c r="C473" s="14" t="str">
        <f>IF(ISBLANK(A473),"",_xlfn.XLOOKUP(A473,'DISPATCH SHEET'!B$3:B$121,'DISPATCH SHEET'!#REF!,""))</f>
        <v/>
      </c>
      <c r="D473" s="14"/>
      <c r="E473" s="15"/>
      <c r="F473" s="16"/>
      <c r="G473" s="17" t="s">
        <v>0</v>
      </c>
      <c r="H473" s="15"/>
      <c r="I473" s="14" t="s">
        <v>0</v>
      </c>
      <c r="J473" s="14"/>
      <c r="K473" s="18"/>
    </row>
    <row r="474" spans="1:11" s="5" customFormat="1" ht="15" customHeight="1" x14ac:dyDescent="0.2">
      <c r="A474" s="13"/>
      <c r="B474" s="14" t="str">
        <f>IF(A474="","",_xlfn.XLOOKUP(A474,'DISPATCH SHEET'!B$3:B$121,'DISPATCH SHEET'!C$3:C$121,""))</f>
        <v/>
      </c>
      <c r="C474" s="14" t="str">
        <f>IF(ISBLANK(A474),"",_xlfn.XLOOKUP(A474,'DISPATCH SHEET'!B$3:B$121,'DISPATCH SHEET'!#REF!,""))</f>
        <v/>
      </c>
      <c r="D474" s="14"/>
      <c r="E474" s="15"/>
      <c r="F474" s="16"/>
      <c r="G474" s="17" t="s">
        <v>0</v>
      </c>
      <c r="H474" s="15"/>
      <c r="I474" s="14" t="s">
        <v>0</v>
      </c>
      <c r="J474" s="14"/>
      <c r="K474" s="18"/>
    </row>
    <row r="475" spans="1:11" s="5" customFormat="1" ht="15" customHeight="1" x14ac:dyDescent="0.2">
      <c r="A475" s="13"/>
      <c r="B475" s="14" t="str">
        <f>IF(A475="","",_xlfn.XLOOKUP(A475,'DISPATCH SHEET'!B$3:B$121,'DISPATCH SHEET'!C$3:C$121,""))</f>
        <v/>
      </c>
      <c r="C475" s="14" t="str">
        <f>IF(ISBLANK(A475),"",_xlfn.XLOOKUP(A475,'DISPATCH SHEET'!B$3:B$121,'DISPATCH SHEET'!#REF!,""))</f>
        <v/>
      </c>
      <c r="D475" s="14"/>
      <c r="E475" s="15"/>
      <c r="F475" s="16"/>
      <c r="G475" s="17" t="s">
        <v>0</v>
      </c>
      <c r="H475" s="15"/>
      <c r="I475" s="14" t="s">
        <v>0</v>
      </c>
      <c r="J475" s="14"/>
      <c r="K475" s="18"/>
    </row>
    <row r="476" spans="1:11" s="5" customFormat="1" ht="15" customHeight="1" x14ac:dyDescent="0.2">
      <c r="A476" s="13"/>
      <c r="B476" s="14" t="str">
        <f>IF(A476="","",_xlfn.XLOOKUP(A476,'DISPATCH SHEET'!B$3:B$121,'DISPATCH SHEET'!C$3:C$121,""))</f>
        <v/>
      </c>
      <c r="C476" s="14" t="str">
        <f>IF(ISBLANK(A476),"",_xlfn.XLOOKUP(A476,'DISPATCH SHEET'!B$3:B$121,'DISPATCH SHEET'!#REF!,""))</f>
        <v/>
      </c>
      <c r="D476" s="14"/>
      <c r="E476" s="15"/>
      <c r="F476" s="16"/>
      <c r="G476" s="17" t="s">
        <v>0</v>
      </c>
      <c r="H476" s="15"/>
      <c r="I476" s="14" t="s">
        <v>0</v>
      </c>
      <c r="J476" s="14"/>
      <c r="K476" s="18"/>
    </row>
    <row r="477" spans="1:11" s="5" customFormat="1" ht="15" customHeight="1" x14ac:dyDescent="0.2">
      <c r="A477" s="13"/>
      <c r="B477" s="14" t="str">
        <f>IF(A477="","",_xlfn.XLOOKUP(A477,'DISPATCH SHEET'!B$3:B$121,'DISPATCH SHEET'!C$3:C$121,""))</f>
        <v/>
      </c>
      <c r="C477" s="14" t="str">
        <f>IF(ISBLANK(A477),"",_xlfn.XLOOKUP(A477,'DISPATCH SHEET'!B$3:B$121,'DISPATCH SHEET'!#REF!,""))</f>
        <v/>
      </c>
      <c r="D477" s="14"/>
      <c r="E477" s="15"/>
      <c r="F477" s="16"/>
      <c r="G477" s="17" t="s">
        <v>0</v>
      </c>
      <c r="H477" s="15"/>
      <c r="I477" s="14" t="s">
        <v>0</v>
      </c>
      <c r="J477" s="14"/>
      <c r="K477" s="18"/>
    </row>
    <row r="478" spans="1:11" s="5" customFormat="1" ht="15" customHeight="1" x14ac:dyDescent="0.2">
      <c r="A478" s="13"/>
      <c r="B478" s="14" t="str">
        <f>IF(A478="","",_xlfn.XLOOKUP(A478,'DISPATCH SHEET'!B$3:B$121,'DISPATCH SHEET'!C$3:C$121,""))</f>
        <v/>
      </c>
      <c r="C478" s="14" t="str">
        <f>IF(ISBLANK(A478),"",_xlfn.XLOOKUP(A478,'DISPATCH SHEET'!B$3:B$121,'DISPATCH SHEET'!#REF!,""))</f>
        <v/>
      </c>
      <c r="D478" s="14"/>
      <c r="E478" s="15"/>
      <c r="F478" s="16"/>
      <c r="G478" s="17" t="s">
        <v>0</v>
      </c>
      <c r="H478" s="15"/>
      <c r="I478" s="14" t="s">
        <v>0</v>
      </c>
      <c r="J478" s="14"/>
      <c r="K478" s="18"/>
    </row>
    <row r="479" spans="1:11" s="5" customFormat="1" ht="15" customHeight="1" x14ac:dyDescent="0.2">
      <c r="A479" s="13"/>
      <c r="B479" s="14" t="str">
        <f>IF(A479="","",_xlfn.XLOOKUP(A479,'DISPATCH SHEET'!B$3:B$121,'DISPATCH SHEET'!C$3:C$121,""))</f>
        <v/>
      </c>
      <c r="C479" s="14" t="str">
        <f>IF(ISBLANK(A479),"",_xlfn.XLOOKUP(A479,'DISPATCH SHEET'!B$3:B$121,'DISPATCH SHEET'!#REF!,""))</f>
        <v/>
      </c>
      <c r="D479" s="14"/>
      <c r="E479" s="15"/>
      <c r="F479" s="16"/>
      <c r="G479" s="17" t="s">
        <v>0</v>
      </c>
      <c r="H479" s="15"/>
      <c r="I479" s="14" t="s">
        <v>0</v>
      </c>
      <c r="J479" s="14"/>
      <c r="K479" s="18"/>
    </row>
    <row r="480" spans="1:11" s="5" customFormat="1" ht="15" customHeight="1" x14ac:dyDescent="0.2">
      <c r="A480" s="13"/>
      <c r="B480" s="14" t="str">
        <f>IF(A480="","",_xlfn.XLOOKUP(A480,'DISPATCH SHEET'!B$3:B$121,'DISPATCH SHEET'!C$3:C$121,""))</f>
        <v/>
      </c>
      <c r="C480" s="14" t="str">
        <f>IF(ISBLANK(A480),"",_xlfn.XLOOKUP(A480,'DISPATCH SHEET'!B$3:B$121,'DISPATCH SHEET'!#REF!,""))</f>
        <v/>
      </c>
      <c r="D480" s="14"/>
      <c r="E480" s="15"/>
      <c r="F480" s="16"/>
      <c r="G480" s="17" t="s">
        <v>0</v>
      </c>
      <c r="H480" s="15"/>
      <c r="I480" s="14" t="s">
        <v>0</v>
      </c>
      <c r="J480" s="14"/>
      <c r="K480" s="18"/>
    </row>
    <row r="481" spans="1:11" s="5" customFormat="1" ht="15" customHeight="1" x14ac:dyDescent="0.2">
      <c r="A481" s="13"/>
      <c r="B481" s="14" t="str">
        <f>IF(A481="","",_xlfn.XLOOKUP(A481,'DISPATCH SHEET'!B$3:B$121,'DISPATCH SHEET'!C$3:C$121,""))</f>
        <v/>
      </c>
      <c r="C481" s="14" t="str">
        <f>IF(ISBLANK(A481),"",_xlfn.XLOOKUP(A481,'DISPATCH SHEET'!B$3:B$121,'DISPATCH SHEET'!#REF!,""))</f>
        <v/>
      </c>
      <c r="D481" s="14"/>
      <c r="E481" s="15"/>
      <c r="F481" s="16"/>
      <c r="G481" s="17" t="s">
        <v>0</v>
      </c>
      <c r="H481" s="15"/>
      <c r="I481" s="14" t="s">
        <v>0</v>
      </c>
      <c r="J481" s="14"/>
      <c r="K481" s="18"/>
    </row>
    <row r="482" spans="1:11" s="5" customFormat="1" ht="15" customHeight="1" x14ac:dyDescent="0.2">
      <c r="A482" s="13"/>
      <c r="B482" s="14" t="str">
        <f>IF(A482="","",_xlfn.XLOOKUP(A482,'DISPATCH SHEET'!B$3:B$121,'DISPATCH SHEET'!C$3:C$121,""))</f>
        <v/>
      </c>
      <c r="C482" s="14" t="str">
        <f>IF(ISBLANK(A482),"",_xlfn.XLOOKUP(A482,'DISPATCH SHEET'!B$3:B$121,'DISPATCH SHEET'!#REF!,""))</f>
        <v/>
      </c>
      <c r="D482" s="14"/>
      <c r="E482" s="15"/>
      <c r="F482" s="16"/>
      <c r="G482" s="17" t="s">
        <v>0</v>
      </c>
      <c r="H482" s="15"/>
      <c r="I482" s="14" t="s">
        <v>0</v>
      </c>
      <c r="J482" s="14"/>
      <c r="K482" s="18"/>
    </row>
    <row r="483" spans="1:11" s="5" customFormat="1" ht="15" customHeight="1" x14ac:dyDescent="0.2">
      <c r="A483" s="13"/>
      <c r="B483" s="14" t="str">
        <f>IF(A483="","",_xlfn.XLOOKUP(A483,'DISPATCH SHEET'!B$3:B$121,'DISPATCH SHEET'!C$3:C$121,""))</f>
        <v/>
      </c>
      <c r="C483" s="14" t="str">
        <f>IF(ISBLANK(A483),"",_xlfn.XLOOKUP(A483,'DISPATCH SHEET'!B$3:B$121,'DISPATCH SHEET'!#REF!,""))</f>
        <v/>
      </c>
      <c r="D483" s="14"/>
      <c r="E483" s="15"/>
      <c r="F483" s="16"/>
      <c r="G483" s="17" t="s">
        <v>0</v>
      </c>
      <c r="H483" s="15"/>
      <c r="I483" s="14" t="s">
        <v>0</v>
      </c>
      <c r="J483" s="14"/>
      <c r="K483" s="18"/>
    </row>
    <row r="484" spans="1:11" s="5" customFormat="1" ht="15" customHeight="1" x14ac:dyDescent="0.2">
      <c r="A484" s="13"/>
      <c r="B484" s="14" t="str">
        <f>IF(A484="","",_xlfn.XLOOKUP(A484,'DISPATCH SHEET'!B$3:B$121,'DISPATCH SHEET'!C$3:C$121,""))</f>
        <v/>
      </c>
      <c r="C484" s="14" t="str">
        <f>IF(ISBLANK(A484),"",_xlfn.XLOOKUP(A484,'DISPATCH SHEET'!B$3:B$121,'DISPATCH SHEET'!#REF!,""))</f>
        <v/>
      </c>
      <c r="D484" s="14"/>
      <c r="E484" s="15"/>
      <c r="F484" s="16"/>
      <c r="G484" s="17" t="s">
        <v>0</v>
      </c>
      <c r="H484" s="15"/>
      <c r="I484" s="14" t="s">
        <v>0</v>
      </c>
      <c r="J484" s="14"/>
      <c r="K484" s="18"/>
    </row>
    <row r="485" spans="1:11" s="5" customFormat="1" ht="15" customHeight="1" x14ac:dyDescent="0.2">
      <c r="A485" s="13"/>
      <c r="B485" s="14" t="str">
        <f>IF(A485="","",_xlfn.XLOOKUP(A485,'DISPATCH SHEET'!B$3:B$121,'DISPATCH SHEET'!C$3:C$121,""))</f>
        <v/>
      </c>
      <c r="C485" s="14" t="str">
        <f>IF(ISBLANK(A485),"",_xlfn.XLOOKUP(A485,'DISPATCH SHEET'!B$3:B$121,'DISPATCH SHEET'!#REF!,""))</f>
        <v/>
      </c>
      <c r="D485" s="14"/>
      <c r="E485" s="15"/>
      <c r="F485" s="16"/>
      <c r="G485" s="17" t="s">
        <v>0</v>
      </c>
      <c r="H485" s="15"/>
      <c r="I485" s="14" t="s">
        <v>0</v>
      </c>
      <c r="J485" s="14"/>
      <c r="K485" s="18"/>
    </row>
    <row r="486" spans="1:11" s="5" customFormat="1" ht="15" customHeight="1" x14ac:dyDescent="0.2">
      <c r="A486" s="13"/>
      <c r="B486" s="14" t="str">
        <f>IF(A486="","",_xlfn.XLOOKUP(A486,'DISPATCH SHEET'!B$3:B$121,'DISPATCH SHEET'!C$3:C$121,""))</f>
        <v/>
      </c>
      <c r="C486" s="14" t="str">
        <f>IF(ISBLANK(A486),"",_xlfn.XLOOKUP(A486,'DISPATCH SHEET'!B$3:B$121,'DISPATCH SHEET'!#REF!,""))</f>
        <v/>
      </c>
      <c r="D486" s="14"/>
      <c r="E486" s="15"/>
      <c r="F486" s="16"/>
      <c r="G486" s="17" t="s">
        <v>0</v>
      </c>
      <c r="H486" s="15"/>
      <c r="I486" s="14" t="s">
        <v>0</v>
      </c>
      <c r="J486" s="14"/>
      <c r="K486" s="18"/>
    </row>
    <row r="487" spans="1:11" s="5" customFormat="1" ht="15" customHeight="1" x14ac:dyDescent="0.2">
      <c r="A487" s="13"/>
      <c r="B487" s="14" t="str">
        <f>IF(A487="","",_xlfn.XLOOKUP(A487,'DISPATCH SHEET'!B$3:B$121,'DISPATCH SHEET'!C$3:C$121,""))</f>
        <v/>
      </c>
      <c r="C487" s="14" t="str">
        <f>IF(ISBLANK(A487),"",_xlfn.XLOOKUP(A487,'DISPATCH SHEET'!B$3:B$121,'DISPATCH SHEET'!#REF!,""))</f>
        <v/>
      </c>
      <c r="D487" s="14"/>
      <c r="E487" s="15"/>
      <c r="F487" s="16"/>
      <c r="G487" s="17" t="s">
        <v>0</v>
      </c>
      <c r="H487" s="15"/>
      <c r="I487" s="14" t="s">
        <v>0</v>
      </c>
      <c r="J487" s="14"/>
      <c r="K487" s="18"/>
    </row>
    <row r="488" spans="1:11" s="5" customFormat="1" ht="15" customHeight="1" x14ac:dyDescent="0.2">
      <c r="A488" s="13"/>
      <c r="B488" s="14" t="str">
        <f>IF(A488="","",_xlfn.XLOOKUP(A488,'DISPATCH SHEET'!B$3:B$121,'DISPATCH SHEET'!C$3:C$121,""))</f>
        <v/>
      </c>
      <c r="C488" s="14" t="str">
        <f>IF(ISBLANK(A488),"",_xlfn.XLOOKUP(A488,'DISPATCH SHEET'!B$3:B$121,'DISPATCH SHEET'!#REF!,""))</f>
        <v/>
      </c>
      <c r="D488" s="14"/>
      <c r="E488" s="15"/>
      <c r="F488" s="16"/>
      <c r="G488" s="17" t="s">
        <v>0</v>
      </c>
      <c r="H488" s="15"/>
      <c r="I488" s="14" t="s">
        <v>0</v>
      </c>
      <c r="J488" s="14"/>
      <c r="K488" s="18"/>
    </row>
    <row r="489" spans="1:11" s="5" customFormat="1" ht="15" customHeight="1" x14ac:dyDescent="0.2">
      <c r="A489" s="13"/>
      <c r="B489" s="14" t="str">
        <f>IF(A489="","",_xlfn.XLOOKUP(A489,'DISPATCH SHEET'!B$3:B$121,'DISPATCH SHEET'!C$3:C$121,""))</f>
        <v/>
      </c>
      <c r="C489" s="14" t="str">
        <f>IF(ISBLANK(A489),"",_xlfn.XLOOKUP(A489,'DISPATCH SHEET'!B$3:B$121,'DISPATCH SHEET'!#REF!,""))</f>
        <v/>
      </c>
      <c r="D489" s="14"/>
      <c r="E489" s="15"/>
      <c r="F489" s="16"/>
      <c r="G489" s="17" t="s">
        <v>0</v>
      </c>
      <c r="H489" s="15"/>
      <c r="I489" s="14" t="s">
        <v>0</v>
      </c>
      <c r="J489" s="14"/>
      <c r="K489" s="18"/>
    </row>
    <row r="490" spans="1:11" s="5" customFormat="1" ht="15" customHeight="1" x14ac:dyDescent="0.2">
      <c r="A490" s="13"/>
      <c r="B490" s="14" t="str">
        <f>IF(A490="","",_xlfn.XLOOKUP(A490,'DISPATCH SHEET'!B$3:B$121,'DISPATCH SHEET'!C$3:C$121,""))</f>
        <v/>
      </c>
      <c r="C490" s="14" t="str">
        <f>IF(ISBLANK(A490),"",_xlfn.XLOOKUP(A490,'DISPATCH SHEET'!B$3:B$121,'DISPATCH SHEET'!#REF!,""))</f>
        <v/>
      </c>
      <c r="D490" s="14"/>
      <c r="E490" s="15"/>
      <c r="F490" s="16"/>
      <c r="G490" s="17" t="s">
        <v>0</v>
      </c>
      <c r="H490" s="15"/>
      <c r="I490" s="14" t="s">
        <v>0</v>
      </c>
      <c r="J490" s="14"/>
      <c r="K490" s="18"/>
    </row>
    <row r="491" spans="1:11" s="5" customFormat="1" ht="15" customHeight="1" x14ac:dyDescent="0.2">
      <c r="A491" s="13"/>
      <c r="B491" s="14" t="str">
        <f>IF(A491="","",_xlfn.XLOOKUP(A491,'DISPATCH SHEET'!B$3:B$121,'DISPATCH SHEET'!C$3:C$121,""))</f>
        <v/>
      </c>
      <c r="C491" s="14" t="str">
        <f>IF(ISBLANK(A491),"",_xlfn.XLOOKUP(A491,'DISPATCH SHEET'!B$3:B$121,'DISPATCH SHEET'!#REF!,""))</f>
        <v/>
      </c>
      <c r="D491" s="14"/>
      <c r="E491" s="15"/>
      <c r="F491" s="16"/>
      <c r="G491" s="17" t="s">
        <v>0</v>
      </c>
      <c r="H491" s="15"/>
      <c r="I491" s="14" t="s">
        <v>0</v>
      </c>
      <c r="J491" s="14"/>
      <c r="K491" s="18"/>
    </row>
    <row r="492" spans="1:11" s="5" customFormat="1" ht="15" customHeight="1" x14ac:dyDescent="0.2">
      <c r="A492" s="13"/>
      <c r="B492" s="14" t="str">
        <f>IF(A492="","",_xlfn.XLOOKUP(A492,'DISPATCH SHEET'!B$3:B$121,'DISPATCH SHEET'!C$3:C$121,""))</f>
        <v/>
      </c>
      <c r="C492" s="14" t="str">
        <f>IF(ISBLANK(A492),"",_xlfn.XLOOKUP(A492,'DISPATCH SHEET'!B$3:B$121,'DISPATCH SHEET'!#REF!,""))</f>
        <v/>
      </c>
      <c r="D492" s="14"/>
      <c r="E492" s="15"/>
      <c r="F492" s="16"/>
      <c r="G492" s="17" t="s">
        <v>0</v>
      </c>
      <c r="H492" s="15"/>
      <c r="I492" s="14" t="s">
        <v>0</v>
      </c>
      <c r="J492" s="14"/>
      <c r="K492" s="18"/>
    </row>
    <row r="493" spans="1:11" s="5" customFormat="1" ht="15" customHeight="1" x14ac:dyDescent="0.2">
      <c r="A493" s="13"/>
      <c r="B493" s="14" t="str">
        <f>IF(A493="","",_xlfn.XLOOKUP(A493,'DISPATCH SHEET'!B$3:B$121,'DISPATCH SHEET'!C$3:C$121,""))</f>
        <v/>
      </c>
      <c r="C493" s="14" t="str">
        <f>IF(ISBLANK(A493),"",_xlfn.XLOOKUP(A493,'DISPATCH SHEET'!B$3:B$121,'DISPATCH SHEET'!#REF!,""))</f>
        <v/>
      </c>
      <c r="D493" s="14"/>
      <c r="E493" s="15"/>
      <c r="F493" s="16"/>
      <c r="G493" s="17" t="s">
        <v>0</v>
      </c>
      <c r="H493" s="15"/>
      <c r="I493" s="14" t="s">
        <v>0</v>
      </c>
      <c r="J493" s="14"/>
      <c r="K493" s="18"/>
    </row>
    <row r="494" spans="1:11" s="5" customFormat="1" ht="15" customHeight="1" x14ac:dyDescent="0.2">
      <c r="A494" s="13"/>
      <c r="B494" s="14" t="str">
        <f>IF(A494="","",_xlfn.XLOOKUP(A494,'DISPATCH SHEET'!B$3:B$121,'DISPATCH SHEET'!C$3:C$121,""))</f>
        <v/>
      </c>
      <c r="C494" s="14" t="str">
        <f>IF(ISBLANK(A494),"",_xlfn.XLOOKUP(A494,'DISPATCH SHEET'!B$3:B$121,'DISPATCH SHEET'!#REF!,""))</f>
        <v/>
      </c>
      <c r="D494" s="14"/>
      <c r="E494" s="15"/>
      <c r="F494" s="16"/>
      <c r="G494" s="17" t="s">
        <v>0</v>
      </c>
      <c r="H494" s="15"/>
      <c r="I494" s="14" t="s">
        <v>0</v>
      </c>
      <c r="J494" s="14"/>
      <c r="K494" s="18"/>
    </row>
    <row r="495" spans="1:11" s="5" customFormat="1" ht="15" customHeight="1" x14ac:dyDescent="0.2">
      <c r="A495" s="13"/>
      <c r="B495" s="14" t="str">
        <f>IF(A495="","",_xlfn.XLOOKUP(A495,'DISPATCH SHEET'!B$3:B$121,'DISPATCH SHEET'!C$3:C$121,""))</f>
        <v/>
      </c>
      <c r="C495" s="14" t="str">
        <f>IF(ISBLANK(A495),"",_xlfn.XLOOKUP(A495,'DISPATCH SHEET'!B$3:B$121,'DISPATCH SHEET'!#REF!,""))</f>
        <v/>
      </c>
      <c r="D495" s="14"/>
      <c r="E495" s="15"/>
      <c r="F495" s="16"/>
      <c r="G495" s="17" t="s">
        <v>0</v>
      </c>
      <c r="H495" s="15"/>
      <c r="I495" s="14" t="s">
        <v>0</v>
      </c>
      <c r="J495" s="14"/>
      <c r="K495" s="18"/>
    </row>
    <row r="496" spans="1:11" s="5" customFormat="1" ht="15" customHeight="1" x14ac:dyDescent="0.2">
      <c r="A496" s="13"/>
      <c r="B496" s="14" t="str">
        <f>IF(A496="","",_xlfn.XLOOKUP(A496,'DISPATCH SHEET'!B$3:B$121,'DISPATCH SHEET'!C$3:C$121,""))</f>
        <v/>
      </c>
      <c r="C496" s="14" t="str">
        <f>IF(ISBLANK(A496),"",_xlfn.XLOOKUP(A496,'DISPATCH SHEET'!B$3:B$121,'DISPATCH SHEET'!#REF!,""))</f>
        <v/>
      </c>
      <c r="D496" s="14"/>
      <c r="E496" s="15"/>
      <c r="F496" s="16"/>
      <c r="G496" s="17" t="s">
        <v>0</v>
      </c>
      <c r="H496" s="15"/>
      <c r="I496" s="14" t="s">
        <v>0</v>
      </c>
      <c r="J496" s="14"/>
      <c r="K496" s="18"/>
    </row>
    <row r="497" spans="1:11" s="5" customFormat="1" ht="15" customHeight="1" x14ac:dyDescent="0.2">
      <c r="A497" s="13"/>
      <c r="B497" s="14" t="str">
        <f>IF(A497="","",_xlfn.XLOOKUP(A497,'DISPATCH SHEET'!B$3:B$121,'DISPATCH SHEET'!C$3:C$121,""))</f>
        <v/>
      </c>
      <c r="C497" s="14" t="str">
        <f>IF(ISBLANK(A497),"",_xlfn.XLOOKUP(A497,'DISPATCH SHEET'!B$3:B$121,'DISPATCH SHEET'!#REF!,""))</f>
        <v/>
      </c>
      <c r="D497" s="14"/>
      <c r="E497" s="15"/>
      <c r="F497" s="16"/>
      <c r="G497" s="17" t="s">
        <v>0</v>
      </c>
      <c r="H497" s="15"/>
      <c r="I497" s="14" t="s">
        <v>0</v>
      </c>
      <c r="J497" s="14"/>
      <c r="K497" s="18"/>
    </row>
    <row r="498" spans="1:11" s="5" customFormat="1" ht="15" customHeight="1" x14ac:dyDescent="0.2">
      <c r="A498" s="13"/>
      <c r="B498" s="14" t="str">
        <f>IF(A498="","",_xlfn.XLOOKUP(A498,'DISPATCH SHEET'!B$3:B$121,'DISPATCH SHEET'!C$3:C$121,""))</f>
        <v/>
      </c>
      <c r="C498" s="14" t="str">
        <f>IF(ISBLANK(A498),"",_xlfn.XLOOKUP(A498,'DISPATCH SHEET'!B$3:B$121,'DISPATCH SHEET'!#REF!,""))</f>
        <v/>
      </c>
      <c r="D498" s="14"/>
      <c r="E498" s="15"/>
      <c r="F498" s="16"/>
      <c r="G498" s="17" t="s">
        <v>0</v>
      </c>
      <c r="H498" s="15"/>
      <c r="I498" s="14" t="s">
        <v>0</v>
      </c>
      <c r="J498" s="14"/>
      <c r="K498" s="18"/>
    </row>
    <row r="499" spans="1:11" s="5" customFormat="1" ht="15" customHeight="1" x14ac:dyDescent="0.2">
      <c r="A499" s="13"/>
      <c r="B499" s="14" t="str">
        <f>IF(A499="","",_xlfn.XLOOKUP(A499,'DISPATCH SHEET'!B$3:B$121,'DISPATCH SHEET'!C$3:C$121,""))</f>
        <v/>
      </c>
      <c r="C499" s="14" t="str">
        <f>IF(ISBLANK(A499),"",_xlfn.XLOOKUP(A499,'DISPATCH SHEET'!B$3:B$121,'DISPATCH SHEET'!#REF!,""))</f>
        <v/>
      </c>
      <c r="D499" s="14"/>
      <c r="E499" s="15"/>
      <c r="F499" s="16"/>
      <c r="G499" s="17" t="s">
        <v>0</v>
      </c>
      <c r="H499" s="15"/>
      <c r="I499" s="14" t="s">
        <v>0</v>
      </c>
      <c r="J499" s="14"/>
      <c r="K499" s="18"/>
    </row>
    <row r="500" spans="1:11" s="5" customFormat="1" ht="15" customHeight="1" x14ac:dyDescent="0.2">
      <c r="A500" s="13"/>
      <c r="B500" s="14" t="str">
        <f>IF(A500="","",_xlfn.XLOOKUP(A500,'DISPATCH SHEET'!B$3:B$121,'DISPATCH SHEET'!C$3:C$121,""))</f>
        <v/>
      </c>
      <c r="C500" s="14" t="str">
        <f>IF(ISBLANK(A500),"",_xlfn.XLOOKUP(A500,'DISPATCH SHEET'!B$3:B$121,'DISPATCH SHEET'!#REF!,""))</f>
        <v/>
      </c>
      <c r="D500" s="14"/>
      <c r="E500" s="15"/>
      <c r="F500" s="16"/>
      <c r="G500" s="17" t="s">
        <v>0</v>
      </c>
      <c r="H500" s="15"/>
      <c r="I500" s="14" t="s">
        <v>0</v>
      </c>
      <c r="J500" s="14"/>
      <c r="K500" s="18"/>
    </row>
    <row r="501" spans="1:11" s="5" customFormat="1" ht="15" customHeight="1" x14ac:dyDescent="0.2">
      <c r="A501" s="13"/>
      <c r="B501" s="14" t="str">
        <f>IF(A501="","",_xlfn.XLOOKUP(A501,'DISPATCH SHEET'!B$3:B$121,'DISPATCH SHEET'!C$3:C$121,""))</f>
        <v/>
      </c>
      <c r="C501" s="14" t="str">
        <f>IF(ISBLANK(A501),"",_xlfn.XLOOKUP(A501,'DISPATCH SHEET'!B$3:B$121,'DISPATCH SHEET'!#REF!,""))</f>
        <v/>
      </c>
      <c r="D501" s="14"/>
      <c r="E501" s="15"/>
      <c r="F501" s="16"/>
      <c r="G501" s="17" t="s">
        <v>0</v>
      </c>
      <c r="H501" s="15"/>
      <c r="I501" s="14" t="s">
        <v>0</v>
      </c>
      <c r="J501" s="14"/>
      <c r="K501" s="18"/>
    </row>
    <row r="502" spans="1:11" s="5" customFormat="1" ht="15" customHeight="1" x14ac:dyDescent="0.2">
      <c r="A502" s="13"/>
      <c r="B502" s="14" t="str">
        <f>IF(A502="","",_xlfn.XLOOKUP(A502,'DISPATCH SHEET'!B$3:B$121,'DISPATCH SHEET'!C$3:C$121,""))</f>
        <v/>
      </c>
      <c r="C502" s="14" t="str">
        <f>IF(ISBLANK(A502),"",_xlfn.XLOOKUP(A502,'DISPATCH SHEET'!B$3:B$121,'DISPATCH SHEET'!#REF!,""))</f>
        <v/>
      </c>
      <c r="D502" s="14"/>
      <c r="E502" s="15"/>
      <c r="F502" s="16"/>
      <c r="G502" s="17" t="s">
        <v>0</v>
      </c>
      <c r="H502" s="15"/>
      <c r="I502" s="14" t="s">
        <v>0</v>
      </c>
      <c r="J502" s="14"/>
      <c r="K502" s="18"/>
    </row>
    <row r="503" spans="1:11" s="5" customFormat="1" ht="15" customHeight="1" x14ac:dyDescent="0.2">
      <c r="A503" s="13"/>
      <c r="B503" s="14" t="str">
        <f>IF(A503="","",_xlfn.XLOOKUP(A503,'DISPATCH SHEET'!B$3:B$121,'DISPATCH SHEET'!C$3:C$121,""))</f>
        <v/>
      </c>
      <c r="C503" s="14" t="str">
        <f>IF(ISBLANK(A503),"",_xlfn.XLOOKUP(A503,'DISPATCH SHEET'!B$3:B$121,'DISPATCH SHEET'!#REF!,""))</f>
        <v/>
      </c>
      <c r="D503" s="14"/>
      <c r="E503" s="15"/>
      <c r="F503" s="16"/>
      <c r="G503" s="17" t="s">
        <v>0</v>
      </c>
      <c r="H503" s="15"/>
      <c r="I503" s="14" t="s">
        <v>0</v>
      </c>
      <c r="J503" s="14"/>
      <c r="K503" s="18"/>
    </row>
    <row r="504" spans="1:11" s="5" customFormat="1" ht="15" customHeight="1" x14ac:dyDescent="0.2">
      <c r="A504" s="13"/>
      <c r="B504" s="14" t="str">
        <f>IF(A504="","",_xlfn.XLOOKUP(A504,'DISPATCH SHEET'!B$3:B$121,'DISPATCH SHEET'!C$3:C$121,""))</f>
        <v/>
      </c>
      <c r="C504" s="14" t="str">
        <f>IF(ISBLANK(A504),"",_xlfn.XLOOKUP(A504,'DISPATCH SHEET'!B$3:B$121,'DISPATCH SHEET'!#REF!,""))</f>
        <v/>
      </c>
      <c r="D504" s="14"/>
      <c r="E504" s="15"/>
      <c r="F504" s="16"/>
      <c r="G504" s="17" t="s">
        <v>0</v>
      </c>
      <c r="H504" s="15"/>
      <c r="I504" s="14" t="s">
        <v>0</v>
      </c>
      <c r="J504" s="14"/>
      <c r="K504" s="18"/>
    </row>
    <row r="505" spans="1:11" s="5" customFormat="1" ht="15" customHeight="1" x14ac:dyDescent="0.2">
      <c r="A505" s="13"/>
      <c r="B505" s="14" t="str">
        <f>IF(A505="","",_xlfn.XLOOKUP(A505,'DISPATCH SHEET'!B$3:B$121,'DISPATCH SHEET'!C$3:C$121,""))</f>
        <v/>
      </c>
      <c r="C505" s="14" t="str">
        <f>IF(ISBLANK(A505),"",_xlfn.XLOOKUP(A505,'DISPATCH SHEET'!B$3:B$121,'DISPATCH SHEET'!#REF!,""))</f>
        <v/>
      </c>
      <c r="D505" s="14"/>
      <c r="E505" s="15"/>
      <c r="F505" s="16"/>
      <c r="G505" s="17" t="s">
        <v>0</v>
      </c>
      <c r="H505" s="15"/>
      <c r="I505" s="14" t="s">
        <v>0</v>
      </c>
      <c r="J505" s="14"/>
      <c r="K505" s="18"/>
    </row>
    <row r="506" spans="1:11" s="5" customFormat="1" ht="15" customHeight="1" x14ac:dyDescent="0.2">
      <c r="A506" s="13"/>
      <c r="B506" s="14" t="str">
        <f>IF(A506="","",_xlfn.XLOOKUP(A506,'DISPATCH SHEET'!B$3:B$121,'DISPATCH SHEET'!C$3:C$121,""))</f>
        <v/>
      </c>
      <c r="C506" s="14" t="str">
        <f>IF(ISBLANK(A506),"",_xlfn.XLOOKUP(A506,'DISPATCH SHEET'!B$3:B$121,'DISPATCH SHEET'!#REF!,""))</f>
        <v/>
      </c>
      <c r="D506" s="14"/>
      <c r="E506" s="15"/>
      <c r="F506" s="16"/>
      <c r="G506" s="17" t="s">
        <v>0</v>
      </c>
      <c r="H506" s="15"/>
      <c r="I506" s="14" t="s">
        <v>0</v>
      </c>
      <c r="J506" s="14"/>
      <c r="K506" s="18"/>
    </row>
    <row r="507" spans="1:11" s="5" customFormat="1" ht="15" customHeight="1" x14ac:dyDescent="0.2">
      <c r="A507" s="13"/>
      <c r="B507" s="14" t="str">
        <f>IF(A507="","",_xlfn.XLOOKUP(A507,'DISPATCH SHEET'!B$3:B$121,'DISPATCH SHEET'!C$3:C$121,""))</f>
        <v/>
      </c>
      <c r="C507" s="14" t="str">
        <f>IF(ISBLANK(A507),"",_xlfn.XLOOKUP(A507,'DISPATCH SHEET'!B$3:B$121,'DISPATCH SHEET'!#REF!,""))</f>
        <v/>
      </c>
      <c r="D507" s="14"/>
      <c r="E507" s="15"/>
      <c r="F507" s="16"/>
      <c r="G507" s="17" t="s">
        <v>0</v>
      </c>
      <c r="H507" s="15"/>
      <c r="I507" s="14" t="s">
        <v>0</v>
      </c>
      <c r="J507" s="14"/>
      <c r="K507" s="18"/>
    </row>
    <row r="508" spans="1:11" s="5" customFormat="1" ht="15" customHeight="1" x14ac:dyDescent="0.2">
      <c r="A508" s="13"/>
      <c r="B508" s="14" t="str">
        <f>IF(A508="","",_xlfn.XLOOKUP(A508,'DISPATCH SHEET'!B$3:B$121,'DISPATCH SHEET'!C$3:C$121,""))</f>
        <v/>
      </c>
      <c r="C508" s="14" t="str">
        <f>IF(ISBLANK(A508),"",_xlfn.XLOOKUP(A508,'DISPATCH SHEET'!B$3:B$121,'DISPATCH SHEET'!#REF!,""))</f>
        <v/>
      </c>
      <c r="D508" s="14"/>
      <c r="E508" s="15"/>
      <c r="F508" s="16"/>
      <c r="G508" s="17" t="s">
        <v>0</v>
      </c>
      <c r="H508" s="15"/>
      <c r="I508" s="14" t="s">
        <v>0</v>
      </c>
      <c r="J508" s="14"/>
      <c r="K508" s="18"/>
    </row>
    <row r="509" spans="1:11" s="5" customFormat="1" ht="15" customHeight="1" x14ac:dyDescent="0.2">
      <c r="A509" s="13"/>
      <c r="B509" s="14" t="str">
        <f>IF(A509="","",_xlfn.XLOOKUP(A509,'DISPATCH SHEET'!B$3:B$121,'DISPATCH SHEET'!C$3:C$121,""))</f>
        <v/>
      </c>
      <c r="C509" s="14" t="str">
        <f>IF(ISBLANK(A509),"",_xlfn.XLOOKUP(A509,'DISPATCH SHEET'!B$3:B$121,'DISPATCH SHEET'!#REF!,""))</f>
        <v/>
      </c>
      <c r="D509" s="14"/>
      <c r="E509" s="15"/>
      <c r="F509" s="16"/>
      <c r="G509" s="17" t="s">
        <v>0</v>
      </c>
      <c r="H509" s="15"/>
      <c r="I509" s="14" t="s">
        <v>0</v>
      </c>
      <c r="J509" s="14"/>
      <c r="K509" s="18"/>
    </row>
    <row r="510" spans="1:11" s="5" customFormat="1" ht="15" customHeight="1" x14ac:dyDescent="0.2">
      <c r="A510" s="13"/>
      <c r="B510" s="14" t="str">
        <f>IF(A510="","",_xlfn.XLOOKUP(A510,'DISPATCH SHEET'!B$3:B$121,'DISPATCH SHEET'!C$3:C$121,""))</f>
        <v/>
      </c>
      <c r="C510" s="14" t="str">
        <f>IF(ISBLANK(A510),"",_xlfn.XLOOKUP(A510,'DISPATCH SHEET'!B$3:B$121,'DISPATCH SHEET'!#REF!,""))</f>
        <v/>
      </c>
      <c r="D510" s="14"/>
      <c r="E510" s="15"/>
      <c r="F510" s="16"/>
      <c r="G510" s="17" t="s">
        <v>0</v>
      </c>
      <c r="H510" s="15"/>
      <c r="I510" s="14" t="s">
        <v>0</v>
      </c>
      <c r="J510" s="14"/>
      <c r="K510" s="18"/>
    </row>
    <row r="511" spans="1:11" s="5" customFormat="1" ht="15" customHeight="1" x14ac:dyDescent="0.2">
      <c r="A511" s="13"/>
      <c r="B511" s="14" t="str">
        <f>IF(A511="","",_xlfn.XLOOKUP(A511,'DISPATCH SHEET'!B$3:B$121,'DISPATCH SHEET'!C$3:C$121,""))</f>
        <v/>
      </c>
      <c r="C511" s="14" t="str">
        <f>IF(ISBLANK(A511),"",_xlfn.XLOOKUP(A511,'DISPATCH SHEET'!B$3:B$121,'DISPATCH SHEET'!#REF!,""))</f>
        <v/>
      </c>
      <c r="D511" s="14"/>
      <c r="E511" s="15"/>
      <c r="F511" s="16"/>
      <c r="G511" s="17" t="s">
        <v>0</v>
      </c>
      <c r="H511" s="15"/>
      <c r="I511" s="14" t="s">
        <v>0</v>
      </c>
      <c r="J511" s="14"/>
      <c r="K511" s="18"/>
    </row>
    <row r="512" spans="1:11" s="5" customFormat="1" ht="15" customHeight="1" x14ac:dyDescent="0.2">
      <c r="A512" s="13"/>
      <c r="B512" s="14" t="str">
        <f>IF(A512="","",_xlfn.XLOOKUP(A512,'DISPATCH SHEET'!B$3:B$121,'DISPATCH SHEET'!C$3:C$121,""))</f>
        <v/>
      </c>
      <c r="C512" s="14" t="str">
        <f>IF(ISBLANK(A512),"",_xlfn.XLOOKUP(A512,'DISPATCH SHEET'!B$3:B$121,'DISPATCH SHEET'!#REF!,""))</f>
        <v/>
      </c>
      <c r="D512" s="14"/>
      <c r="E512" s="15"/>
      <c r="F512" s="16"/>
      <c r="G512" s="17" t="s">
        <v>0</v>
      </c>
      <c r="H512" s="15"/>
      <c r="I512" s="14" t="s">
        <v>0</v>
      </c>
      <c r="J512" s="14"/>
      <c r="K512" s="18"/>
    </row>
    <row r="513" spans="1:11" s="5" customFormat="1" ht="15" customHeight="1" x14ac:dyDescent="0.2">
      <c r="A513" s="13"/>
      <c r="B513" s="14" t="str">
        <f>IF(A513="","",_xlfn.XLOOKUP(A513,'DISPATCH SHEET'!B$3:B$121,'DISPATCH SHEET'!C$3:C$121,""))</f>
        <v/>
      </c>
      <c r="C513" s="14" t="str">
        <f>IF(ISBLANK(A513),"",_xlfn.XLOOKUP(A513,'DISPATCH SHEET'!B$3:B$121,'DISPATCH SHEET'!#REF!,""))</f>
        <v/>
      </c>
      <c r="D513" s="14"/>
      <c r="E513" s="15"/>
      <c r="F513" s="16"/>
      <c r="G513" s="17" t="s">
        <v>0</v>
      </c>
      <c r="H513" s="15"/>
      <c r="I513" s="14" t="s">
        <v>0</v>
      </c>
      <c r="J513" s="14"/>
      <c r="K513" s="18"/>
    </row>
    <row r="514" spans="1:11" s="5" customFormat="1" ht="15" customHeight="1" x14ac:dyDescent="0.2">
      <c r="A514" s="13"/>
      <c r="B514" s="14" t="str">
        <f>IF(A514="","",_xlfn.XLOOKUP(A514,'DISPATCH SHEET'!B$3:B$121,'DISPATCH SHEET'!C$3:C$121,""))</f>
        <v/>
      </c>
      <c r="C514" s="14" t="str">
        <f>IF(ISBLANK(A514),"",_xlfn.XLOOKUP(A514,'DISPATCH SHEET'!B$3:B$121,'DISPATCH SHEET'!#REF!,""))</f>
        <v/>
      </c>
      <c r="D514" s="14"/>
      <c r="E514" s="15"/>
      <c r="F514" s="16"/>
      <c r="G514" s="17" t="s">
        <v>0</v>
      </c>
      <c r="H514" s="15"/>
      <c r="I514" s="14" t="s">
        <v>0</v>
      </c>
      <c r="J514" s="14"/>
      <c r="K514" s="18"/>
    </row>
    <row r="515" spans="1:11" s="5" customFormat="1" ht="15" customHeight="1" x14ac:dyDescent="0.2">
      <c r="A515" s="13"/>
      <c r="B515" s="14" t="str">
        <f>IF(A515="","",_xlfn.XLOOKUP(A515,'DISPATCH SHEET'!B$3:B$121,'DISPATCH SHEET'!C$3:C$121,""))</f>
        <v/>
      </c>
      <c r="C515" s="14" t="str">
        <f>IF(ISBLANK(A515),"",_xlfn.XLOOKUP(A515,'DISPATCH SHEET'!B$3:B$121,'DISPATCH SHEET'!#REF!,""))</f>
        <v/>
      </c>
      <c r="D515" s="14"/>
      <c r="E515" s="15"/>
      <c r="F515" s="16"/>
      <c r="G515" s="17" t="s">
        <v>0</v>
      </c>
      <c r="H515" s="15"/>
      <c r="I515" s="14" t="s">
        <v>0</v>
      </c>
      <c r="J515" s="14"/>
      <c r="K515" s="18"/>
    </row>
    <row r="516" spans="1:11" s="5" customFormat="1" ht="15" customHeight="1" x14ac:dyDescent="0.2">
      <c r="A516" s="13"/>
      <c r="B516" s="14" t="str">
        <f>IF(A516="","",_xlfn.XLOOKUP(A516,'DISPATCH SHEET'!B$3:B$121,'DISPATCH SHEET'!C$3:C$121,""))</f>
        <v/>
      </c>
      <c r="C516" s="14" t="str">
        <f>IF(ISBLANK(A516),"",_xlfn.XLOOKUP(A516,'DISPATCH SHEET'!B$3:B$121,'DISPATCH SHEET'!#REF!,""))</f>
        <v/>
      </c>
      <c r="D516" s="14"/>
      <c r="E516" s="15"/>
      <c r="F516" s="16"/>
      <c r="G516" s="17" t="s">
        <v>0</v>
      </c>
      <c r="H516" s="15"/>
      <c r="I516" s="14" t="s">
        <v>0</v>
      </c>
      <c r="J516" s="14"/>
      <c r="K516" s="18"/>
    </row>
    <row r="517" spans="1:11" s="5" customFormat="1" ht="15" customHeight="1" x14ac:dyDescent="0.2">
      <c r="A517" s="13"/>
      <c r="B517" s="14" t="str">
        <f>IF(A517="","",_xlfn.XLOOKUP(A517,'DISPATCH SHEET'!B$3:B$121,'DISPATCH SHEET'!C$3:C$121,""))</f>
        <v/>
      </c>
      <c r="C517" s="14" t="str">
        <f>IF(ISBLANK(A517),"",_xlfn.XLOOKUP(A517,'DISPATCH SHEET'!B$3:B$121,'DISPATCH SHEET'!#REF!,""))</f>
        <v/>
      </c>
      <c r="D517" s="14"/>
      <c r="E517" s="15"/>
      <c r="F517" s="16"/>
      <c r="G517" s="17" t="s">
        <v>0</v>
      </c>
      <c r="H517" s="15"/>
      <c r="I517" s="14" t="s">
        <v>0</v>
      </c>
      <c r="J517" s="14"/>
      <c r="K517" s="18"/>
    </row>
    <row r="518" spans="1:11" s="5" customFormat="1" ht="15" customHeight="1" x14ac:dyDescent="0.2">
      <c r="A518" s="13"/>
      <c r="B518" s="14" t="str">
        <f>IF(A518="","",_xlfn.XLOOKUP(A518,'DISPATCH SHEET'!B$3:B$121,'DISPATCH SHEET'!C$3:C$121,""))</f>
        <v/>
      </c>
      <c r="C518" s="14" t="str">
        <f>IF(ISBLANK(A518),"",_xlfn.XLOOKUP(A518,'DISPATCH SHEET'!B$3:B$121,'DISPATCH SHEET'!#REF!,""))</f>
        <v/>
      </c>
      <c r="D518" s="14"/>
      <c r="E518" s="15"/>
      <c r="F518" s="16"/>
      <c r="G518" s="17" t="s">
        <v>0</v>
      </c>
      <c r="H518" s="15"/>
      <c r="I518" s="14" t="s">
        <v>0</v>
      </c>
      <c r="J518" s="14"/>
      <c r="K518" s="18"/>
    </row>
    <row r="519" spans="1:11" s="5" customFormat="1" ht="15" customHeight="1" x14ac:dyDescent="0.2">
      <c r="A519" s="13"/>
      <c r="B519" s="14" t="str">
        <f>IF(A519="","",_xlfn.XLOOKUP(A519,'DISPATCH SHEET'!B$3:B$121,'DISPATCH SHEET'!C$3:C$121,""))</f>
        <v/>
      </c>
      <c r="C519" s="14" t="str">
        <f>IF(ISBLANK(A519),"",_xlfn.XLOOKUP(A519,'DISPATCH SHEET'!B$3:B$121,'DISPATCH SHEET'!#REF!,""))</f>
        <v/>
      </c>
      <c r="D519" s="14"/>
      <c r="E519" s="15"/>
      <c r="F519" s="16"/>
      <c r="G519" s="17" t="s">
        <v>0</v>
      </c>
      <c r="H519" s="15"/>
      <c r="I519" s="14" t="s">
        <v>0</v>
      </c>
      <c r="J519" s="14"/>
      <c r="K519" s="18"/>
    </row>
    <row r="520" spans="1:11" s="5" customFormat="1" ht="15" customHeight="1" x14ac:dyDescent="0.2">
      <c r="A520" s="13"/>
      <c r="B520" s="14" t="str">
        <f>IF(A520="","",_xlfn.XLOOKUP(A520,'DISPATCH SHEET'!B$3:B$121,'DISPATCH SHEET'!C$3:C$121,""))</f>
        <v/>
      </c>
      <c r="C520" s="14" t="str">
        <f>IF(ISBLANK(A520),"",_xlfn.XLOOKUP(A520,'DISPATCH SHEET'!B$3:B$121,'DISPATCH SHEET'!#REF!,""))</f>
        <v/>
      </c>
      <c r="D520" s="14"/>
      <c r="E520" s="15"/>
      <c r="F520" s="16"/>
      <c r="G520" s="17" t="s">
        <v>0</v>
      </c>
      <c r="H520" s="15"/>
      <c r="I520" s="14" t="s">
        <v>0</v>
      </c>
      <c r="J520" s="14"/>
      <c r="K520" s="18"/>
    </row>
    <row r="521" spans="1:11" s="5" customFormat="1" ht="15" customHeight="1" x14ac:dyDescent="0.2">
      <c r="A521" s="13"/>
      <c r="B521" s="14" t="str">
        <f>IF(A521="","",_xlfn.XLOOKUP(A521,'DISPATCH SHEET'!B$3:B$121,'DISPATCH SHEET'!C$3:C$121,""))</f>
        <v/>
      </c>
      <c r="C521" s="14" t="str">
        <f>IF(ISBLANK(A521),"",_xlfn.XLOOKUP(A521,'DISPATCH SHEET'!B$3:B$121,'DISPATCH SHEET'!#REF!,""))</f>
        <v/>
      </c>
      <c r="D521" s="14"/>
      <c r="E521" s="15"/>
      <c r="F521" s="16"/>
      <c r="G521" s="17" t="s">
        <v>0</v>
      </c>
      <c r="H521" s="15"/>
      <c r="I521" s="14" t="s">
        <v>0</v>
      </c>
      <c r="J521" s="14"/>
      <c r="K521" s="18"/>
    </row>
    <row r="522" spans="1:11" s="5" customFormat="1" ht="15" customHeight="1" x14ac:dyDescent="0.2">
      <c r="A522" s="13"/>
      <c r="B522" s="14" t="str">
        <f>IF(A522="","",_xlfn.XLOOKUP(A522,'DISPATCH SHEET'!B$3:B$121,'DISPATCH SHEET'!C$3:C$121,""))</f>
        <v/>
      </c>
      <c r="C522" s="14" t="str">
        <f>IF(ISBLANK(A522),"",_xlfn.XLOOKUP(A522,'DISPATCH SHEET'!B$3:B$121,'DISPATCH SHEET'!#REF!,""))</f>
        <v/>
      </c>
      <c r="D522" s="14"/>
      <c r="E522" s="15"/>
      <c r="F522" s="16"/>
      <c r="G522" s="17" t="s">
        <v>0</v>
      </c>
      <c r="H522" s="15"/>
      <c r="I522" s="14" t="s">
        <v>0</v>
      </c>
      <c r="J522" s="14"/>
      <c r="K522" s="18"/>
    </row>
    <row r="523" spans="1:11" s="5" customFormat="1" ht="15" customHeight="1" x14ac:dyDescent="0.2">
      <c r="A523" s="13"/>
      <c r="B523" s="14" t="str">
        <f>IF(A523="","",_xlfn.XLOOKUP(A523,'DISPATCH SHEET'!B$3:B$121,'DISPATCH SHEET'!C$3:C$121,""))</f>
        <v/>
      </c>
      <c r="C523" s="14" t="str">
        <f>IF(ISBLANK(A523),"",_xlfn.XLOOKUP(A523,'DISPATCH SHEET'!B$3:B$121,'DISPATCH SHEET'!#REF!,""))</f>
        <v/>
      </c>
      <c r="D523" s="14"/>
      <c r="E523" s="15"/>
      <c r="F523" s="16"/>
      <c r="G523" s="17" t="s">
        <v>0</v>
      </c>
      <c r="H523" s="15"/>
      <c r="I523" s="14" t="s">
        <v>0</v>
      </c>
      <c r="J523" s="14"/>
      <c r="K523" s="18"/>
    </row>
    <row r="524" spans="1:11" s="5" customFormat="1" ht="15" customHeight="1" x14ac:dyDescent="0.2">
      <c r="A524" s="13"/>
      <c r="B524" s="14" t="str">
        <f>IF(A524="","",_xlfn.XLOOKUP(A524,'DISPATCH SHEET'!B$3:B$121,'DISPATCH SHEET'!C$3:C$121,""))</f>
        <v/>
      </c>
      <c r="C524" s="14" t="str">
        <f>IF(ISBLANK(A524),"",_xlfn.XLOOKUP(A524,'DISPATCH SHEET'!B$3:B$121,'DISPATCH SHEET'!#REF!,""))</f>
        <v/>
      </c>
      <c r="D524" s="14"/>
      <c r="E524" s="15"/>
      <c r="F524" s="16"/>
      <c r="G524" s="17" t="s">
        <v>0</v>
      </c>
      <c r="H524" s="15"/>
      <c r="I524" s="14" t="s">
        <v>0</v>
      </c>
      <c r="J524" s="14"/>
      <c r="K524" s="18"/>
    </row>
    <row r="525" spans="1:11" s="5" customFormat="1" ht="15" customHeight="1" x14ac:dyDescent="0.2">
      <c r="A525" s="13"/>
      <c r="B525" s="14" t="str">
        <f>IF(A525="","",_xlfn.XLOOKUP(A525,'DISPATCH SHEET'!B$3:B$121,'DISPATCH SHEET'!C$3:C$121,""))</f>
        <v/>
      </c>
      <c r="C525" s="14" t="str">
        <f>IF(ISBLANK(A525),"",_xlfn.XLOOKUP(A525,'DISPATCH SHEET'!B$3:B$121,'DISPATCH SHEET'!#REF!,""))</f>
        <v/>
      </c>
      <c r="D525" s="14"/>
      <c r="E525" s="15"/>
      <c r="F525" s="16"/>
      <c r="G525" s="17" t="s">
        <v>0</v>
      </c>
      <c r="H525" s="15"/>
      <c r="I525" s="14" t="s">
        <v>0</v>
      </c>
      <c r="J525" s="14"/>
      <c r="K525" s="18"/>
    </row>
    <row r="526" spans="1:11" s="5" customFormat="1" ht="15" customHeight="1" x14ac:dyDescent="0.2">
      <c r="A526" s="13"/>
      <c r="B526" s="14" t="str">
        <f>IF(A526="","",_xlfn.XLOOKUP(A526,'DISPATCH SHEET'!B$3:B$121,'DISPATCH SHEET'!C$3:C$121,""))</f>
        <v/>
      </c>
      <c r="C526" s="14" t="str">
        <f>IF(ISBLANK(A526),"",_xlfn.XLOOKUP(A526,'DISPATCH SHEET'!B$3:B$121,'DISPATCH SHEET'!#REF!,""))</f>
        <v/>
      </c>
      <c r="D526" s="14"/>
      <c r="E526" s="15"/>
      <c r="F526" s="16"/>
      <c r="G526" s="17" t="s">
        <v>0</v>
      </c>
      <c r="H526" s="15"/>
      <c r="I526" s="14" t="s">
        <v>0</v>
      </c>
      <c r="J526" s="14"/>
      <c r="K526" s="18"/>
    </row>
    <row r="527" spans="1:11" s="5" customFormat="1" ht="15" customHeight="1" x14ac:dyDescent="0.2">
      <c r="A527" s="13"/>
      <c r="B527" s="14" t="str">
        <f>IF(A527="","",_xlfn.XLOOKUP(A527,'DISPATCH SHEET'!B$3:B$121,'DISPATCH SHEET'!C$3:C$121,""))</f>
        <v/>
      </c>
      <c r="C527" s="14" t="str">
        <f>IF(ISBLANK(A527),"",_xlfn.XLOOKUP(A527,'DISPATCH SHEET'!B$3:B$121,'DISPATCH SHEET'!#REF!,""))</f>
        <v/>
      </c>
      <c r="D527" s="14"/>
      <c r="E527" s="15"/>
      <c r="F527" s="16"/>
      <c r="G527" s="17" t="s">
        <v>0</v>
      </c>
      <c r="H527" s="15"/>
      <c r="I527" s="14" t="s">
        <v>0</v>
      </c>
      <c r="J527" s="14"/>
      <c r="K527" s="18"/>
    </row>
    <row r="528" spans="1:11" s="5" customFormat="1" ht="15" customHeight="1" x14ac:dyDescent="0.2">
      <c r="A528" s="13"/>
      <c r="B528" s="14" t="str">
        <f>IF(A528="","",_xlfn.XLOOKUP(A528,'DISPATCH SHEET'!B$3:B$121,'DISPATCH SHEET'!C$3:C$121,""))</f>
        <v/>
      </c>
      <c r="C528" s="14" t="str">
        <f>IF(ISBLANK(A528),"",_xlfn.XLOOKUP(A528,'DISPATCH SHEET'!B$3:B$121,'DISPATCH SHEET'!#REF!,""))</f>
        <v/>
      </c>
      <c r="D528" s="14"/>
      <c r="E528" s="15"/>
      <c r="F528" s="16"/>
      <c r="G528" s="17" t="s">
        <v>0</v>
      </c>
      <c r="H528" s="15"/>
      <c r="I528" s="14" t="s">
        <v>0</v>
      </c>
      <c r="J528" s="14"/>
      <c r="K528" s="18"/>
    </row>
    <row r="529" spans="1:11" s="5" customFormat="1" ht="15" customHeight="1" x14ac:dyDescent="0.2">
      <c r="A529" s="13"/>
      <c r="B529" s="14" t="str">
        <f>IF(A529="","",_xlfn.XLOOKUP(A529,'DISPATCH SHEET'!B$3:B$121,'DISPATCH SHEET'!C$3:C$121,""))</f>
        <v/>
      </c>
      <c r="C529" s="14" t="str">
        <f>IF(ISBLANK(A529),"",_xlfn.XLOOKUP(A529,'DISPATCH SHEET'!B$3:B$121,'DISPATCH SHEET'!#REF!,""))</f>
        <v/>
      </c>
      <c r="D529" s="14"/>
      <c r="E529" s="15"/>
      <c r="F529" s="16"/>
      <c r="G529" s="17" t="s">
        <v>0</v>
      </c>
      <c r="H529" s="15"/>
      <c r="I529" s="14" t="s">
        <v>0</v>
      </c>
      <c r="J529" s="14"/>
      <c r="K529" s="18"/>
    </row>
    <row r="530" spans="1:11" s="5" customFormat="1" ht="15" customHeight="1" x14ac:dyDescent="0.2">
      <c r="A530" s="13"/>
      <c r="B530" s="14" t="str">
        <f>IF(A530="","",_xlfn.XLOOKUP(A530,'DISPATCH SHEET'!B$3:B$121,'DISPATCH SHEET'!C$3:C$121,""))</f>
        <v/>
      </c>
      <c r="C530" s="14" t="str">
        <f>IF(ISBLANK(A530),"",_xlfn.XLOOKUP(A530,'DISPATCH SHEET'!B$3:B$121,'DISPATCH SHEET'!#REF!,""))</f>
        <v/>
      </c>
      <c r="D530" s="14"/>
      <c r="E530" s="15"/>
      <c r="F530" s="16"/>
      <c r="G530" s="17" t="s">
        <v>0</v>
      </c>
      <c r="H530" s="15"/>
      <c r="I530" s="14" t="s">
        <v>0</v>
      </c>
      <c r="J530" s="14"/>
      <c r="K530" s="18"/>
    </row>
    <row r="531" spans="1:11" s="5" customFormat="1" ht="15" customHeight="1" x14ac:dyDescent="0.2">
      <c r="A531" s="13"/>
      <c r="B531" s="14" t="str">
        <f>IF(A531="","",_xlfn.XLOOKUP(A531,'DISPATCH SHEET'!B$3:B$121,'DISPATCH SHEET'!C$3:C$121,""))</f>
        <v/>
      </c>
      <c r="C531" s="14" t="str">
        <f>IF(ISBLANK(A531),"",_xlfn.XLOOKUP(A531,'DISPATCH SHEET'!B$3:B$121,'DISPATCH SHEET'!#REF!,""))</f>
        <v/>
      </c>
      <c r="D531" s="14"/>
      <c r="E531" s="15"/>
      <c r="F531" s="16"/>
      <c r="G531" s="17" t="s">
        <v>0</v>
      </c>
      <c r="H531" s="15"/>
      <c r="I531" s="14" t="s">
        <v>0</v>
      </c>
      <c r="J531" s="14"/>
      <c r="K531" s="18"/>
    </row>
    <row r="532" spans="1:11" s="5" customFormat="1" ht="15" customHeight="1" x14ac:dyDescent="0.2">
      <c r="A532" s="13"/>
      <c r="B532" s="14" t="str">
        <f>IF(A532="","",_xlfn.XLOOKUP(A532,'DISPATCH SHEET'!B$3:B$121,'DISPATCH SHEET'!C$3:C$121,""))</f>
        <v/>
      </c>
      <c r="C532" s="14" t="str">
        <f>IF(ISBLANK(A532),"",_xlfn.XLOOKUP(A532,'DISPATCH SHEET'!B$3:B$121,'DISPATCH SHEET'!#REF!,""))</f>
        <v/>
      </c>
      <c r="D532" s="14"/>
      <c r="E532" s="15"/>
      <c r="F532" s="16"/>
      <c r="G532" s="17" t="s">
        <v>0</v>
      </c>
      <c r="H532" s="15"/>
      <c r="I532" s="14" t="s">
        <v>0</v>
      </c>
      <c r="J532" s="14"/>
      <c r="K532" s="18"/>
    </row>
    <row r="533" spans="1:11" s="5" customFormat="1" ht="15" customHeight="1" x14ac:dyDescent="0.2">
      <c r="A533" s="13"/>
      <c r="B533" s="14" t="str">
        <f>IF(A533="","",_xlfn.XLOOKUP(A533,'DISPATCH SHEET'!B$3:B$121,'DISPATCH SHEET'!C$3:C$121,""))</f>
        <v/>
      </c>
      <c r="C533" s="14" t="str">
        <f>IF(ISBLANK(A533),"",_xlfn.XLOOKUP(A533,'DISPATCH SHEET'!B$3:B$121,'DISPATCH SHEET'!#REF!,""))</f>
        <v/>
      </c>
      <c r="D533" s="14"/>
      <c r="E533" s="15"/>
      <c r="F533" s="16"/>
      <c r="G533" s="17" t="s">
        <v>0</v>
      </c>
      <c r="H533" s="15"/>
      <c r="I533" s="14" t="s">
        <v>0</v>
      </c>
      <c r="J533" s="14"/>
      <c r="K533" s="18"/>
    </row>
    <row r="534" spans="1:11" s="5" customFormat="1" ht="15" customHeight="1" x14ac:dyDescent="0.2">
      <c r="A534" s="13"/>
      <c r="B534" s="14" t="str">
        <f>IF(A534="","",_xlfn.XLOOKUP(A534,'DISPATCH SHEET'!B$3:B$121,'DISPATCH SHEET'!C$3:C$121,""))</f>
        <v/>
      </c>
      <c r="C534" s="14" t="str">
        <f>IF(ISBLANK(A534),"",_xlfn.XLOOKUP(A534,'DISPATCH SHEET'!B$3:B$121,'DISPATCH SHEET'!#REF!,""))</f>
        <v/>
      </c>
      <c r="D534" s="14"/>
      <c r="E534" s="15"/>
      <c r="F534" s="16"/>
      <c r="G534" s="17" t="s">
        <v>0</v>
      </c>
      <c r="H534" s="15"/>
      <c r="I534" s="14" t="s">
        <v>0</v>
      </c>
      <c r="J534" s="14"/>
      <c r="K534" s="18"/>
    </row>
    <row r="535" spans="1:11" s="5" customFormat="1" ht="15" customHeight="1" x14ac:dyDescent="0.2">
      <c r="A535" s="13"/>
      <c r="B535" s="14" t="str">
        <f>IF(A535="","",_xlfn.XLOOKUP(A535,'DISPATCH SHEET'!B$3:B$121,'DISPATCH SHEET'!C$3:C$121,""))</f>
        <v/>
      </c>
      <c r="C535" s="14" t="str">
        <f>IF(ISBLANK(A535),"",_xlfn.XLOOKUP(A535,'DISPATCH SHEET'!B$3:B$121,'DISPATCH SHEET'!#REF!,""))</f>
        <v/>
      </c>
      <c r="D535" s="14"/>
      <c r="E535" s="15"/>
      <c r="F535" s="16"/>
      <c r="G535" s="17" t="s">
        <v>0</v>
      </c>
      <c r="H535" s="15"/>
      <c r="I535" s="14" t="s">
        <v>0</v>
      </c>
      <c r="J535" s="14"/>
      <c r="K535" s="18"/>
    </row>
    <row r="536" spans="1:11" s="5" customFormat="1" ht="15" customHeight="1" x14ac:dyDescent="0.2">
      <c r="A536" s="13"/>
      <c r="B536" s="14" t="str">
        <f>IF(A536="","",_xlfn.XLOOKUP(A536,'DISPATCH SHEET'!B$3:B$121,'DISPATCH SHEET'!C$3:C$121,""))</f>
        <v/>
      </c>
      <c r="C536" s="14" t="str">
        <f>IF(ISBLANK(A536),"",_xlfn.XLOOKUP(A536,'DISPATCH SHEET'!B$3:B$121,'DISPATCH SHEET'!#REF!,""))</f>
        <v/>
      </c>
      <c r="D536" s="14"/>
      <c r="E536" s="15"/>
      <c r="F536" s="16"/>
      <c r="G536" s="17" t="s">
        <v>0</v>
      </c>
      <c r="H536" s="15"/>
      <c r="I536" s="14" t="s">
        <v>0</v>
      </c>
      <c r="J536" s="14"/>
      <c r="K536" s="18"/>
    </row>
    <row r="537" spans="1:11" s="5" customFormat="1" ht="15" customHeight="1" x14ac:dyDescent="0.2">
      <c r="A537" s="13"/>
      <c r="B537" s="14" t="str">
        <f>IF(A537="","",_xlfn.XLOOKUP(A537,'DISPATCH SHEET'!B$3:B$121,'DISPATCH SHEET'!C$3:C$121,""))</f>
        <v/>
      </c>
      <c r="C537" s="14" t="str">
        <f>IF(ISBLANK(A537),"",_xlfn.XLOOKUP(A537,'DISPATCH SHEET'!B$3:B$121,'DISPATCH SHEET'!#REF!,""))</f>
        <v/>
      </c>
      <c r="D537" s="14"/>
      <c r="E537" s="15"/>
      <c r="F537" s="16"/>
      <c r="G537" s="17" t="s">
        <v>0</v>
      </c>
      <c r="H537" s="15"/>
      <c r="I537" s="14" t="s">
        <v>0</v>
      </c>
      <c r="J537" s="14"/>
      <c r="K537" s="18"/>
    </row>
    <row r="538" spans="1:11" s="5" customFormat="1" ht="15" customHeight="1" x14ac:dyDescent="0.2">
      <c r="A538" s="13"/>
      <c r="B538" s="14" t="str">
        <f>IF(A538="","",_xlfn.XLOOKUP(A538,'DISPATCH SHEET'!B$3:B$121,'DISPATCH SHEET'!C$3:C$121,""))</f>
        <v/>
      </c>
      <c r="C538" s="14" t="str">
        <f>IF(ISBLANK(A538),"",_xlfn.XLOOKUP(A538,'DISPATCH SHEET'!B$3:B$121,'DISPATCH SHEET'!#REF!,""))</f>
        <v/>
      </c>
      <c r="D538" s="14"/>
      <c r="E538" s="15"/>
      <c r="F538" s="16"/>
      <c r="G538" s="17" t="s">
        <v>0</v>
      </c>
      <c r="H538" s="15"/>
      <c r="I538" s="14" t="s">
        <v>0</v>
      </c>
      <c r="J538" s="14"/>
      <c r="K538" s="18"/>
    </row>
    <row r="539" spans="1:11" s="5" customFormat="1" ht="15" customHeight="1" x14ac:dyDescent="0.2">
      <c r="A539" s="13"/>
      <c r="B539" s="14" t="str">
        <f>IF(A539="","",_xlfn.XLOOKUP(A539,'DISPATCH SHEET'!B$3:B$121,'DISPATCH SHEET'!C$3:C$121,""))</f>
        <v/>
      </c>
      <c r="C539" s="14" t="str">
        <f>IF(ISBLANK(A539),"",_xlfn.XLOOKUP(A539,'DISPATCH SHEET'!B$3:B$121,'DISPATCH SHEET'!#REF!,""))</f>
        <v/>
      </c>
      <c r="D539" s="14"/>
      <c r="E539" s="15"/>
      <c r="F539" s="16"/>
      <c r="G539" s="17" t="s">
        <v>0</v>
      </c>
      <c r="H539" s="15"/>
      <c r="I539" s="14" t="s">
        <v>0</v>
      </c>
      <c r="J539" s="14"/>
      <c r="K539" s="18"/>
    </row>
    <row r="540" spans="1:11" s="5" customFormat="1" ht="15" customHeight="1" x14ac:dyDescent="0.2">
      <c r="A540" s="13"/>
      <c r="B540" s="14" t="str">
        <f>IF(A540="","",_xlfn.XLOOKUP(A540,'DISPATCH SHEET'!B$3:B$121,'DISPATCH SHEET'!C$3:C$121,""))</f>
        <v/>
      </c>
      <c r="C540" s="14" t="str">
        <f>IF(ISBLANK(A540),"",_xlfn.XLOOKUP(A540,'DISPATCH SHEET'!B$3:B$121,'DISPATCH SHEET'!#REF!,""))</f>
        <v/>
      </c>
      <c r="D540" s="14"/>
      <c r="E540" s="15"/>
      <c r="F540" s="16"/>
      <c r="G540" s="17" t="s">
        <v>0</v>
      </c>
      <c r="H540" s="15"/>
      <c r="I540" s="14" t="s">
        <v>0</v>
      </c>
      <c r="J540" s="14"/>
      <c r="K540" s="18"/>
    </row>
    <row r="541" spans="1:11" s="5" customFormat="1" ht="15" customHeight="1" x14ac:dyDescent="0.2">
      <c r="A541" s="13"/>
      <c r="B541" s="14" t="str">
        <f>IF(A541="","",_xlfn.XLOOKUP(A541,'DISPATCH SHEET'!B$3:B$121,'DISPATCH SHEET'!C$3:C$121,""))</f>
        <v/>
      </c>
      <c r="C541" s="14" t="str">
        <f>IF(ISBLANK(A541),"",_xlfn.XLOOKUP(A541,'DISPATCH SHEET'!B$3:B$121,'DISPATCH SHEET'!#REF!,""))</f>
        <v/>
      </c>
      <c r="D541" s="14"/>
      <c r="E541" s="15"/>
      <c r="F541" s="16"/>
      <c r="G541" s="17" t="s">
        <v>0</v>
      </c>
      <c r="H541" s="15"/>
      <c r="I541" s="14" t="s">
        <v>0</v>
      </c>
      <c r="J541" s="14"/>
      <c r="K541" s="18"/>
    </row>
    <row r="542" spans="1:11" s="5" customFormat="1" ht="15" customHeight="1" x14ac:dyDescent="0.2">
      <c r="A542" s="13"/>
      <c r="B542" s="14" t="str">
        <f>IF(A542="","",_xlfn.XLOOKUP(A542,'DISPATCH SHEET'!B$3:B$121,'DISPATCH SHEET'!C$3:C$121,""))</f>
        <v/>
      </c>
      <c r="C542" s="14" t="str">
        <f>IF(ISBLANK(A542),"",_xlfn.XLOOKUP(A542,'DISPATCH SHEET'!B$3:B$121,'DISPATCH SHEET'!#REF!,""))</f>
        <v/>
      </c>
      <c r="D542" s="14"/>
      <c r="E542" s="15"/>
      <c r="F542" s="16"/>
      <c r="G542" s="17" t="s">
        <v>0</v>
      </c>
      <c r="H542" s="15"/>
      <c r="I542" s="14" t="s">
        <v>0</v>
      </c>
      <c r="J542" s="14"/>
      <c r="K542" s="18"/>
    </row>
    <row r="543" spans="1:11" s="5" customFormat="1" ht="15" customHeight="1" x14ac:dyDescent="0.2">
      <c r="A543" s="13"/>
      <c r="B543" s="14" t="str">
        <f>IF(A543="","",_xlfn.XLOOKUP(A543,'DISPATCH SHEET'!B$3:B$121,'DISPATCH SHEET'!C$3:C$121,""))</f>
        <v/>
      </c>
      <c r="C543" s="14" t="str">
        <f>IF(ISBLANK(A543),"",_xlfn.XLOOKUP(A543,'DISPATCH SHEET'!B$3:B$121,'DISPATCH SHEET'!#REF!,""))</f>
        <v/>
      </c>
      <c r="D543" s="14"/>
      <c r="E543" s="15"/>
      <c r="F543" s="16"/>
      <c r="G543" s="17" t="s">
        <v>0</v>
      </c>
      <c r="H543" s="15"/>
      <c r="I543" s="14" t="s">
        <v>0</v>
      </c>
      <c r="J543" s="14"/>
      <c r="K543" s="18"/>
    </row>
    <row r="544" spans="1:11" s="5" customFormat="1" ht="15" customHeight="1" x14ac:dyDescent="0.2">
      <c r="A544" s="13"/>
      <c r="B544" s="14" t="str">
        <f>IF(A544="","",_xlfn.XLOOKUP(A544,'DISPATCH SHEET'!B$3:B$121,'DISPATCH SHEET'!C$3:C$121,""))</f>
        <v/>
      </c>
      <c r="C544" s="14" t="str">
        <f>IF(ISBLANK(A544),"",_xlfn.XLOOKUP(A544,'DISPATCH SHEET'!B$3:B$121,'DISPATCH SHEET'!#REF!,""))</f>
        <v/>
      </c>
      <c r="D544" s="14"/>
      <c r="E544" s="15"/>
      <c r="F544" s="16"/>
      <c r="G544" s="17" t="s">
        <v>0</v>
      </c>
      <c r="H544" s="15"/>
      <c r="I544" s="14" t="s">
        <v>0</v>
      </c>
      <c r="J544" s="14"/>
      <c r="K544" s="18"/>
    </row>
    <row r="545" spans="1:11" s="5" customFormat="1" ht="15" customHeight="1" x14ac:dyDescent="0.2">
      <c r="A545" s="13"/>
      <c r="B545" s="14" t="str">
        <f>IF(A545="","",_xlfn.XLOOKUP(A545,'DISPATCH SHEET'!B$3:B$121,'DISPATCH SHEET'!C$3:C$121,""))</f>
        <v/>
      </c>
      <c r="C545" s="14" t="str">
        <f>IF(ISBLANK(A545),"",_xlfn.XLOOKUP(A545,'DISPATCH SHEET'!B$3:B$121,'DISPATCH SHEET'!#REF!,""))</f>
        <v/>
      </c>
      <c r="D545" s="14"/>
      <c r="E545" s="15"/>
      <c r="F545" s="16"/>
      <c r="G545" s="17" t="s">
        <v>0</v>
      </c>
      <c r="H545" s="15"/>
      <c r="I545" s="14" t="s">
        <v>0</v>
      </c>
      <c r="J545" s="14"/>
      <c r="K545" s="18"/>
    </row>
    <row r="546" spans="1:11" s="5" customFormat="1" ht="15" customHeight="1" x14ac:dyDescent="0.2">
      <c r="A546" s="13"/>
      <c r="B546" s="14" t="str">
        <f>IF(A546="","",_xlfn.XLOOKUP(A546,'DISPATCH SHEET'!B$3:B$121,'DISPATCH SHEET'!C$3:C$121,""))</f>
        <v/>
      </c>
      <c r="C546" s="14" t="str">
        <f>IF(ISBLANK(A546),"",_xlfn.XLOOKUP(A546,'DISPATCH SHEET'!B$3:B$121,'DISPATCH SHEET'!#REF!,""))</f>
        <v/>
      </c>
      <c r="D546" s="14"/>
      <c r="E546" s="15"/>
      <c r="F546" s="16"/>
      <c r="G546" s="17" t="s">
        <v>0</v>
      </c>
      <c r="H546" s="15"/>
      <c r="I546" s="14" t="s">
        <v>0</v>
      </c>
      <c r="J546" s="14"/>
      <c r="K546" s="18"/>
    </row>
    <row r="547" spans="1:11" s="5" customFormat="1" ht="15" customHeight="1" x14ac:dyDescent="0.2">
      <c r="A547" s="13"/>
      <c r="B547" s="14" t="str">
        <f>IF(A547="","",_xlfn.XLOOKUP(A547,'DISPATCH SHEET'!B$3:B$121,'DISPATCH SHEET'!C$3:C$121,""))</f>
        <v/>
      </c>
      <c r="C547" s="14" t="str">
        <f>IF(ISBLANK(A547),"",_xlfn.XLOOKUP(A547,'DISPATCH SHEET'!B$3:B$121,'DISPATCH SHEET'!#REF!,""))</f>
        <v/>
      </c>
      <c r="D547" s="14"/>
      <c r="E547" s="15"/>
      <c r="F547" s="16"/>
      <c r="G547" s="17" t="s">
        <v>0</v>
      </c>
      <c r="H547" s="15"/>
      <c r="I547" s="14" t="s">
        <v>0</v>
      </c>
      <c r="J547" s="14"/>
      <c r="K547" s="18"/>
    </row>
    <row r="548" spans="1:11" s="5" customFormat="1" ht="15" customHeight="1" x14ac:dyDescent="0.2">
      <c r="A548" s="13"/>
      <c r="B548" s="14" t="str">
        <f>IF(A548="","",_xlfn.XLOOKUP(A548,'DISPATCH SHEET'!B$3:B$121,'DISPATCH SHEET'!C$3:C$121,""))</f>
        <v/>
      </c>
      <c r="C548" s="14" t="str">
        <f>IF(ISBLANK(A548),"",_xlfn.XLOOKUP(A548,'DISPATCH SHEET'!B$3:B$121,'DISPATCH SHEET'!#REF!,""))</f>
        <v/>
      </c>
      <c r="D548" s="14"/>
      <c r="E548" s="15"/>
      <c r="F548" s="16"/>
      <c r="G548" s="17" t="s">
        <v>0</v>
      </c>
      <c r="H548" s="15"/>
      <c r="I548" s="14" t="s">
        <v>0</v>
      </c>
      <c r="J548" s="14"/>
      <c r="K548" s="18"/>
    </row>
    <row r="549" spans="1:11" s="5" customFormat="1" ht="15" customHeight="1" x14ac:dyDescent="0.2">
      <c r="A549" s="13"/>
      <c r="B549" s="14" t="str">
        <f>IF(A549="","",_xlfn.XLOOKUP(A549,'DISPATCH SHEET'!B$3:B$121,'DISPATCH SHEET'!C$3:C$121,""))</f>
        <v/>
      </c>
      <c r="C549" s="14" t="str">
        <f>IF(ISBLANK(A549),"",_xlfn.XLOOKUP(A549,'DISPATCH SHEET'!B$3:B$121,'DISPATCH SHEET'!#REF!,""))</f>
        <v/>
      </c>
      <c r="D549" s="14"/>
      <c r="E549" s="15"/>
      <c r="F549" s="16"/>
      <c r="G549" s="17" t="s">
        <v>0</v>
      </c>
      <c r="H549" s="15"/>
      <c r="I549" s="14" t="s">
        <v>0</v>
      </c>
      <c r="J549" s="14"/>
      <c r="K549" s="18"/>
    </row>
    <row r="550" spans="1:11" s="5" customFormat="1" ht="15" customHeight="1" x14ac:dyDescent="0.2">
      <c r="A550" s="13"/>
      <c r="B550" s="14" t="str">
        <f>IF(A550="","",_xlfn.XLOOKUP(A550,'DISPATCH SHEET'!B$3:B$121,'DISPATCH SHEET'!C$3:C$121,""))</f>
        <v/>
      </c>
      <c r="C550" s="14" t="str">
        <f>IF(ISBLANK(A550),"",_xlfn.XLOOKUP(A550,'DISPATCH SHEET'!B$3:B$121,'DISPATCH SHEET'!#REF!,""))</f>
        <v/>
      </c>
      <c r="D550" s="14"/>
      <c r="E550" s="15"/>
      <c r="F550" s="16"/>
      <c r="G550" s="17" t="s">
        <v>0</v>
      </c>
      <c r="H550" s="15"/>
      <c r="I550" s="14" t="s">
        <v>0</v>
      </c>
      <c r="J550" s="14"/>
      <c r="K550" s="18"/>
    </row>
    <row r="551" spans="1:11" s="5" customFormat="1" ht="15" customHeight="1" x14ac:dyDescent="0.2">
      <c r="A551" s="13"/>
      <c r="B551" s="14" t="str">
        <f>IF(A551="","",_xlfn.XLOOKUP(A551,'DISPATCH SHEET'!B$3:B$121,'DISPATCH SHEET'!C$3:C$121,""))</f>
        <v/>
      </c>
      <c r="C551" s="14" t="str">
        <f>IF(ISBLANK(A551),"",_xlfn.XLOOKUP(A551,'DISPATCH SHEET'!B$3:B$121,'DISPATCH SHEET'!#REF!,""))</f>
        <v/>
      </c>
      <c r="D551" s="14"/>
      <c r="E551" s="15"/>
      <c r="F551" s="16"/>
      <c r="G551" s="17" t="s">
        <v>0</v>
      </c>
      <c r="H551" s="15"/>
      <c r="I551" s="14" t="s">
        <v>0</v>
      </c>
      <c r="J551" s="14"/>
      <c r="K551" s="18"/>
    </row>
    <row r="552" spans="1:11" s="5" customFormat="1" ht="15" customHeight="1" x14ac:dyDescent="0.2">
      <c r="A552" s="13"/>
      <c r="B552" s="14" t="str">
        <f>IF(A552="","",_xlfn.XLOOKUP(A552,'DISPATCH SHEET'!B$3:B$121,'DISPATCH SHEET'!C$3:C$121,""))</f>
        <v/>
      </c>
      <c r="C552" s="14" t="str">
        <f>IF(ISBLANK(A552),"",_xlfn.XLOOKUP(A552,'DISPATCH SHEET'!B$3:B$121,'DISPATCH SHEET'!#REF!,""))</f>
        <v/>
      </c>
      <c r="D552" s="14"/>
      <c r="E552" s="15"/>
      <c r="F552" s="16"/>
      <c r="G552" s="17" t="s">
        <v>0</v>
      </c>
      <c r="H552" s="15"/>
      <c r="I552" s="14" t="s">
        <v>0</v>
      </c>
      <c r="J552" s="14"/>
      <c r="K552" s="18"/>
    </row>
    <row r="553" spans="1:11" s="5" customFormat="1" ht="15" customHeight="1" x14ac:dyDescent="0.2">
      <c r="A553" s="13"/>
      <c r="B553" s="14" t="str">
        <f>IF(A553="","",_xlfn.XLOOKUP(A553,'DISPATCH SHEET'!B$3:B$121,'DISPATCH SHEET'!C$3:C$121,""))</f>
        <v/>
      </c>
      <c r="C553" s="14" t="str">
        <f>IF(ISBLANK(A553),"",_xlfn.XLOOKUP(A553,'DISPATCH SHEET'!B$3:B$121,'DISPATCH SHEET'!#REF!,""))</f>
        <v/>
      </c>
      <c r="D553" s="14"/>
      <c r="E553" s="15"/>
      <c r="F553" s="16"/>
      <c r="G553" s="17" t="s">
        <v>0</v>
      </c>
      <c r="H553" s="15"/>
      <c r="I553" s="14" t="s">
        <v>0</v>
      </c>
      <c r="J553" s="14"/>
      <c r="K553" s="18"/>
    </row>
    <row r="554" spans="1:11" s="5" customFormat="1" ht="15" customHeight="1" x14ac:dyDescent="0.2">
      <c r="A554" s="13"/>
      <c r="B554" s="14" t="str">
        <f>IF(A554="","",_xlfn.XLOOKUP(A554,'DISPATCH SHEET'!B$3:B$121,'DISPATCH SHEET'!C$3:C$121,""))</f>
        <v/>
      </c>
      <c r="C554" s="14" t="str">
        <f>IF(ISBLANK(A554),"",_xlfn.XLOOKUP(A554,'DISPATCH SHEET'!B$3:B$121,'DISPATCH SHEET'!#REF!,""))</f>
        <v/>
      </c>
      <c r="D554" s="14"/>
      <c r="E554" s="15"/>
      <c r="F554" s="16"/>
      <c r="G554" s="17" t="s">
        <v>0</v>
      </c>
      <c r="H554" s="15"/>
      <c r="I554" s="14" t="s">
        <v>0</v>
      </c>
      <c r="J554" s="14"/>
      <c r="K554" s="18"/>
    </row>
    <row r="555" spans="1:11" s="5" customFormat="1" ht="15" customHeight="1" x14ac:dyDescent="0.2">
      <c r="A555" s="13"/>
      <c r="B555" s="14" t="str">
        <f>IF(A555="","",_xlfn.XLOOKUP(A555,'DISPATCH SHEET'!B$3:B$121,'DISPATCH SHEET'!C$3:C$121,""))</f>
        <v/>
      </c>
      <c r="C555" s="14" t="str">
        <f>IF(ISBLANK(A555),"",_xlfn.XLOOKUP(A555,'DISPATCH SHEET'!B$3:B$121,'DISPATCH SHEET'!#REF!,""))</f>
        <v/>
      </c>
      <c r="D555" s="14"/>
      <c r="E555" s="15"/>
      <c r="F555" s="16"/>
      <c r="G555" s="17" t="s">
        <v>0</v>
      </c>
      <c r="H555" s="15"/>
      <c r="I555" s="14" t="s">
        <v>0</v>
      </c>
      <c r="J555" s="14"/>
      <c r="K555" s="18"/>
    </row>
    <row r="556" spans="1:11" s="5" customFormat="1" ht="15" customHeight="1" x14ac:dyDescent="0.2">
      <c r="A556" s="13"/>
      <c r="B556" s="14" t="str">
        <f>IF(A556="","",_xlfn.XLOOKUP(A556,'DISPATCH SHEET'!B$3:B$121,'DISPATCH SHEET'!C$3:C$121,""))</f>
        <v/>
      </c>
      <c r="C556" s="14" t="str">
        <f>IF(ISBLANK(A556),"",_xlfn.XLOOKUP(A556,'DISPATCH SHEET'!B$3:B$121,'DISPATCH SHEET'!#REF!,""))</f>
        <v/>
      </c>
      <c r="D556" s="14"/>
      <c r="E556" s="15"/>
      <c r="F556" s="16"/>
      <c r="G556" s="17" t="s">
        <v>0</v>
      </c>
      <c r="H556" s="15"/>
      <c r="I556" s="14" t="s">
        <v>0</v>
      </c>
      <c r="J556" s="14"/>
      <c r="K556" s="18"/>
    </row>
    <row r="557" spans="1:11" s="5" customFormat="1" ht="15" customHeight="1" x14ac:dyDescent="0.2">
      <c r="A557" s="13"/>
      <c r="B557" s="14" t="str">
        <f>IF(A557="","",_xlfn.XLOOKUP(A557,'DISPATCH SHEET'!B$3:B$121,'DISPATCH SHEET'!C$3:C$121,""))</f>
        <v/>
      </c>
      <c r="C557" s="14" t="str">
        <f>IF(ISBLANK(A557),"",_xlfn.XLOOKUP(A557,'DISPATCH SHEET'!B$3:B$121,'DISPATCH SHEET'!#REF!,""))</f>
        <v/>
      </c>
      <c r="D557" s="14"/>
      <c r="E557" s="15"/>
      <c r="F557" s="16"/>
      <c r="G557" s="17" t="s">
        <v>0</v>
      </c>
      <c r="H557" s="15"/>
      <c r="I557" s="14" t="s">
        <v>0</v>
      </c>
      <c r="J557" s="14"/>
      <c r="K557" s="18"/>
    </row>
    <row r="558" spans="1:11" s="5" customFormat="1" ht="15" customHeight="1" x14ac:dyDescent="0.2">
      <c r="A558" s="13"/>
      <c r="B558" s="14" t="str">
        <f>IF(A558="","",_xlfn.XLOOKUP(A558,'DISPATCH SHEET'!B$3:B$121,'DISPATCH SHEET'!C$3:C$121,""))</f>
        <v/>
      </c>
      <c r="C558" s="14" t="str">
        <f>IF(ISBLANK(A558),"",_xlfn.XLOOKUP(A558,'DISPATCH SHEET'!B$3:B$121,'DISPATCH SHEET'!#REF!,""))</f>
        <v/>
      </c>
      <c r="D558" s="14"/>
      <c r="E558" s="15"/>
      <c r="F558" s="16"/>
      <c r="G558" s="17" t="s">
        <v>0</v>
      </c>
      <c r="H558" s="15"/>
      <c r="I558" s="14" t="s">
        <v>0</v>
      </c>
      <c r="J558" s="14"/>
      <c r="K558" s="18"/>
    </row>
    <row r="559" spans="1:11" s="5" customFormat="1" ht="15" customHeight="1" x14ac:dyDescent="0.2">
      <c r="A559" s="13"/>
      <c r="B559" s="14" t="str">
        <f>IF(A559="","",_xlfn.XLOOKUP(A559,'DISPATCH SHEET'!B$3:B$121,'DISPATCH SHEET'!C$3:C$121,""))</f>
        <v/>
      </c>
      <c r="C559" s="14" t="str">
        <f>IF(ISBLANK(A559),"",_xlfn.XLOOKUP(A559,'DISPATCH SHEET'!B$3:B$121,'DISPATCH SHEET'!#REF!,""))</f>
        <v/>
      </c>
      <c r="D559" s="14"/>
      <c r="E559" s="15"/>
      <c r="F559" s="16"/>
      <c r="G559" s="17" t="s">
        <v>0</v>
      </c>
      <c r="H559" s="15"/>
      <c r="I559" s="14" t="s">
        <v>0</v>
      </c>
      <c r="J559" s="14"/>
      <c r="K559" s="18"/>
    </row>
    <row r="560" spans="1:11" s="5" customFormat="1" ht="15" customHeight="1" x14ac:dyDescent="0.2">
      <c r="A560" s="13"/>
      <c r="B560" s="14" t="str">
        <f>IF(A560="","",_xlfn.XLOOKUP(A560,'DISPATCH SHEET'!B$3:B$121,'DISPATCH SHEET'!C$3:C$121,""))</f>
        <v/>
      </c>
      <c r="C560" s="14" t="str">
        <f>IF(ISBLANK(A560),"",_xlfn.XLOOKUP(A560,'DISPATCH SHEET'!B$3:B$121,'DISPATCH SHEET'!#REF!,""))</f>
        <v/>
      </c>
      <c r="D560" s="14"/>
      <c r="E560" s="15"/>
      <c r="F560" s="16"/>
      <c r="G560" s="17" t="s">
        <v>0</v>
      </c>
      <c r="H560" s="15"/>
      <c r="I560" s="14" t="s">
        <v>0</v>
      </c>
      <c r="J560" s="14"/>
      <c r="K560" s="18"/>
    </row>
    <row r="561" spans="1:11" s="5" customFormat="1" ht="15" customHeight="1" x14ac:dyDescent="0.2">
      <c r="A561" s="13"/>
      <c r="B561" s="14" t="str">
        <f>IF(A561="","",_xlfn.XLOOKUP(A561,'DISPATCH SHEET'!B$3:B$121,'DISPATCH SHEET'!C$3:C$121,""))</f>
        <v/>
      </c>
      <c r="C561" s="14" t="str">
        <f>IF(ISBLANK(A561),"",_xlfn.XLOOKUP(A561,'DISPATCH SHEET'!B$3:B$121,'DISPATCH SHEET'!#REF!,""))</f>
        <v/>
      </c>
      <c r="D561" s="14"/>
      <c r="E561" s="15"/>
      <c r="F561" s="16"/>
      <c r="G561" s="17" t="s">
        <v>0</v>
      </c>
      <c r="H561" s="15"/>
      <c r="I561" s="14" t="s">
        <v>0</v>
      </c>
      <c r="J561" s="14"/>
      <c r="K561" s="18"/>
    </row>
    <row r="562" spans="1:11" s="5" customFormat="1" ht="15" customHeight="1" x14ac:dyDescent="0.2">
      <c r="A562" s="13"/>
      <c r="B562" s="14" t="str">
        <f>IF(A562="","",_xlfn.XLOOKUP(A562,'DISPATCH SHEET'!B$3:B$121,'DISPATCH SHEET'!C$3:C$121,""))</f>
        <v/>
      </c>
      <c r="C562" s="14" t="str">
        <f>IF(ISBLANK(A562),"",_xlfn.XLOOKUP(A562,'DISPATCH SHEET'!B$3:B$121,'DISPATCH SHEET'!#REF!,""))</f>
        <v/>
      </c>
      <c r="D562" s="14"/>
      <c r="E562" s="15"/>
      <c r="F562" s="16"/>
      <c r="G562" s="17" t="s">
        <v>0</v>
      </c>
      <c r="H562" s="15"/>
      <c r="I562" s="14" t="s">
        <v>0</v>
      </c>
      <c r="J562" s="14"/>
      <c r="K562" s="18"/>
    </row>
    <row r="563" spans="1:11" s="5" customFormat="1" ht="15" customHeight="1" x14ac:dyDescent="0.2">
      <c r="A563" s="13"/>
      <c r="B563" s="14" t="str">
        <f>IF(A563="","",_xlfn.XLOOKUP(A563,'DISPATCH SHEET'!B$3:B$121,'DISPATCH SHEET'!C$3:C$121,""))</f>
        <v/>
      </c>
      <c r="C563" s="14" t="str">
        <f>IF(ISBLANK(A563),"",_xlfn.XLOOKUP(A563,'DISPATCH SHEET'!B$3:B$121,'DISPATCH SHEET'!#REF!,""))</f>
        <v/>
      </c>
      <c r="D563" s="14"/>
      <c r="E563" s="15"/>
      <c r="F563" s="16"/>
      <c r="G563" s="17" t="s">
        <v>0</v>
      </c>
      <c r="H563" s="15"/>
      <c r="I563" s="14" t="s">
        <v>0</v>
      </c>
      <c r="J563" s="14"/>
      <c r="K563" s="18"/>
    </row>
    <row r="564" spans="1:11" s="5" customFormat="1" ht="15" customHeight="1" x14ac:dyDescent="0.2">
      <c r="A564" s="13"/>
      <c r="B564" s="14" t="str">
        <f>IF(A564="","",_xlfn.XLOOKUP(A564,'DISPATCH SHEET'!B$3:B$121,'DISPATCH SHEET'!C$3:C$121,""))</f>
        <v/>
      </c>
      <c r="C564" s="14" t="str">
        <f>IF(ISBLANK(A564),"",_xlfn.XLOOKUP(A564,'DISPATCH SHEET'!B$3:B$121,'DISPATCH SHEET'!#REF!,""))</f>
        <v/>
      </c>
      <c r="D564" s="14"/>
      <c r="E564" s="15"/>
      <c r="F564" s="16"/>
      <c r="G564" s="17" t="s">
        <v>0</v>
      </c>
      <c r="H564" s="15"/>
      <c r="I564" s="14" t="s">
        <v>0</v>
      </c>
      <c r="J564" s="14"/>
      <c r="K564" s="18"/>
    </row>
    <row r="565" spans="1:11" s="5" customFormat="1" ht="15" customHeight="1" x14ac:dyDescent="0.2">
      <c r="A565" s="13"/>
      <c r="B565" s="14" t="str">
        <f>IF(A565="","",_xlfn.XLOOKUP(A565,'DISPATCH SHEET'!B$3:B$121,'DISPATCH SHEET'!C$3:C$121,""))</f>
        <v/>
      </c>
      <c r="C565" s="14" t="str">
        <f>IF(ISBLANK(A565),"",_xlfn.XLOOKUP(A565,'DISPATCH SHEET'!B$3:B$121,'DISPATCH SHEET'!#REF!,""))</f>
        <v/>
      </c>
      <c r="D565" s="14"/>
      <c r="E565" s="15"/>
      <c r="F565" s="16"/>
      <c r="G565" s="17" t="s">
        <v>0</v>
      </c>
      <c r="H565" s="15"/>
      <c r="I565" s="14" t="s">
        <v>0</v>
      </c>
      <c r="J565" s="14"/>
      <c r="K565" s="18"/>
    </row>
    <row r="566" spans="1:11" s="5" customFormat="1" ht="15" customHeight="1" x14ac:dyDescent="0.2">
      <c r="A566" s="13"/>
      <c r="B566" s="14" t="str">
        <f>IF(A566="","",_xlfn.XLOOKUP(A566,'DISPATCH SHEET'!B$3:B$121,'DISPATCH SHEET'!C$3:C$121,""))</f>
        <v/>
      </c>
      <c r="C566" s="14" t="str">
        <f>IF(ISBLANK(A566),"",_xlfn.XLOOKUP(A566,'DISPATCH SHEET'!B$3:B$121,'DISPATCH SHEET'!#REF!,""))</f>
        <v/>
      </c>
      <c r="D566" s="14"/>
      <c r="E566" s="15"/>
      <c r="F566" s="16"/>
      <c r="G566" s="17" t="s">
        <v>0</v>
      </c>
      <c r="H566" s="15"/>
      <c r="I566" s="14" t="s">
        <v>0</v>
      </c>
      <c r="J566" s="14"/>
      <c r="K566" s="18"/>
    </row>
    <row r="567" spans="1:11" s="5" customFormat="1" ht="15" customHeight="1" x14ac:dyDescent="0.2">
      <c r="A567" s="13"/>
      <c r="B567" s="14" t="str">
        <f>IF(A567="","",_xlfn.XLOOKUP(A567,'DISPATCH SHEET'!B$3:B$121,'DISPATCH SHEET'!C$3:C$121,""))</f>
        <v/>
      </c>
      <c r="C567" s="14" t="str">
        <f>IF(ISBLANK(A567),"",_xlfn.XLOOKUP(A567,'DISPATCH SHEET'!B$3:B$121,'DISPATCH SHEET'!#REF!,""))</f>
        <v/>
      </c>
      <c r="D567" s="14"/>
      <c r="E567" s="15"/>
      <c r="F567" s="16"/>
      <c r="G567" s="17" t="s">
        <v>0</v>
      </c>
      <c r="H567" s="15"/>
      <c r="I567" s="14" t="s">
        <v>0</v>
      </c>
      <c r="J567" s="14"/>
      <c r="K567" s="18"/>
    </row>
    <row r="568" spans="1:11" s="5" customFormat="1" ht="15" customHeight="1" x14ac:dyDescent="0.2">
      <c r="A568" s="13"/>
      <c r="B568" s="14" t="str">
        <f>IF(A568="","",_xlfn.XLOOKUP(A568,'DISPATCH SHEET'!B$3:B$121,'DISPATCH SHEET'!C$3:C$121,""))</f>
        <v/>
      </c>
      <c r="C568" s="14" t="str">
        <f>IF(ISBLANK(A568),"",_xlfn.XLOOKUP(A568,'DISPATCH SHEET'!B$3:B$121,'DISPATCH SHEET'!#REF!,""))</f>
        <v/>
      </c>
      <c r="D568" s="14"/>
      <c r="E568" s="15"/>
      <c r="F568" s="16"/>
      <c r="G568" s="17" t="s">
        <v>0</v>
      </c>
      <c r="H568" s="15"/>
      <c r="I568" s="14" t="s">
        <v>0</v>
      </c>
      <c r="J568" s="14"/>
      <c r="K568" s="18"/>
    </row>
    <row r="569" spans="1:11" s="5" customFormat="1" ht="15" customHeight="1" x14ac:dyDescent="0.2">
      <c r="A569" s="13"/>
      <c r="B569" s="14" t="str">
        <f>IF(A569="","",_xlfn.XLOOKUP(A569,'DISPATCH SHEET'!B$3:B$121,'DISPATCH SHEET'!C$3:C$121,""))</f>
        <v/>
      </c>
      <c r="C569" s="14" t="str">
        <f>IF(ISBLANK(A569),"",_xlfn.XLOOKUP(A569,'DISPATCH SHEET'!B$3:B$121,'DISPATCH SHEET'!#REF!,""))</f>
        <v/>
      </c>
      <c r="D569" s="14"/>
      <c r="E569" s="15"/>
      <c r="F569" s="16"/>
      <c r="G569" s="17" t="s">
        <v>0</v>
      </c>
      <c r="H569" s="15"/>
      <c r="I569" s="14" t="s">
        <v>0</v>
      </c>
      <c r="J569" s="14"/>
      <c r="K569" s="18"/>
    </row>
    <row r="570" spans="1:11" s="5" customFormat="1" ht="15" customHeight="1" x14ac:dyDescent="0.2">
      <c r="A570" s="13"/>
      <c r="B570" s="14" t="str">
        <f>IF(A570="","",_xlfn.XLOOKUP(A570,'DISPATCH SHEET'!B$3:B$121,'DISPATCH SHEET'!C$3:C$121,""))</f>
        <v/>
      </c>
      <c r="C570" s="14" t="str">
        <f>IF(ISBLANK(A570),"",_xlfn.XLOOKUP(A570,'DISPATCH SHEET'!B$3:B$121,'DISPATCH SHEET'!#REF!,""))</f>
        <v/>
      </c>
      <c r="D570" s="14"/>
      <c r="E570" s="15"/>
      <c r="F570" s="16"/>
      <c r="G570" s="17" t="s">
        <v>0</v>
      </c>
      <c r="H570" s="15"/>
      <c r="I570" s="14" t="s">
        <v>0</v>
      </c>
      <c r="J570" s="14"/>
      <c r="K570" s="18"/>
    </row>
    <row r="571" spans="1:11" s="5" customFormat="1" ht="15" customHeight="1" x14ac:dyDescent="0.2">
      <c r="A571" s="13"/>
      <c r="B571" s="14" t="str">
        <f>IF(A571="","",_xlfn.XLOOKUP(A571,'DISPATCH SHEET'!B$3:B$121,'DISPATCH SHEET'!C$3:C$121,""))</f>
        <v/>
      </c>
      <c r="C571" s="14" t="str">
        <f>IF(ISBLANK(A571),"",_xlfn.XLOOKUP(A571,'DISPATCH SHEET'!B$3:B$121,'DISPATCH SHEET'!#REF!,""))</f>
        <v/>
      </c>
      <c r="D571" s="14"/>
      <c r="E571" s="15"/>
      <c r="F571" s="16"/>
      <c r="G571" s="17" t="s">
        <v>0</v>
      </c>
      <c r="H571" s="15"/>
      <c r="I571" s="14" t="s">
        <v>0</v>
      </c>
      <c r="J571" s="14"/>
      <c r="K571" s="18"/>
    </row>
    <row r="572" spans="1:11" s="5" customFormat="1" ht="15" customHeight="1" x14ac:dyDescent="0.2">
      <c r="A572" s="13"/>
      <c r="B572" s="14" t="str">
        <f>IF(A572="","",_xlfn.XLOOKUP(A572,'DISPATCH SHEET'!B$3:B$121,'DISPATCH SHEET'!C$3:C$121,""))</f>
        <v/>
      </c>
      <c r="C572" s="14" t="str">
        <f>IF(ISBLANK(A572),"",_xlfn.XLOOKUP(A572,'DISPATCH SHEET'!B$3:B$121,'DISPATCH SHEET'!#REF!,""))</f>
        <v/>
      </c>
      <c r="D572" s="14"/>
      <c r="E572" s="15"/>
      <c r="F572" s="16"/>
      <c r="G572" s="17" t="s">
        <v>0</v>
      </c>
      <c r="H572" s="15"/>
      <c r="I572" s="14" t="s">
        <v>0</v>
      </c>
      <c r="J572" s="14"/>
      <c r="K572" s="18"/>
    </row>
    <row r="573" spans="1:11" s="5" customFormat="1" ht="15" customHeight="1" x14ac:dyDescent="0.2">
      <c r="A573" s="13"/>
      <c r="B573" s="14" t="str">
        <f>IF(A573="","",_xlfn.XLOOKUP(A573,'DISPATCH SHEET'!B$3:B$121,'DISPATCH SHEET'!C$3:C$121,""))</f>
        <v/>
      </c>
      <c r="C573" s="14" t="str">
        <f>IF(ISBLANK(A573),"",_xlfn.XLOOKUP(A573,'DISPATCH SHEET'!B$3:B$121,'DISPATCH SHEET'!#REF!,""))</f>
        <v/>
      </c>
      <c r="D573" s="14"/>
      <c r="E573" s="15"/>
      <c r="F573" s="16"/>
      <c r="G573" s="17" t="s">
        <v>0</v>
      </c>
      <c r="H573" s="15"/>
      <c r="I573" s="14" t="s">
        <v>0</v>
      </c>
      <c r="J573" s="14"/>
      <c r="K573" s="18"/>
    </row>
    <row r="574" spans="1:11" s="5" customFormat="1" ht="15" customHeight="1" x14ac:dyDescent="0.2">
      <c r="A574" s="13"/>
      <c r="B574" s="14" t="str">
        <f>IF(A574="","",_xlfn.XLOOKUP(A574,'DISPATCH SHEET'!B$3:B$121,'DISPATCH SHEET'!C$3:C$121,""))</f>
        <v/>
      </c>
      <c r="C574" s="14" t="str">
        <f>IF(ISBLANK(A574),"",_xlfn.XLOOKUP(A574,'DISPATCH SHEET'!B$3:B$121,'DISPATCH SHEET'!#REF!,""))</f>
        <v/>
      </c>
      <c r="D574" s="14"/>
      <c r="E574" s="15"/>
      <c r="F574" s="16"/>
      <c r="G574" s="17" t="s">
        <v>0</v>
      </c>
      <c r="H574" s="15"/>
      <c r="I574" s="14" t="s">
        <v>0</v>
      </c>
      <c r="J574" s="14"/>
      <c r="K574" s="18"/>
    </row>
    <row r="575" spans="1:11" s="5" customFormat="1" ht="15" customHeight="1" x14ac:dyDescent="0.2">
      <c r="A575" s="13"/>
      <c r="B575" s="14" t="str">
        <f>IF(A575="","",_xlfn.XLOOKUP(A575,'DISPATCH SHEET'!B$3:B$121,'DISPATCH SHEET'!C$3:C$121,""))</f>
        <v/>
      </c>
      <c r="C575" s="14" t="str">
        <f>IF(ISBLANK(A575),"",_xlfn.XLOOKUP(A575,'DISPATCH SHEET'!B$3:B$121,'DISPATCH SHEET'!#REF!,""))</f>
        <v/>
      </c>
      <c r="D575" s="14"/>
      <c r="E575" s="15"/>
      <c r="F575" s="16"/>
      <c r="G575" s="17" t="s">
        <v>0</v>
      </c>
      <c r="H575" s="15"/>
      <c r="I575" s="14" t="s">
        <v>0</v>
      </c>
      <c r="J575" s="14"/>
      <c r="K575" s="18"/>
    </row>
    <row r="576" spans="1:11" s="5" customFormat="1" ht="15" customHeight="1" x14ac:dyDescent="0.2">
      <c r="A576" s="13"/>
      <c r="B576" s="14" t="str">
        <f>IF(A576="","",_xlfn.XLOOKUP(A576,'DISPATCH SHEET'!B$3:B$121,'DISPATCH SHEET'!C$3:C$121,""))</f>
        <v/>
      </c>
      <c r="C576" s="14" t="str">
        <f>IF(ISBLANK(A576),"",_xlfn.XLOOKUP(A576,'DISPATCH SHEET'!B$3:B$121,'DISPATCH SHEET'!#REF!,""))</f>
        <v/>
      </c>
      <c r="D576" s="14"/>
      <c r="E576" s="15"/>
      <c r="F576" s="16"/>
      <c r="G576" s="17" t="s">
        <v>0</v>
      </c>
      <c r="H576" s="15"/>
      <c r="I576" s="14" t="s">
        <v>0</v>
      </c>
      <c r="J576" s="14"/>
      <c r="K576" s="18"/>
    </row>
    <row r="577" spans="1:11" s="5" customFormat="1" ht="15" customHeight="1" x14ac:dyDescent="0.2">
      <c r="A577" s="13"/>
      <c r="B577" s="14" t="str">
        <f>IF(A577="","",_xlfn.XLOOKUP(A577,'DISPATCH SHEET'!B$3:B$121,'DISPATCH SHEET'!C$3:C$121,""))</f>
        <v/>
      </c>
      <c r="C577" s="14" t="str">
        <f>IF(ISBLANK(A577),"",_xlfn.XLOOKUP(A577,'DISPATCH SHEET'!B$3:B$121,'DISPATCH SHEET'!#REF!,""))</f>
        <v/>
      </c>
      <c r="D577" s="14"/>
      <c r="E577" s="15"/>
      <c r="F577" s="16"/>
      <c r="G577" s="17" t="s">
        <v>0</v>
      </c>
      <c r="H577" s="15"/>
      <c r="I577" s="14" t="s">
        <v>0</v>
      </c>
      <c r="J577" s="14"/>
      <c r="K577" s="18"/>
    </row>
    <row r="578" spans="1:11" s="5" customFormat="1" ht="15" customHeight="1" x14ac:dyDescent="0.2">
      <c r="A578" s="13"/>
      <c r="B578" s="14" t="str">
        <f>IF(A578="","",_xlfn.XLOOKUP(A578,'DISPATCH SHEET'!B$3:B$121,'DISPATCH SHEET'!C$3:C$121,""))</f>
        <v/>
      </c>
      <c r="C578" s="14" t="str">
        <f>IF(ISBLANK(A578),"",_xlfn.XLOOKUP(A578,'DISPATCH SHEET'!B$3:B$121,'DISPATCH SHEET'!#REF!,""))</f>
        <v/>
      </c>
      <c r="D578" s="14"/>
      <c r="E578" s="15"/>
      <c r="F578" s="16"/>
      <c r="G578" s="17" t="s">
        <v>0</v>
      </c>
      <c r="H578" s="15"/>
      <c r="I578" s="14" t="s">
        <v>0</v>
      </c>
      <c r="J578" s="14"/>
      <c r="K578" s="18"/>
    </row>
    <row r="579" spans="1:11" s="5" customFormat="1" ht="15" customHeight="1" x14ac:dyDescent="0.2">
      <c r="A579" s="13"/>
      <c r="B579" s="14" t="str">
        <f>IF(A579="","",_xlfn.XLOOKUP(A579,'DISPATCH SHEET'!B$3:B$121,'DISPATCH SHEET'!C$3:C$121,""))</f>
        <v/>
      </c>
      <c r="C579" s="14" t="str">
        <f>IF(ISBLANK(A579),"",_xlfn.XLOOKUP(A579,'DISPATCH SHEET'!B$3:B$121,'DISPATCH SHEET'!#REF!,""))</f>
        <v/>
      </c>
      <c r="D579" s="14"/>
      <c r="E579" s="15"/>
      <c r="F579" s="16"/>
      <c r="G579" s="17" t="s">
        <v>0</v>
      </c>
      <c r="H579" s="15"/>
      <c r="I579" s="14" t="s">
        <v>0</v>
      </c>
      <c r="J579" s="14"/>
      <c r="K579" s="18"/>
    </row>
    <row r="580" spans="1:11" s="5" customFormat="1" ht="15" customHeight="1" x14ac:dyDescent="0.2">
      <c r="A580" s="13"/>
      <c r="B580" s="14" t="str">
        <f>IF(A580="","",_xlfn.XLOOKUP(A580,'DISPATCH SHEET'!B$3:B$121,'DISPATCH SHEET'!C$3:C$121,""))</f>
        <v/>
      </c>
      <c r="C580" s="14" t="str">
        <f>IF(ISBLANK(A580),"",_xlfn.XLOOKUP(A580,'DISPATCH SHEET'!B$3:B$121,'DISPATCH SHEET'!#REF!,""))</f>
        <v/>
      </c>
      <c r="D580" s="14"/>
      <c r="E580" s="15"/>
      <c r="F580" s="16"/>
      <c r="G580" s="17" t="s">
        <v>0</v>
      </c>
      <c r="H580" s="15"/>
      <c r="I580" s="14" t="s">
        <v>0</v>
      </c>
      <c r="J580" s="14"/>
      <c r="K580" s="18"/>
    </row>
    <row r="581" spans="1:11" s="5" customFormat="1" ht="15" customHeight="1" x14ac:dyDescent="0.2">
      <c r="A581" s="13"/>
      <c r="B581" s="14" t="str">
        <f>IF(A581="","",_xlfn.XLOOKUP(A581,'DISPATCH SHEET'!B$3:B$121,'DISPATCH SHEET'!C$3:C$121,""))</f>
        <v/>
      </c>
      <c r="C581" s="14" t="str">
        <f>IF(ISBLANK(A581),"",_xlfn.XLOOKUP(A581,'DISPATCH SHEET'!B$3:B$121,'DISPATCH SHEET'!#REF!,""))</f>
        <v/>
      </c>
      <c r="D581" s="14"/>
      <c r="E581" s="15"/>
      <c r="F581" s="16"/>
      <c r="G581" s="17" t="s">
        <v>0</v>
      </c>
      <c r="H581" s="15"/>
      <c r="I581" s="14" t="s">
        <v>0</v>
      </c>
      <c r="J581" s="14"/>
      <c r="K581" s="18"/>
    </row>
    <row r="582" spans="1:11" s="5" customFormat="1" ht="15" customHeight="1" x14ac:dyDescent="0.2">
      <c r="A582" s="13"/>
      <c r="B582" s="14" t="str">
        <f>IF(A582="","",_xlfn.XLOOKUP(A582,'DISPATCH SHEET'!B$3:B$121,'DISPATCH SHEET'!C$3:C$121,""))</f>
        <v/>
      </c>
      <c r="C582" s="14" t="str">
        <f>IF(ISBLANK(A582),"",_xlfn.XLOOKUP(A582,'DISPATCH SHEET'!B$3:B$121,'DISPATCH SHEET'!#REF!,""))</f>
        <v/>
      </c>
      <c r="D582" s="14"/>
      <c r="E582" s="15"/>
      <c r="F582" s="16"/>
      <c r="G582" s="17" t="s">
        <v>0</v>
      </c>
      <c r="H582" s="15"/>
      <c r="I582" s="14" t="s">
        <v>0</v>
      </c>
      <c r="J582" s="14"/>
      <c r="K582" s="18"/>
    </row>
    <row r="583" spans="1:11" s="5" customFormat="1" ht="15" customHeight="1" x14ac:dyDescent="0.2">
      <c r="A583" s="13"/>
      <c r="B583" s="14" t="str">
        <f>IF(A583="","",_xlfn.XLOOKUP(A583,'DISPATCH SHEET'!B$3:B$121,'DISPATCH SHEET'!C$3:C$121,""))</f>
        <v/>
      </c>
      <c r="C583" s="14" t="str">
        <f>IF(ISBLANK(A583),"",_xlfn.XLOOKUP(A583,'DISPATCH SHEET'!B$3:B$121,'DISPATCH SHEET'!#REF!,""))</f>
        <v/>
      </c>
      <c r="D583" s="14"/>
      <c r="E583" s="15"/>
      <c r="F583" s="16"/>
      <c r="G583" s="17" t="s">
        <v>0</v>
      </c>
      <c r="H583" s="15"/>
      <c r="I583" s="14" t="s">
        <v>0</v>
      </c>
      <c r="J583" s="14"/>
      <c r="K583" s="18"/>
    </row>
    <row r="584" spans="1:11" s="5" customFormat="1" ht="15" customHeight="1" x14ac:dyDescent="0.2">
      <c r="A584" s="13"/>
      <c r="B584" s="14" t="str">
        <f>IF(A584="","",_xlfn.XLOOKUP(A584,'DISPATCH SHEET'!B$3:B$121,'DISPATCH SHEET'!C$3:C$121,""))</f>
        <v/>
      </c>
      <c r="C584" s="14" t="str">
        <f>IF(ISBLANK(A584),"",_xlfn.XLOOKUP(A584,'DISPATCH SHEET'!B$3:B$121,'DISPATCH SHEET'!#REF!,""))</f>
        <v/>
      </c>
      <c r="D584" s="14"/>
      <c r="E584" s="15"/>
      <c r="F584" s="16"/>
      <c r="G584" s="17" t="s">
        <v>0</v>
      </c>
      <c r="H584" s="15"/>
      <c r="I584" s="14" t="s">
        <v>0</v>
      </c>
      <c r="J584" s="14"/>
      <c r="K584" s="18"/>
    </row>
    <row r="585" spans="1:11" s="5" customFormat="1" ht="15" customHeight="1" x14ac:dyDescent="0.2">
      <c r="A585" s="13"/>
      <c r="B585" s="14" t="str">
        <f>IF(A585="","",_xlfn.XLOOKUP(A585,'DISPATCH SHEET'!B$3:B$121,'DISPATCH SHEET'!C$3:C$121,""))</f>
        <v/>
      </c>
      <c r="C585" s="14" t="str">
        <f>IF(ISBLANK(A585),"",_xlfn.XLOOKUP(A585,'DISPATCH SHEET'!B$3:B$121,'DISPATCH SHEET'!#REF!,""))</f>
        <v/>
      </c>
      <c r="D585" s="14"/>
      <c r="E585" s="15"/>
      <c r="F585" s="16"/>
      <c r="G585" s="17" t="s">
        <v>0</v>
      </c>
      <c r="H585" s="15"/>
      <c r="I585" s="14" t="s">
        <v>0</v>
      </c>
      <c r="J585" s="14"/>
      <c r="K585" s="18"/>
    </row>
    <row r="586" spans="1:11" s="5" customFormat="1" ht="15" customHeight="1" x14ac:dyDescent="0.2">
      <c r="A586" s="13"/>
      <c r="B586" s="14" t="str">
        <f>IF(A586="","",_xlfn.XLOOKUP(A586,'DISPATCH SHEET'!B$3:B$121,'DISPATCH SHEET'!C$3:C$121,""))</f>
        <v/>
      </c>
      <c r="C586" s="14" t="str">
        <f>IF(ISBLANK(A586),"",_xlfn.XLOOKUP(A586,'DISPATCH SHEET'!B$3:B$121,'DISPATCH SHEET'!#REF!,""))</f>
        <v/>
      </c>
      <c r="D586" s="14"/>
      <c r="E586" s="15"/>
      <c r="F586" s="16"/>
      <c r="G586" s="17" t="s">
        <v>0</v>
      </c>
      <c r="H586" s="15"/>
      <c r="I586" s="14" t="s">
        <v>0</v>
      </c>
      <c r="J586" s="14"/>
      <c r="K586" s="18"/>
    </row>
    <row r="587" spans="1:11" s="5" customFormat="1" ht="15" customHeight="1" x14ac:dyDescent="0.2">
      <c r="A587" s="13"/>
      <c r="B587" s="14" t="str">
        <f>IF(A587="","",_xlfn.XLOOKUP(A587,'DISPATCH SHEET'!B$3:B$121,'DISPATCH SHEET'!C$3:C$121,""))</f>
        <v/>
      </c>
      <c r="C587" s="14" t="str">
        <f>IF(ISBLANK(A587),"",_xlfn.XLOOKUP(A587,'DISPATCH SHEET'!B$3:B$121,'DISPATCH SHEET'!#REF!,""))</f>
        <v/>
      </c>
      <c r="D587" s="14"/>
      <c r="E587" s="15"/>
      <c r="F587" s="16"/>
      <c r="G587" s="17" t="s">
        <v>0</v>
      </c>
      <c r="H587" s="15"/>
      <c r="I587" s="14" t="s">
        <v>0</v>
      </c>
      <c r="J587" s="14"/>
      <c r="K587" s="18"/>
    </row>
    <row r="588" spans="1:11" s="5" customFormat="1" ht="15" customHeight="1" x14ac:dyDescent="0.2">
      <c r="A588" s="13"/>
      <c r="B588" s="14" t="str">
        <f>IF(A588="","",_xlfn.XLOOKUP(A588,'DISPATCH SHEET'!B$3:B$121,'DISPATCH SHEET'!C$3:C$121,""))</f>
        <v/>
      </c>
      <c r="C588" s="14" t="str">
        <f>IF(ISBLANK(A588),"",_xlfn.XLOOKUP(A588,'DISPATCH SHEET'!B$3:B$121,'DISPATCH SHEET'!#REF!,""))</f>
        <v/>
      </c>
      <c r="D588" s="14"/>
      <c r="E588" s="15"/>
      <c r="F588" s="16"/>
      <c r="G588" s="17" t="s">
        <v>0</v>
      </c>
      <c r="H588" s="15"/>
      <c r="I588" s="14" t="s">
        <v>0</v>
      </c>
      <c r="J588" s="14"/>
      <c r="K588" s="18"/>
    </row>
    <row r="589" spans="1:11" s="5" customFormat="1" ht="15" customHeight="1" x14ac:dyDescent="0.2">
      <c r="A589" s="13"/>
      <c r="B589" s="14" t="str">
        <f>IF(A589="","",_xlfn.XLOOKUP(A589,'DISPATCH SHEET'!B$3:B$121,'DISPATCH SHEET'!C$3:C$121,""))</f>
        <v/>
      </c>
      <c r="C589" s="14" t="str">
        <f>IF(ISBLANK(A589),"",_xlfn.XLOOKUP(A589,'DISPATCH SHEET'!B$3:B$121,'DISPATCH SHEET'!#REF!,""))</f>
        <v/>
      </c>
      <c r="D589" s="14"/>
      <c r="E589" s="15"/>
      <c r="F589" s="16"/>
      <c r="G589" s="17" t="s">
        <v>0</v>
      </c>
      <c r="H589" s="15"/>
      <c r="I589" s="14" t="s">
        <v>0</v>
      </c>
      <c r="J589" s="14"/>
      <c r="K589" s="18"/>
    </row>
    <row r="590" spans="1:11" s="5" customFormat="1" ht="15" customHeight="1" x14ac:dyDescent="0.2">
      <c r="A590" s="13"/>
      <c r="B590" s="14" t="str">
        <f>IF(A590="","",_xlfn.XLOOKUP(A590,'DISPATCH SHEET'!B$3:B$121,'DISPATCH SHEET'!C$3:C$121,""))</f>
        <v/>
      </c>
      <c r="C590" s="14" t="str">
        <f>IF(ISBLANK(A590),"",_xlfn.XLOOKUP(A590,'DISPATCH SHEET'!B$3:B$121,'DISPATCH SHEET'!#REF!,""))</f>
        <v/>
      </c>
      <c r="D590" s="14"/>
      <c r="E590" s="15"/>
      <c r="F590" s="16"/>
      <c r="G590" s="17" t="s">
        <v>0</v>
      </c>
      <c r="H590" s="15"/>
      <c r="I590" s="14" t="s">
        <v>0</v>
      </c>
      <c r="J590" s="14"/>
      <c r="K590" s="18"/>
    </row>
    <row r="591" spans="1:11" s="5" customFormat="1" ht="15" customHeight="1" x14ac:dyDescent="0.2">
      <c r="A591" s="13"/>
      <c r="B591" s="14" t="str">
        <f>IF(A591="","",_xlfn.XLOOKUP(A591,'DISPATCH SHEET'!B$3:B$121,'DISPATCH SHEET'!C$3:C$121,""))</f>
        <v/>
      </c>
      <c r="C591" s="14" t="str">
        <f>IF(ISBLANK(A591),"",_xlfn.XLOOKUP(A591,'DISPATCH SHEET'!B$3:B$121,'DISPATCH SHEET'!#REF!,""))</f>
        <v/>
      </c>
      <c r="D591" s="14"/>
      <c r="E591" s="15"/>
      <c r="F591" s="16"/>
      <c r="G591" s="17" t="s">
        <v>0</v>
      </c>
      <c r="H591" s="15"/>
      <c r="I591" s="14" t="s">
        <v>0</v>
      </c>
      <c r="J591" s="14"/>
      <c r="K591" s="18"/>
    </row>
    <row r="592" spans="1:11" s="5" customFormat="1" ht="15" customHeight="1" x14ac:dyDescent="0.2">
      <c r="A592" s="13"/>
      <c r="B592" s="14" t="str">
        <f>IF(A592="","",_xlfn.XLOOKUP(A592,'DISPATCH SHEET'!B$3:B$121,'DISPATCH SHEET'!C$3:C$121,""))</f>
        <v/>
      </c>
      <c r="C592" s="14" t="str">
        <f>IF(ISBLANK(A592),"",_xlfn.XLOOKUP(A592,'DISPATCH SHEET'!B$3:B$121,'DISPATCH SHEET'!#REF!,""))</f>
        <v/>
      </c>
      <c r="D592" s="14"/>
      <c r="E592" s="15"/>
      <c r="F592" s="16"/>
      <c r="G592" s="17" t="s">
        <v>0</v>
      </c>
      <c r="H592" s="15"/>
      <c r="I592" s="14" t="s">
        <v>0</v>
      </c>
      <c r="J592" s="14"/>
      <c r="K592" s="18"/>
    </row>
    <row r="593" spans="1:11" s="5" customFormat="1" ht="15" customHeight="1" x14ac:dyDescent="0.2">
      <c r="A593" s="13"/>
      <c r="B593" s="14" t="str">
        <f>IF(A593="","",_xlfn.XLOOKUP(A593,'DISPATCH SHEET'!B$3:B$121,'DISPATCH SHEET'!C$3:C$121,""))</f>
        <v/>
      </c>
      <c r="C593" s="14" t="str">
        <f>IF(ISBLANK(A593),"",_xlfn.XLOOKUP(A593,'DISPATCH SHEET'!B$3:B$121,'DISPATCH SHEET'!#REF!,""))</f>
        <v/>
      </c>
      <c r="D593" s="14"/>
      <c r="E593" s="15"/>
      <c r="F593" s="16"/>
      <c r="G593" s="17" t="s">
        <v>0</v>
      </c>
      <c r="H593" s="15"/>
      <c r="I593" s="14" t="s">
        <v>0</v>
      </c>
      <c r="J593" s="14"/>
      <c r="K593" s="18"/>
    </row>
    <row r="594" spans="1:11" s="5" customFormat="1" ht="15" customHeight="1" x14ac:dyDescent="0.2">
      <c r="A594" s="13"/>
      <c r="B594" s="14" t="str">
        <f>IF(A594="","",_xlfn.XLOOKUP(A594,'DISPATCH SHEET'!B$3:B$121,'DISPATCH SHEET'!C$3:C$121,""))</f>
        <v/>
      </c>
      <c r="C594" s="14" t="str">
        <f>IF(ISBLANK(A594),"",_xlfn.XLOOKUP(A594,'DISPATCH SHEET'!B$3:B$121,'DISPATCH SHEET'!#REF!,""))</f>
        <v/>
      </c>
      <c r="D594" s="14"/>
      <c r="E594" s="15"/>
      <c r="F594" s="16"/>
      <c r="G594" s="17" t="s">
        <v>0</v>
      </c>
      <c r="H594" s="15"/>
      <c r="I594" s="14" t="s">
        <v>0</v>
      </c>
      <c r="J594" s="14"/>
      <c r="K594" s="18"/>
    </row>
    <row r="595" spans="1:11" s="5" customFormat="1" ht="15" customHeight="1" x14ac:dyDescent="0.2">
      <c r="A595" s="13"/>
      <c r="B595" s="14" t="str">
        <f>IF(A595="","",_xlfn.XLOOKUP(A595,'DISPATCH SHEET'!B$3:B$121,'DISPATCH SHEET'!C$3:C$121,""))</f>
        <v/>
      </c>
      <c r="C595" s="14" t="str">
        <f>IF(ISBLANK(A595),"",_xlfn.XLOOKUP(A595,'DISPATCH SHEET'!B$3:B$121,'DISPATCH SHEET'!#REF!,""))</f>
        <v/>
      </c>
      <c r="D595" s="14"/>
      <c r="E595" s="15"/>
      <c r="F595" s="16"/>
      <c r="G595" s="17" t="s">
        <v>0</v>
      </c>
      <c r="H595" s="15"/>
      <c r="I595" s="14" t="s">
        <v>0</v>
      </c>
      <c r="J595" s="14"/>
      <c r="K595" s="18"/>
    </row>
    <row r="596" spans="1:11" s="5" customFormat="1" ht="15" customHeight="1" x14ac:dyDescent="0.2">
      <c r="A596" s="13"/>
      <c r="B596" s="14" t="str">
        <f>IF(A596="","",_xlfn.XLOOKUP(A596,'DISPATCH SHEET'!B$3:B$121,'DISPATCH SHEET'!C$3:C$121,""))</f>
        <v/>
      </c>
      <c r="C596" s="14" t="str">
        <f>IF(ISBLANK(A596),"",_xlfn.XLOOKUP(A596,'DISPATCH SHEET'!B$3:B$121,'DISPATCH SHEET'!#REF!,""))</f>
        <v/>
      </c>
      <c r="D596" s="14"/>
      <c r="E596" s="15"/>
      <c r="F596" s="16"/>
      <c r="G596" s="17" t="s">
        <v>0</v>
      </c>
      <c r="H596" s="15"/>
      <c r="I596" s="14" t="s">
        <v>0</v>
      </c>
      <c r="J596" s="14"/>
      <c r="K596" s="18"/>
    </row>
    <row r="597" spans="1:11" s="5" customFormat="1" ht="15" customHeight="1" x14ac:dyDescent="0.2">
      <c r="A597" s="13"/>
      <c r="B597" s="14" t="str">
        <f>IF(A597="","",_xlfn.XLOOKUP(A597,'DISPATCH SHEET'!B$3:B$121,'DISPATCH SHEET'!C$3:C$121,""))</f>
        <v/>
      </c>
      <c r="C597" s="14" t="str">
        <f>IF(ISBLANK(A597),"",_xlfn.XLOOKUP(A597,'DISPATCH SHEET'!B$3:B$121,'DISPATCH SHEET'!#REF!,""))</f>
        <v/>
      </c>
      <c r="D597" s="14"/>
      <c r="E597" s="15"/>
      <c r="F597" s="16"/>
      <c r="G597" s="17" t="s">
        <v>0</v>
      </c>
      <c r="H597" s="15"/>
      <c r="I597" s="14" t="s">
        <v>0</v>
      </c>
      <c r="J597" s="14"/>
      <c r="K597" s="18"/>
    </row>
    <row r="598" spans="1:11" s="5" customFormat="1" ht="15" customHeight="1" x14ac:dyDescent="0.2">
      <c r="A598" s="13"/>
      <c r="B598" s="14" t="str">
        <f>IF(A598="","",_xlfn.XLOOKUP(A598,'DISPATCH SHEET'!B$3:B$121,'DISPATCH SHEET'!C$3:C$121,""))</f>
        <v/>
      </c>
      <c r="C598" s="14" t="str">
        <f>IF(ISBLANK(A598),"",_xlfn.XLOOKUP(A598,'DISPATCH SHEET'!B$3:B$121,'DISPATCH SHEET'!#REF!,""))</f>
        <v/>
      </c>
      <c r="D598" s="14"/>
      <c r="E598" s="15"/>
      <c r="F598" s="16"/>
      <c r="G598" s="17" t="s">
        <v>0</v>
      </c>
      <c r="H598" s="15"/>
      <c r="I598" s="14" t="s">
        <v>0</v>
      </c>
      <c r="J598" s="14"/>
      <c r="K598" s="18"/>
    </row>
    <row r="599" spans="1:11" s="5" customFormat="1" ht="15" customHeight="1" x14ac:dyDescent="0.2">
      <c r="A599" s="13"/>
      <c r="B599" s="14" t="str">
        <f>IF(A599="","",_xlfn.XLOOKUP(A599,'DISPATCH SHEET'!B$3:B$121,'DISPATCH SHEET'!C$3:C$121,""))</f>
        <v/>
      </c>
      <c r="C599" s="14" t="str">
        <f>IF(ISBLANK(A599),"",_xlfn.XLOOKUP(A599,'DISPATCH SHEET'!B$3:B$121,'DISPATCH SHEET'!#REF!,""))</f>
        <v/>
      </c>
      <c r="D599" s="14"/>
      <c r="E599" s="15"/>
      <c r="F599" s="16"/>
      <c r="G599" s="17" t="s">
        <v>0</v>
      </c>
      <c r="H599" s="15"/>
      <c r="I599" s="14" t="s">
        <v>0</v>
      </c>
      <c r="J599" s="14"/>
      <c r="K599" s="18"/>
    </row>
    <row r="600" spans="1:11" s="5" customFormat="1" ht="15" customHeight="1" x14ac:dyDescent="0.2">
      <c r="A600" s="13"/>
      <c r="B600" s="14" t="str">
        <f>IF(A600="","",_xlfn.XLOOKUP(A600,'DISPATCH SHEET'!B$3:B$121,'DISPATCH SHEET'!C$3:C$121,""))</f>
        <v/>
      </c>
      <c r="C600" s="14" t="str">
        <f>IF(ISBLANK(A600),"",_xlfn.XLOOKUP(A600,'DISPATCH SHEET'!B$3:B$121,'DISPATCH SHEET'!#REF!,""))</f>
        <v/>
      </c>
      <c r="D600" s="14"/>
      <c r="E600" s="15"/>
      <c r="F600" s="16"/>
      <c r="G600" s="17" t="s">
        <v>0</v>
      </c>
      <c r="H600" s="15"/>
      <c r="I600" s="14" t="s">
        <v>0</v>
      </c>
      <c r="J600" s="14"/>
      <c r="K600" s="18"/>
    </row>
    <row r="601" spans="1:11" s="5" customFormat="1" ht="15" customHeight="1" x14ac:dyDescent="0.2">
      <c r="A601" s="13"/>
      <c r="B601" s="14" t="str">
        <f>IF(A601="","",_xlfn.XLOOKUP(A601,'DISPATCH SHEET'!B$3:B$121,'DISPATCH SHEET'!C$3:C$121,""))</f>
        <v/>
      </c>
      <c r="C601" s="14" t="str">
        <f>IF(ISBLANK(A601),"",_xlfn.XLOOKUP(A601,'DISPATCH SHEET'!B$3:B$121,'DISPATCH SHEET'!#REF!,""))</f>
        <v/>
      </c>
      <c r="D601" s="14"/>
      <c r="E601" s="15"/>
      <c r="F601" s="16"/>
      <c r="G601" s="17" t="s">
        <v>0</v>
      </c>
      <c r="H601" s="15"/>
      <c r="I601" s="14" t="s">
        <v>0</v>
      </c>
      <c r="J601" s="14"/>
      <c r="K601" s="18"/>
    </row>
    <row r="602" spans="1:11" s="5" customFormat="1" ht="15" customHeight="1" x14ac:dyDescent="0.2">
      <c r="A602" s="13"/>
      <c r="B602" s="14" t="str">
        <f>IF(A602="","",_xlfn.XLOOKUP(A602,'DISPATCH SHEET'!B$3:B$121,'DISPATCH SHEET'!C$3:C$121,""))</f>
        <v/>
      </c>
      <c r="C602" s="14" t="str">
        <f>IF(ISBLANK(A602),"",_xlfn.XLOOKUP(A602,'DISPATCH SHEET'!B$3:B$121,'DISPATCH SHEET'!#REF!,""))</f>
        <v/>
      </c>
      <c r="D602" s="14"/>
      <c r="E602" s="15"/>
      <c r="F602" s="16"/>
      <c r="G602" s="17" t="s">
        <v>0</v>
      </c>
      <c r="H602" s="15"/>
      <c r="I602" s="14" t="s">
        <v>0</v>
      </c>
      <c r="J602" s="14"/>
      <c r="K602" s="18"/>
    </row>
    <row r="603" spans="1:11" s="5" customFormat="1" ht="15" customHeight="1" x14ac:dyDescent="0.2">
      <c r="A603" s="13"/>
      <c r="B603" s="14" t="str">
        <f>IF(A603="","",_xlfn.XLOOKUP(A603,'DISPATCH SHEET'!B$3:B$121,'DISPATCH SHEET'!C$3:C$121,""))</f>
        <v/>
      </c>
      <c r="C603" s="14" t="str">
        <f>IF(ISBLANK(A603),"",_xlfn.XLOOKUP(A603,'DISPATCH SHEET'!B$3:B$121,'DISPATCH SHEET'!#REF!,""))</f>
        <v/>
      </c>
      <c r="D603" s="14"/>
      <c r="E603" s="15"/>
      <c r="F603" s="16"/>
      <c r="G603" s="17" t="s">
        <v>0</v>
      </c>
      <c r="H603" s="15"/>
      <c r="I603" s="14" t="s">
        <v>0</v>
      </c>
      <c r="J603" s="14"/>
      <c r="K603" s="18"/>
    </row>
    <row r="604" spans="1:11" s="5" customFormat="1" ht="15" customHeight="1" x14ac:dyDescent="0.2">
      <c r="A604" s="13"/>
      <c r="B604" s="14" t="str">
        <f>IF(A604="","",_xlfn.XLOOKUP(A604,'DISPATCH SHEET'!B$3:B$121,'DISPATCH SHEET'!C$3:C$121,""))</f>
        <v/>
      </c>
      <c r="C604" s="14" t="str">
        <f>IF(ISBLANK(A604),"",_xlfn.XLOOKUP(A604,'DISPATCH SHEET'!B$3:B$121,'DISPATCH SHEET'!#REF!,""))</f>
        <v/>
      </c>
      <c r="D604" s="14"/>
      <c r="E604" s="15"/>
      <c r="F604" s="16"/>
      <c r="G604" s="17" t="s">
        <v>0</v>
      </c>
      <c r="H604" s="15"/>
      <c r="I604" s="14" t="s">
        <v>0</v>
      </c>
      <c r="J604" s="14"/>
      <c r="K604" s="18"/>
    </row>
    <row r="605" spans="1:11" s="5" customFormat="1" ht="15" customHeight="1" x14ac:dyDescent="0.2">
      <c r="A605" s="13"/>
      <c r="B605" s="14" t="str">
        <f>IF(A605="","",_xlfn.XLOOKUP(A605,'DISPATCH SHEET'!B$3:B$121,'DISPATCH SHEET'!C$3:C$121,""))</f>
        <v/>
      </c>
      <c r="C605" s="14" t="str">
        <f>IF(ISBLANK(A605),"",_xlfn.XLOOKUP(A605,'DISPATCH SHEET'!B$3:B$121,'DISPATCH SHEET'!#REF!,""))</f>
        <v/>
      </c>
      <c r="D605" s="14"/>
      <c r="E605" s="15"/>
      <c r="F605" s="16"/>
      <c r="G605" s="17" t="s">
        <v>0</v>
      </c>
      <c r="H605" s="15"/>
      <c r="I605" s="14" t="s">
        <v>0</v>
      </c>
      <c r="J605" s="14"/>
      <c r="K605" s="18"/>
    </row>
    <row r="606" spans="1:11" s="5" customFormat="1" ht="15" customHeight="1" x14ac:dyDescent="0.2">
      <c r="A606" s="13"/>
      <c r="B606" s="14" t="str">
        <f>IF(A606="","",_xlfn.XLOOKUP(A606,'DISPATCH SHEET'!B$3:B$121,'DISPATCH SHEET'!C$3:C$121,""))</f>
        <v/>
      </c>
      <c r="C606" s="14" t="str">
        <f>IF(ISBLANK(A606),"",_xlfn.XLOOKUP(A606,'DISPATCH SHEET'!B$3:B$121,'DISPATCH SHEET'!#REF!,""))</f>
        <v/>
      </c>
      <c r="D606" s="14"/>
      <c r="E606" s="15"/>
      <c r="F606" s="16"/>
      <c r="G606" s="17" t="s">
        <v>0</v>
      </c>
      <c r="H606" s="15"/>
      <c r="I606" s="14" t="s">
        <v>0</v>
      </c>
      <c r="J606" s="14"/>
      <c r="K606" s="18"/>
    </row>
    <row r="607" spans="1:11" s="5" customFormat="1" ht="15" customHeight="1" x14ac:dyDescent="0.2">
      <c r="A607" s="13"/>
      <c r="B607" s="14" t="str">
        <f>IF(A607="","",_xlfn.XLOOKUP(A607,'DISPATCH SHEET'!B$3:B$121,'DISPATCH SHEET'!C$3:C$121,""))</f>
        <v/>
      </c>
      <c r="C607" s="14" t="str">
        <f>IF(ISBLANK(A607),"",_xlfn.XLOOKUP(A607,'DISPATCH SHEET'!B$3:B$121,'DISPATCH SHEET'!#REF!,""))</f>
        <v/>
      </c>
      <c r="D607" s="14"/>
      <c r="E607" s="15"/>
      <c r="F607" s="16"/>
      <c r="G607" s="17" t="s">
        <v>0</v>
      </c>
      <c r="H607" s="15"/>
      <c r="I607" s="14" t="s">
        <v>0</v>
      </c>
      <c r="J607" s="14"/>
      <c r="K607" s="18"/>
    </row>
    <row r="608" spans="1:11" s="5" customFormat="1" ht="15" customHeight="1" x14ac:dyDescent="0.2">
      <c r="A608" s="13"/>
      <c r="B608" s="14" t="str">
        <f>IF(A608="","",_xlfn.XLOOKUP(A608,'DISPATCH SHEET'!B$3:B$121,'DISPATCH SHEET'!C$3:C$121,""))</f>
        <v/>
      </c>
      <c r="C608" s="14" t="str">
        <f>IF(ISBLANK(A608),"",_xlfn.XLOOKUP(A608,'DISPATCH SHEET'!B$3:B$121,'DISPATCH SHEET'!#REF!,""))</f>
        <v/>
      </c>
      <c r="D608" s="14"/>
      <c r="E608" s="15"/>
      <c r="F608" s="16"/>
      <c r="G608" s="17" t="s">
        <v>0</v>
      </c>
      <c r="H608" s="15"/>
      <c r="I608" s="14" t="s">
        <v>0</v>
      </c>
      <c r="J608" s="14"/>
      <c r="K608" s="18"/>
    </row>
    <row r="609" spans="1:11" s="5" customFormat="1" ht="15" customHeight="1" x14ac:dyDescent="0.2">
      <c r="A609" s="13"/>
      <c r="B609" s="14" t="str">
        <f>IF(A609="","",_xlfn.XLOOKUP(A609,'DISPATCH SHEET'!B$3:B$121,'DISPATCH SHEET'!C$3:C$121,""))</f>
        <v/>
      </c>
      <c r="C609" s="14" t="str">
        <f>IF(ISBLANK(A609),"",_xlfn.XLOOKUP(A609,'DISPATCH SHEET'!B$3:B$121,'DISPATCH SHEET'!#REF!,""))</f>
        <v/>
      </c>
      <c r="D609" s="14"/>
      <c r="E609" s="15"/>
      <c r="F609" s="16"/>
      <c r="G609" s="17" t="s">
        <v>0</v>
      </c>
      <c r="H609" s="15"/>
      <c r="I609" s="14" t="s">
        <v>0</v>
      </c>
      <c r="J609" s="14"/>
      <c r="K609" s="18"/>
    </row>
    <row r="610" spans="1:11" s="5" customFormat="1" ht="15" customHeight="1" x14ac:dyDescent="0.2">
      <c r="A610" s="13"/>
      <c r="B610" s="14" t="str">
        <f>IF(A610="","",_xlfn.XLOOKUP(A610,'DISPATCH SHEET'!B$3:B$121,'DISPATCH SHEET'!C$3:C$121,""))</f>
        <v/>
      </c>
      <c r="C610" s="14" t="str">
        <f>IF(ISBLANK(A610),"",_xlfn.XLOOKUP(A610,'DISPATCH SHEET'!B$3:B$121,'DISPATCH SHEET'!#REF!,""))</f>
        <v/>
      </c>
      <c r="D610" s="14"/>
      <c r="E610" s="15"/>
      <c r="F610" s="16"/>
      <c r="G610" s="17" t="s">
        <v>0</v>
      </c>
      <c r="H610" s="15"/>
      <c r="I610" s="14" t="s">
        <v>0</v>
      </c>
      <c r="J610" s="14"/>
      <c r="K610" s="18"/>
    </row>
    <row r="611" spans="1:11" s="5" customFormat="1" ht="15" customHeight="1" x14ac:dyDescent="0.2">
      <c r="A611" s="13"/>
      <c r="B611" s="14" t="str">
        <f>IF(A611="","",_xlfn.XLOOKUP(A611,'DISPATCH SHEET'!B$3:B$121,'DISPATCH SHEET'!C$3:C$121,""))</f>
        <v/>
      </c>
      <c r="C611" s="14" t="str">
        <f>IF(ISBLANK(A611),"",_xlfn.XLOOKUP(A611,'DISPATCH SHEET'!B$3:B$121,'DISPATCH SHEET'!#REF!,""))</f>
        <v/>
      </c>
      <c r="D611" s="14"/>
      <c r="E611" s="15"/>
      <c r="F611" s="16"/>
      <c r="G611" s="17" t="s">
        <v>0</v>
      </c>
      <c r="H611" s="15"/>
      <c r="I611" s="14" t="s">
        <v>0</v>
      </c>
      <c r="J611" s="14"/>
      <c r="K611" s="18"/>
    </row>
    <row r="612" spans="1:11" s="5" customFormat="1" ht="15" customHeight="1" x14ac:dyDescent="0.2">
      <c r="A612" s="13"/>
      <c r="B612" s="14" t="str">
        <f>IF(A612="","",_xlfn.XLOOKUP(A612,'DISPATCH SHEET'!B$3:B$121,'DISPATCH SHEET'!C$3:C$121,""))</f>
        <v/>
      </c>
      <c r="C612" s="14" t="str">
        <f>IF(ISBLANK(A612),"",_xlfn.XLOOKUP(A612,'DISPATCH SHEET'!B$3:B$121,'DISPATCH SHEET'!#REF!,""))</f>
        <v/>
      </c>
      <c r="D612" s="14"/>
      <c r="E612" s="15"/>
      <c r="F612" s="16"/>
      <c r="G612" s="17" t="s">
        <v>0</v>
      </c>
      <c r="H612" s="15"/>
      <c r="I612" s="14" t="s">
        <v>0</v>
      </c>
      <c r="J612" s="14"/>
      <c r="K612" s="18"/>
    </row>
    <row r="613" spans="1:11" s="5" customFormat="1" ht="15" customHeight="1" x14ac:dyDescent="0.2">
      <c r="A613" s="13"/>
      <c r="B613" s="14" t="str">
        <f>IF(A613="","",_xlfn.XLOOKUP(A613,'DISPATCH SHEET'!B$3:B$121,'DISPATCH SHEET'!C$3:C$121,""))</f>
        <v/>
      </c>
      <c r="C613" s="14" t="str">
        <f>IF(ISBLANK(A613),"",_xlfn.XLOOKUP(A613,'DISPATCH SHEET'!B$3:B$121,'DISPATCH SHEET'!#REF!,""))</f>
        <v/>
      </c>
      <c r="D613" s="14"/>
      <c r="E613" s="15"/>
      <c r="F613" s="16"/>
      <c r="G613" s="17" t="s">
        <v>0</v>
      </c>
      <c r="H613" s="15"/>
      <c r="I613" s="14" t="s">
        <v>0</v>
      </c>
      <c r="J613" s="14"/>
      <c r="K613" s="18"/>
    </row>
    <row r="614" spans="1:11" s="5" customFormat="1" ht="15" customHeight="1" x14ac:dyDescent="0.2">
      <c r="A614" s="13"/>
      <c r="B614" s="14" t="str">
        <f>IF(A614="","",_xlfn.XLOOKUP(A614,'DISPATCH SHEET'!B$3:B$121,'DISPATCH SHEET'!C$3:C$121,""))</f>
        <v/>
      </c>
      <c r="C614" s="14" t="str">
        <f>IF(ISBLANK(A614),"",_xlfn.XLOOKUP(A614,'DISPATCH SHEET'!B$3:B$121,'DISPATCH SHEET'!#REF!,""))</f>
        <v/>
      </c>
      <c r="D614" s="14"/>
      <c r="E614" s="15"/>
      <c r="F614" s="16"/>
      <c r="G614" s="17" t="s">
        <v>0</v>
      </c>
      <c r="H614" s="15"/>
      <c r="I614" s="14" t="s">
        <v>0</v>
      </c>
      <c r="J614" s="14"/>
      <c r="K614" s="18"/>
    </row>
    <row r="615" spans="1:11" s="5" customFormat="1" ht="15" customHeight="1" x14ac:dyDescent="0.2">
      <c r="A615" s="13"/>
      <c r="B615" s="14" t="str">
        <f>IF(A615="","",_xlfn.XLOOKUP(A615,'DISPATCH SHEET'!B$3:B$121,'DISPATCH SHEET'!C$3:C$121,""))</f>
        <v/>
      </c>
      <c r="C615" s="14" t="str">
        <f>IF(ISBLANK(A615),"",_xlfn.XLOOKUP(A615,'DISPATCH SHEET'!B$3:B$121,'DISPATCH SHEET'!#REF!,""))</f>
        <v/>
      </c>
      <c r="D615" s="14"/>
      <c r="E615" s="15"/>
      <c r="F615" s="16"/>
      <c r="G615" s="17" t="s">
        <v>0</v>
      </c>
      <c r="H615" s="15"/>
      <c r="I615" s="14" t="s">
        <v>0</v>
      </c>
      <c r="J615" s="14"/>
      <c r="K615" s="18"/>
    </row>
    <row r="616" spans="1:11" s="5" customFormat="1" ht="15" customHeight="1" x14ac:dyDescent="0.2">
      <c r="A616" s="13"/>
      <c r="B616" s="14" t="str">
        <f>IF(A616="","",_xlfn.XLOOKUP(A616,'DISPATCH SHEET'!B$3:B$121,'DISPATCH SHEET'!C$3:C$121,""))</f>
        <v/>
      </c>
      <c r="C616" s="14" t="str">
        <f>IF(ISBLANK(A616),"",_xlfn.XLOOKUP(A616,'DISPATCH SHEET'!B$3:B$121,'DISPATCH SHEET'!#REF!,""))</f>
        <v/>
      </c>
      <c r="D616" s="14"/>
      <c r="E616" s="15"/>
      <c r="F616" s="16"/>
      <c r="G616" s="17" t="s">
        <v>0</v>
      </c>
      <c r="H616" s="15"/>
      <c r="I616" s="14" t="s">
        <v>0</v>
      </c>
      <c r="J616" s="14"/>
      <c r="K616" s="18"/>
    </row>
    <row r="617" spans="1:11" s="5" customFormat="1" ht="15" customHeight="1" x14ac:dyDescent="0.2">
      <c r="A617" s="13"/>
      <c r="B617" s="14" t="str">
        <f>IF(A617="","",_xlfn.XLOOKUP(A617,'DISPATCH SHEET'!B$3:B$121,'DISPATCH SHEET'!C$3:C$121,""))</f>
        <v/>
      </c>
      <c r="C617" s="14" t="str">
        <f>IF(ISBLANK(A617),"",_xlfn.XLOOKUP(A617,'DISPATCH SHEET'!B$3:B$121,'DISPATCH SHEET'!#REF!,""))</f>
        <v/>
      </c>
      <c r="D617" s="14"/>
      <c r="E617" s="15"/>
      <c r="F617" s="16"/>
      <c r="G617" s="17" t="s">
        <v>0</v>
      </c>
      <c r="H617" s="15"/>
      <c r="I617" s="14" t="s">
        <v>0</v>
      </c>
      <c r="J617" s="14"/>
      <c r="K617" s="18"/>
    </row>
    <row r="618" spans="1:11" s="5" customFormat="1" ht="15" customHeight="1" x14ac:dyDescent="0.2">
      <c r="A618" s="13"/>
      <c r="B618" s="14" t="str">
        <f>IF(A618="","",_xlfn.XLOOKUP(A618,'DISPATCH SHEET'!B$3:B$121,'DISPATCH SHEET'!C$3:C$121,""))</f>
        <v/>
      </c>
      <c r="C618" s="14" t="str">
        <f>IF(ISBLANK(A618),"",_xlfn.XLOOKUP(A618,'DISPATCH SHEET'!B$3:B$121,'DISPATCH SHEET'!#REF!,""))</f>
        <v/>
      </c>
      <c r="D618" s="14"/>
      <c r="E618" s="15"/>
      <c r="F618" s="16"/>
      <c r="G618" s="17" t="s">
        <v>0</v>
      </c>
      <c r="H618" s="15"/>
      <c r="I618" s="14" t="s">
        <v>0</v>
      </c>
      <c r="J618" s="14"/>
      <c r="K618" s="18"/>
    </row>
    <row r="619" spans="1:11" s="5" customFormat="1" ht="15" customHeight="1" x14ac:dyDescent="0.2">
      <c r="A619" s="13"/>
      <c r="B619" s="14" t="str">
        <f>IF(A619="","",_xlfn.XLOOKUP(A619,'DISPATCH SHEET'!B$3:B$121,'DISPATCH SHEET'!C$3:C$121,""))</f>
        <v/>
      </c>
      <c r="C619" s="14" t="str">
        <f>IF(ISBLANK(A619),"",_xlfn.XLOOKUP(A619,'DISPATCH SHEET'!B$3:B$121,'DISPATCH SHEET'!#REF!,""))</f>
        <v/>
      </c>
      <c r="D619" s="14"/>
      <c r="E619" s="15"/>
      <c r="F619" s="16"/>
      <c r="G619" s="17" t="s">
        <v>0</v>
      </c>
      <c r="H619" s="15"/>
      <c r="I619" s="14" t="s">
        <v>0</v>
      </c>
      <c r="J619" s="14"/>
      <c r="K619" s="18"/>
    </row>
    <row r="620" spans="1:11" s="5" customFormat="1" ht="15" customHeight="1" x14ac:dyDescent="0.2">
      <c r="A620" s="13"/>
      <c r="B620" s="14" t="str">
        <f>IF(A620="","",_xlfn.XLOOKUP(A620,'DISPATCH SHEET'!B$3:B$121,'DISPATCH SHEET'!C$3:C$121,""))</f>
        <v/>
      </c>
      <c r="C620" s="14" t="str">
        <f>IF(ISBLANK(A620),"",_xlfn.XLOOKUP(A620,'DISPATCH SHEET'!B$3:B$121,'DISPATCH SHEET'!#REF!,""))</f>
        <v/>
      </c>
      <c r="D620" s="14"/>
      <c r="E620" s="15"/>
      <c r="F620" s="16"/>
      <c r="G620" s="17" t="s">
        <v>0</v>
      </c>
      <c r="H620" s="15"/>
      <c r="I620" s="14" t="s">
        <v>0</v>
      </c>
      <c r="J620" s="14"/>
      <c r="K620" s="18"/>
    </row>
    <row r="621" spans="1:11" s="5" customFormat="1" ht="15" customHeight="1" x14ac:dyDescent="0.2">
      <c r="A621" s="13"/>
      <c r="B621" s="14" t="str">
        <f>IF(A621="","",_xlfn.XLOOKUP(A621,'DISPATCH SHEET'!B$3:B$121,'DISPATCH SHEET'!C$3:C$121,""))</f>
        <v/>
      </c>
      <c r="C621" s="14" t="str">
        <f>IF(ISBLANK(A621),"",_xlfn.XLOOKUP(A621,'DISPATCH SHEET'!B$3:B$121,'DISPATCH SHEET'!#REF!,""))</f>
        <v/>
      </c>
      <c r="D621" s="14"/>
      <c r="E621" s="15"/>
      <c r="F621" s="16"/>
      <c r="G621" s="17" t="s">
        <v>0</v>
      </c>
      <c r="H621" s="15"/>
      <c r="I621" s="14" t="s">
        <v>0</v>
      </c>
      <c r="J621" s="14"/>
      <c r="K621" s="18"/>
    </row>
    <row r="622" spans="1:11" s="5" customFormat="1" ht="15" customHeight="1" x14ac:dyDescent="0.2">
      <c r="A622" s="13"/>
      <c r="B622" s="14" t="str">
        <f>IF(A622="","",_xlfn.XLOOKUP(A622,'DISPATCH SHEET'!B$3:B$121,'DISPATCH SHEET'!C$3:C$121,""))</f>
        <v/>
      </c>
      <c r="C622" s="14" t="str">
        <f>IF(ISBLANK(A622),"",_xlfn.XLOOKUP(A622,'DISPATCH SHEET'!B$3:B$121,'DISPATCH SHEET'!#REF!,""))</f>
        <v/>
      </c>
      <c r="D622" s="14"/>
      <c r="E622" s="15"/>
      <c r="F622" s="16"/>
      <c r="G622" s="17" t="s">
        <v>0</v>
      </c>
      <c r="H622" s="15"/>
      <c r="I622" s="14" t="s">
        <v>0</v>
      </c>
      <c r="J622" s="14"/>
      <c r="K622" s="18"/>
    </row>
    <row r="623" spans="1:11" s="5" customFormat="1" ht="15" customHeight="1" x14ac:dyDescent="0.2">
      <c r="A623" s="13"/>
      <c r="B623" s="14" t="str">
        <f>IF(A623="","",_xlfn.XLOOKUP(A623,'DISPATCH SHEET'!B$3:B$121,'DISPATCH SHEET'!C$3:C$121,""))</f>
        <v/>
      </c>
      <c r="C623" s="14" t="str">
        <f>IF(ISBLANK(A623),"",_xlfn.XLOOKUP(A623,'DISPATCH SHEET'!B$3:B$121,'DISPATCH SHEET'!#REF!,""))</f>
        <v/>
      </c>
      <c r="D623" s="14"/>
      <c r="E623" s="15"/>
      <c r="F623" s="16"/>
      <c r="G623" s="17" t="s">
        <v>0</v>
      </c>
      <c r="H623" s="15"/>
      <c r="I623" s="14" t="s">
        <v>0</v>
      </c>
      <c r="J623" s="14"/>
      <c r="K623" s="18"/>
    </row>
    <row r="624" spans="1:11" s="5" customFormat="1" ht="15" customHeight="1" x14ac:dyDescent="0.2">
      <c r="A624" s="13"/>
      <c r="B624" s="14" t="str">
        <f>IF(A624="","",_xlfn.XLOOKUP(A624,'DISPATCH SHEET'!B$3:B$121,'DISPATCH SHEET'!C$3:C$121,""))</f>
        <v/>
      </c>
      <c r="C624" s="14" t="str">
        <f>IF(ISBLANK(A624),"",_xlfn.XLOOKUP(A624,'DISPATCH SHEET'!B$3:B$121,'DISPATCH SHEET'!#REF!,""))</f>
        <v/>
      </c>
      <c r="D624" s="14"/>
      <c r="E624" s="15"/>
      <c r="F624" s="16"/>
      <c r="G624" s="17" t="s">
        <v>0</v>
      </c>
      <c r="H624" s="15"/>
      <c r="I624" s="14" t="s">
        <v>0</v>
      </c>
      <c r="J624" s="14"/>
      <c r="K624" s="18"/>
    </row>
    <row r="625" spans="1:11" s="5" customFormat="1" ht="15" customHeight="1" x14ac:dyDescent="0.2">
      <c r="A625" s="13"/>
      <c r="B625" s="14" t="str">
        <f>IF(A625="","",_xlfn.XLOOKUP(A625,'DISPATCH SHEET'!B$3:B$121,'DISPATCH SHEET'!C$3:C$121,""))</f>
        <v/>
      </c>
      <c r="C625" s="14" t="str">
        <f>IF(ISBLANK(A625),"",_xlfn.XLOOKUP(A625,'DISPATCH SHEET'!B$3:B$121,'DISPATCH SHEET'!#REF!,""))</f>
        <v/>
      </c>
      <c r="D625" s="14"/>
      <c r="E625" s="15"/>
      <c r="F625" s="16"/>
      <c r="G625" s="17" t="s">
        <v>0</v>
      </c>
      <c r="H625" s="15"/>
      <c r="I625" s="14" t="s">
        <v>0</v>
      </c>
      <c r="J625" s="14"/>
      <c r="K625" s="18"/>
    </row>
    <row r="626" spans="1:11" s="5" customFormat="1" ht="15" customHeight="1" x14ac:dyDescent="0.2">
      <c r="A626" s="13"/>
      <c r="B626" s="14" t="str">
        <f>IF(A626="","",_xlfn.XLOOKUP(A626,'DISPATCH SHEET'!B$3:B$121,'DISPATCH SHEET'!C$3:C$121,""))</f>
        <v/>
      </c>
      <c r="C626" s="14" t="str">
        <f>IF(ISBLANK(A626),"",_xlfn.XLOOKUP(A626,'DISPATCH SHEET'!B$3:B$121,'DISPATCH SHEET'!#REF!,""))</f>
        <v/>
      </c>
      <c r="D626" s="14"/>
      <c r="E626" s="15"/>
      <c r="F626" s="16"/>
      <c r="G626" s="17" t="s">
        <v>0</v>
      </c>
      <c r="H626" s="15"/>
      <c r="I626" s="14" t="s">
        <v>0</v>
      </c>
      <c r="J626" s="14"/>
      <c r="K626" s="18"/>
    </row>
    <row r="627" spans="1:11" s="5" customFormat="1" ht="15" customHeight="1" x14ac:dyDescent="0.2">
      <c r="A627" s="13"/>
      <c r="B627" s="14" t="str">
        <f>IF(A627="","",_xlfn.XLOOKUP(A627,'DISPATCH SHEET'!B$3:B$121,'DISPATCH SHEET'!C$3:C$121,""))</f>
        <v/>
      </c>
      <c r="C627" s="14" t="str">
        <f>IF(ISBLANK(A627),"",_xlfn.XLOOKUP(A627,'DISPATCH SHEET'!B$3:B$121,'DISPATCH SHEET'!#REF!,""))</f>
        <v/>
      </c>
      <c r="D627" s="14"/>
      <c r="E627" s="15"/>
      <c r="F627" s="16"/>
      <c r="G627" s="17" t="s">
        <v>0</v>
      </c>
      <c r="H627" s="15"/>
      <c r="I627" s="14" t="s">
        <v>0</v>
      </c>
      <c r="J627" s="14"/>
      <c r="K627" s="18"/>
    </row>
    <row r="628" spans="1:11" s="5" customFormat="1" ht="15" customHeight="1" x14ac:dyDescent="0.2">
      <c r="A628" s="13"/>
      <c r="B628" s="14" t="str">
        <f>IF(A628="","",_xlfn.XLOOKUP(A628,'DISPATCH SHEET'!B$3:B$121,'DISPATCH SHEET'!C$3:C$121,""))</f>
        <v/>
      </c>
      <c r="C628" s="14" t="str">
        <f>IF(ISBLANK(A628),"",_xlfn.XLOOKUP(A628,'DISPATCH SHEET'!B$3:B$121,'DISPATCH SHEET'!#REF!,""))</f>
        <v/>
      </c>
      <c r="D628" s="14"/>
      <c r="E628" s="15"/>
      <c r="F628" s="16"/>
      <c r="G628" s="17" t="s">
        <v>0</v>
      </c>
      <c r="H628" s="15"/>
      <c r="I628" s="14" t="s">
        <v>0</v>
      </c>
      <c r="J628" s="14"/>
      <c r="K628" s="18"/>
    </row>
    <row r="629" spans="1:11" s="5" customFormat="1" ht="15" customHeight="1" x14ac:dyDescent="0.2">
      <c r="A629" s="13"/>
      <c r="B629" s="14" t="str">
        <f>IF(A629="","",_xlfn.XLOOKUP(A629,'DISPATCH SHEET'!B$3:B$121,'DISPATCH SHEET'!C$3:C$121,""))</f>
        <v/>
      </c>
      <c r="C629" s="14" t="str">
        <f>IF(ISBLANK(A629),"",_xlfn.XLOOKUP(A629,'DISPATCH SHEET'!B$3:B$121,'DISPATCH SHEET'!#REF!,""))</f>
        <v/>
      </c>
      <c r="D629" s="14"/>
      <c r="E629" s="15"/>
      <c r="F629" s="16"/>
      <c r="G629" s="17" t="s">
        <v>0</v>
      </c>
      <c r="H629" s="15"/>
      <c r="I629" s="14" t="s">
        <v>0</v>
      </c>
      <c r="J629" s="14"/>
      <c r="K629" s="18"/>
    </row>
    <row r="630" spans="1:11" s="5" customFormat="1" ht="15" customHeight="1" x14ac:dyDescent="0.2">
      <c r="A630" s="13"/>
      <c r="B630" s="14" t="str">
        <f>IF(A630="","",_xlfn.XLOOKUP(A630,'DISPATCH SHEET'!B$3:B$121,'DISPATCH SHEET'!C$3:C$121,""))</f>
        <v/>
      </c>
      <c r="C630" s="14" t="str">
        <f>IF(ISBLANK(A630),"",_xlfn.XLOOKUP(A630,'DISPATCH SHEET'!B$3:B$121,'DISPATCH SHEET'!#REF!,""))</f>
        <v/>
      </c>
      <c r="D630" s="14"/>
      <c r="E630" s="15"/>
      <c r="F630" s="16"/>
      <c r="G630" s="17" t="s">
        <v>0</v>
      </c>
      <c r="H630" s="15"/>
      <c r="I630" s="14" t="s">
        <v>0</v>
      </c>
      <c r="J630" s="14"/>
      <c r="K630" s="18"/>
    </row>
    <row r="631" spans="1:11" s="5" customFormat="1" ht="15" customHeight="1" x14ac:dyDescent="0.2">
      <c r="A631" s="13"/>
      <c r="B631" s="14" t="str">
        <f>IF(A631="","",_xlfn.XLOOKUP(A631,'DISPATCH SHEET'!B$3:B$121,'DISPATCH SHEET'!C$3:C$121,""))</f>
        <v/>
      </c>
      <c r="C631" s="14" t="str">
        <f>IF(ISBLANK(A631),"",_xlfn.XLOOKUP(A631,'DISPATCH SHEET'!B$3:B$121,'DISPATCH SHEET'!#REF!,""))</f>
        <v/>
      </c>
      <c r="D631" s="14"/>
      <c r="E631" s="15"/>
      <c r="F631" s="16"/>
      <c r="G631" s="17" t="s">
        <v>0</v>
      </c>
      <c r="H631" s="15"/>
      <c r="I631" s="14" t="s">
        <v>0</v>
      </c>
      <c r="J631" s="14"/>
      <c r="K631" s="18"/>
    </row>
    <row r="632" spans="1:11" s="5" customFormat="1" ht="15" customHeight="1" x14ac:dyDescent="0.2">
      <c r="A632" s="13"/>
      <c r="B632" s="14" t="str">
        <f>IF(A632="","",_xlfn.XLOOKUP(A632,'DISPATCH SHEET'!B$3:B$121,'DISPATCH SHEET'!C$3:C$121,""))</f>
        <v/>
      </c>
      <c r="C632" s="14" t="str">
        <f>IF(ISBLANK(A632),"",_xlfn.XLOOKUP(A632,'DISPATCH SHEET'!B$3:B$121,'DISPATCH SHEET'!#REF!,""))</f>
        <v/>
      </c>
      <c r="D632" s="14"/>
      <c r="E632" s="15"/>
      <c r="F632" s="16"/>
      <c r="G632" s="17" t="s">
        <v>0</v>
      </c>
      <c r="H632" s="15"/>
      <c r="I632" s="14" t="s">
        <v>0</v>
      </c>
      <c r="J632" s="14"/>
      <c r="K632" s="18"/>
    </row>
    <row r="633" spans="1:11" s="5" customFormat="1" ht="15" customHeight="1" x14ac:dyDescent="0.2">
      <c r="A633" s="13"/>
      <c r="B633" s="14" t="str">
        <f>IF(A633="","",_xlfn.XLOOKUP(A633,'DISPATCH SHEET'!B$3:B$121,'DISPATCH SHEET'!C$3:C$121,""))</f>
        <v/>
      </c>
      <c r="C633" s="14" t="str">
        <f>IF(ISBLANK(A633),"",_xlfn.XLOOKUP(A633,'DISPATCH SHEET'!B$3:B$121,'DISPATCH SHEET'!#REF!,""))</f>
        <v/>
      </c>
      <c r="D633" s="14"/>
      <c r="E633" s="15"/>
      <c r="F633" s="16"/>
      <c r="G633" s="17" t="s">
        <v>0</v>
      </c>
      <c r="H633" s="15"/>
      <c r="I633" s="14" t="s">
        <v>0</v>
      </c>
      <c r="J633" s="14"/>
      <c r="K633" s="18"/>
    </row>
    <row r="634" spans="1:11" s="5" customFormat="1" ht="15" customHeight="1" x14ac:dyDescent="0.2">
      <c r="A634" s="13"/>
      <c r="B634" s="14" t="str">
        <f>IF(A634="","",_xlfn.XLOOKUP(A634,'DISPATCH SHEET'!B$3:B$121,'DISPATCH SHEET'!C$3:C$121,""))</f>
        <v/>
      </c>
      <c r="C634" s="14" t="str">
        <f>IF(ISBLANK(A634),"",_xlfn.XLOOKUP(A634,'DISPATCH SHEET'!B$3:B$121,'DISPATCH SHEET'!#REF!,""))</f>
        <v/>
      </c>
      <c r="D634" s="14"/>
      <c r="E634" s="15"/>
      <c r="F634" s="16"/>
      <c r="G634" s="17" t="s">
        <v>0</v>
      </c>
      <c r="H634" s="15"/>
      <c r="I634" s="14" t="s">
        <v>0</v>
      </c>
      <c r="J634" s="14"/>
      <c r="K634" s="18"/>
    </row>
    <row r="635" spans="1:11" s="5" customFormat="1" ht="15" customHeight="1" x14ac:dyDescent="0.2">
      <c r="A635" s="13"/>
      <c r="B635" s="14" t="str">
        <f>IF(A635="","",_xlfn.XLOOKUP(A635,'DISPATCH SHEET'!B$3:B$121,'DISPATCH SHEET'!C$3:C$121,""))</f>
        <v/>
      </c>
      <c r="C635" s="14" t="str">
        <f>IF(ISBLANK(A635),"",_xlfn.XLOOKUP(A635,'DISPATCH SHEET'!B$3:B$121,'DISPATCH SHEET'!#REF!,""))</f>
        <v/>
      </c>
      <c r="D635" s="14"/>
      <c r="E635" s="15"/>
      <c r="F635" s="16"/>
      <c r="G635" s="17" t="s">
        <v>0</v>
      </c>
      <c r="H635" s="15"/>
      <c r="I635" s="14" t="s">
        <v>0</v>
      </c>
      <c r="J635" s="14"/>
      <c r="K635" s="18"/>
    </row>
    <row r="636" spans="1:11" s="5" customFormat="1" ht="15" customHeight="1" x14ac:dyDescent="0.2">
      <c r="A636" s="13"/>
      <c r="B636" s="14" t="str">
        <f>IF(A636="","",_xlfn.XLOOKUP(A636,'DISPATCH SHEET'!B$3:B$121,'DISPATCH SHEET'!C$3:C$121,""))</f>
        <v/>
      </c>
      <c r="C636" s="14" t="str">
        <f>IF(ISBLANK(A636),"",_xlfn.XLOOKUP(A636,'DISPATCH SHEET'!B$3:B$121,'DISPATCH SHEET'!#REF!,""))</f>
        <v/>
      </c>
      <c r="D636" s="14"/>
      <c r="E636" s="15"/>
      <c r="F636" s="16"/>
      <c r="G636" s="17" t="s">
        <v>0</v>
      </c>
      <c r="H636" s="15"/>
      <c r="I636" s="14" t="s">
        <v>0</v>
      </c>
      <c r="J636" s="14"/>
      <c r="K636" s="18"/>
    </row>
    <row r="637" spans="1:11" s="5" customFormat="1" ht="15" customHeight="1" x14ac:dyDescent="0.2">
      <c r="A637" s="13"/>
      <c r="B637" s="14" t="str">
        <f>IF(A637="","",_xlfn.XLOOKUP(A637,'DISPATCH SHEET'!B$3:B$121,'DISPATCH SHEET'!C$3:C$121,""))</f>
        <v/>
      </c>
      <c r="C637" s="14" t="str">
        <f>IF(ISBLANK(A637),"",_xlfn.XLOOKUP(A637,'DISPATCH SHEET'!B$3:B$121,'DISPATCH SHEET'!#REF!,""))</f>
        <v/>
      </c>
      <c r="D637" s="14"/>
      <c r="E637" s="15"/>
      <c r="F637" s="16"/>
      <c r="G637" s="17" t="s">
        <v>0</v>
      </c>
      <c r="H637" s="15"/>
      <c r="I637" s="14" t="s">
        <v>0</v>
      </c>
      <c r="J637" s="14"/>
      <c r="K637" s="18"/>
    </row>
    <row r="638" spans="1:11" s="5" customFormat="1" ht="15" customHeight="1" x14ac:dyDescent="0.2">
      <c r="A638" s="13"/>
      <c r="B638" s="14" t="str">
        <f>IF(A638="","",_xlfn.XLOOKUP(A638,'DISPATCH SHEET'!B$3:B$121,'DISPATCH SHEET'!C$3:C$121,""))</f>
        <v/>
      </c>
      <c r="C638" s="14" t="str">
        <f>IF(ISBLANK(A638),"",_xlfn.XLOOKUP(A638,'DISPATCH SHEET'!B$3:B$121,'DISPATCH SHEET'!#REF!,""))</f>
        <v/>
      </c>
      <c r="D638" s="14"/>
      <c r="E638" s="15"/>
      <c r="F638" s="16"/>
      <c r="G638" s="17" t="s">
        <v>0</v>
      </c>
      <c r="H638" s="15"/>
      <c r="I638" s="14" t="s">
        <v>0</v>
      </c>
      <c r="J638" s="14"/>
      <c r="K638" s="18"/>
    </row>
    <row r="639" spans="1:11" s="5" customFormat="1" ht="15" customHeight="1" x14ac:dyDescent="0.2">
      <c r="A639" s="13"/>
      <c r="B639" s="14" t="str">
        <f>IF(A639="","",_xlfn.XLOOKUP(A639,'DISPATCH SHEET'!B$3:B$121,'DISPATCH SHEET'!C$3:C$121,""))</f>
        <v/>
      </c>
      <c r="C639" s="14" t="str">
        <f>IF(ISBLANK(A639),"",_xlfn.XLOOKUP(A639,'DISPATCH SHEET'!B$3:B$121,'DISPATCH SHEET'!#REF!,""))</f>
        <v/>
      </c>
      <c r="D639" s="14"/>
      <c r="E639" s="15"/>
      <c r="F639" s="16"/>
      <c r="G639" s="17" t="s">
        <v>0</v>
      </c>
      <c r="H639" s="15"/>
      <c r="I639" s="14" t="s">
        <v>0</v>
      </c>
      <c r="J639" s="14"/>
      <c r="K639" s="18"/>
    </row>
    <row r="640" spans="1:11" s="5" customFormat="1" ht="15" customHeight="1" x14ac:dyDescent="0.2">
      <c r="A640" s="13"/>
      <c r="B640" s="14" t="str">
        <f>IF(A640="","",_xlfn.XLOOKUP(A640,'DISPATCH SHEET'!B$3:B$121,'DISPATCH SHEET'!C$3:C$121,""))</f>
        <v/>
      </c>
      <c r="C640" s="14" t="str">
        <f>IF(ISBLANK(A640),"",_xlfn.XLOOKUP(A640,'DISPATCH SHEET'!B$3:B$121,'DISPATCH SHEET'!#REF!,""))</f>
        <v/>
      </c>
      <c r="D640" s="14"/>
      <c r="E640" s="15"/>
      <c r="F640" s="16"/>
      <c r="G640" s="17" t="s">
        <v>0</v>
      </c>
      <c r="H640" s="15"/>
      <c r="I640" s="14" t="s">
        <v>0</v>
      </c>
      <c r="J640" s="14"/>
      <c r="K640" s="18"/>
    </row>
    <row r="641" spans="1:11" s="5" customFormat="1" ht="15" customHeight="1" x14ac:dyDescent="0.2">
      <c r="A641" s="13"/>
      <c r="B641" s="14" t="str">
        <f>IF(A641="","",_xlfn.XLOOKUP(A641,'DISPATCH SHEET'!B$3:B$121,'DISPATCH SHEET'!C$3:C$121,""))</f>
        <v/>
      </c>
      <c r="C641" s="14" t="str">
        <f>IF(ISBLANK(A641),"",_xlfn.XLOOKUP(A641,'DISPATCH SHEET'!B$3:B$121,'DISPATCH SHEET'!#REF!,""))</f>
        <v/>
      </c>
      <c r="D641" s="14"/>
      <c r="E641" s="15"/>
      <c r="F641" s="16"/>
      <c r="G641" s="17" t="s">
        <v>0</v>
      </c>
      <c r="H641" s="15"/>
      <c r="I641" s="14" t="s">
        <v>0</v>
      </c>
      <c r="J641" s="14"/>
      <c r="K641" s="18"/>
    </row>
    <row r="642" spans="1:11" s="5" customFormat="1" ht="15" customHeight="1" x14ac:dyDescent="0.2">
      <c r="A642" s="13"/>
      <c r="B642" s="14" t="str">
        <f>IF(A642="","",_xlfn.XLOOKUP(A642,'DISPATCH SHEET'!B$3:B$121,'DISPATCH SHEET'!C$3:C$121,""))</f>
        <v/>
      </c>
      <c r="C642" s="14" t="str">
        <f>IF(ISBLANK(A642),"",_xlfn.XLOOKUP(A642,'DISPATCH SHEET'!B$3:B$121,'DISPATCH SHEET'!#REF!,""))</f>
        <v/>
      </c>
      <c r="D642" s="14"/>
      <c r="E642" s="15"/>
      <c r="F642" s="16"/>
      <c r="G642" s="17" t="s">
        <v>0</v>
      </c>
      <c r="H642" s="15"/>
      <c r="I642" s="14" t="s">
        <v>0</v>
      </c>
      <c r="J642" s="14"/>
      <c r="K642" s="18"/>
    </row>
    <row r="643" spans="1:11" s="5" customFormat="1" ht="15" customHeight="1" x14ac:dyDescent="0.2">
      <c r="A643" s="13"/>
      <c r="B643" s="14" t="str">
        <f>IF(A643="","",_xlfn.XLOOKUP(A643,'DISPATCH SHEET'!B$3:B$121,'DISPATCH SHEET'!C$3:C$121,""))</f>
        <v/>
      </c>
      <c r="C643" s="14" t="str">
        <f>IF(ISBLANK(A643),"",_xlfn.XLOOKUP(A643,'DISPATCH SHEET'!B$3:B$121,'DISPATCH SHEET'!#REF!,""))</f>
        <v/>
      </c>
      <c r="D643" s="14"/>
      <c r="E643" s="15"/>
      <c r="F643" s="16"/>
      <c r="G643" s="17" t="s">
        <v>0</v>
      </c>
      <c r="H643" s="15"/>
      <c r="I643" s="14" t="s">
        <v>0</v>
      </c>
      <c r="J643" s="14"/>
      <c r="K643" s="18"/>
    </row>
    <row r="644" spans="1:11" s="5" customFormat="1" ht="15" customHeight="1" x14ac:dyDescent="0.2">
      <c r="A644" s="13"/>
      <c r="B644" s="14" t="str">
        <f>IF(A644="","",_xlfn.XLOOKUP(A644,'DISPATCH SHEET'!B$3:B$121,'DISPATCH SHEET'!C$3:C$121,""))</f>
        <v/>
      </c>
      <c r="C644" s="14" t="str">
        <f>IF(ISBLANK(A644),"",_xlfn.XLOOKUP(A644,'DISPATCH SHEET'!B$3:B$121,'DISPATCH SHEET'!#REF!,""))</f>
        <v/>
      </c>
      <c r="D644" s="14"/>
      <c r="E644" s="15"/>
      <c r="F644" s="16"/>
      <c r="G644" s="17" t="s">
        <v>0</v>
      </c>
      <c r="H644" s="15"/>
      <c r="I644" s="14" t="s">
        <v>0</v>
      </c>
      <c r="J644" s="14"/>
      <c r="K644" s="18"/>
    </row>
    <row r="645" spans="1:11" s="5" customFormat="1" ht="15" customHeight="1" x14ac:dyDescent="0.2">
      <c r="A645" s="13"/>
      <c r="B645" s="14" t="str">
        <f>IF(A645="","",_xlfn.XLOOKUP(A645,'DISPATCH SHEET'!B$3:B$121,'DISPATCH SHEET'!C$3:C$121,""))</f>
        <v/>
      </c>
      <c r="C645" s="14" t="str">
        <f>IF(ISBLANK(A645),"",_xlfn.XLOOKUP(A645,'DISPATCH SHEET'!B$3:B$121,'DISPATCH SHEET'!#REF!,""))</f>
        <v/>
      </c>
      <c r="D645" s="14"/>
      <c r="E645" s="15"/>
      <c r="F645" s="16"/>
      <c r="G645" s="17" t="s">
        <v>0</v>
      </c>
      <c r="H645" s="15"/>
      <c r="I645" s="14" t="s">
        <v>0</v>
      </c>
      <c r="J645" s="14"/>
      <c r="K645" s="18"/>
    </row>
    <row r="646" spans="1:11" s="5" customFormat="1" ht="15" customHeight="1" x14ac:dyDescent="0.2">
      <c r="A646" s="13"/>
      <c r="B646" s="14" t="str">
        <f>IF(A646="","",_xlfn.XLOOKUP(A646,'DISPATCH SHEET'!B$3:B$121,'DISPATCH SHEET'!C$3:C$121,""))</f>
        <v/>
      </c>
      <c r="C646" s="14" t="str">
        <f>IF(ISBLANK(A646),"",_xlfn.XLOOKUP(A646,'DISPATCH SHEET'!B$3:B$121,'DISPATCH SHEET'!#REF!,""))</f>
        <v/>
      </c>
      <c r="D646" s="14"/>
      <c r="E646" s="15"/>
      <c r="F646" s="16"/>
      <c r="G646" s="17" t="s">
        <v>0</v>
      </c>
      <c r="H646" s="15"/>
      <c r="I646" s="14" t="s">
        <v>0</v>
      </c>
      <c r="J646" s="14"/>
      <c r="K646" s="18"/>
    </row>
    <row r="647" spans="1:11" s="5" customFormat="1" ht="15" customHeight="1" x14ac:dyDescent="0.2">
      <c r="A647" s="13"/>
      <c r="B647" s="14" t="str">
        <f>IF(A647="","",_xlfn.XLOOKUP(A647,'DISPATCH SHEET'!B$3:B$121,'DISPATCH SHEET'!C$3:C$121,""))</f>
        <v/>
      </c>
      <c r="C647" s="14" t="str">
        <f>IF(ISBLANK(A647),"",_xlfn.XLOOKUP(A647,'DISPATCH SHEET'!B$3:B$121,'DISPATCH SHEET'!#REF!,""))</f>
        <v/>
      </c>
      <c r="D647" s="14"/>
      <c r="E647" s="15"/>
      <c r="F647" s="16"/>
      <c r="G647" s="17" t="s">
        <v>0</v>
      </c>
      <c r="H647" s="15"/>
      <c r="I647" s="14" t="s">
        <v>0</v>
      </c>
      <c r="J647" s="14"/>
      <c r="K647" s="18"/>
    </row>
    <row r="648" spans="1:11" s="5" customFormat="1" ht="15" customHeight="1" x14ac:dyDescent="0.2">
      <c r="A648" s="13"/>
      <c r="B648" s="14" t="str">
        <f>IF(A648="","",_xlfn.XLOOKUP(A648,'DISPATCH SHEET'!B$3:B$121,'DISPATCH SHEET'!C$3:C$121,""))</f>
        <v/>
      </c>
      <c r="C648" s="14" t="str">
        <f>IF(ISBLANK(A648),"",_xlfn.XLOOKUP(A648,'DISPATCH SHEET'!B$3:B$121,'DISPATCH SHEET'!#REF!,""))</f>
        <v/>
      </c>
      <c r="D648" s="14"/>
      <c r="E648" s="15"/>
      <c r="F648" s="16"/>
      <c r="G648" s="17" t="s">
        <v>0</v>
      </c>
      <c r="H648" s="15"/>
      <c r="I648" s="14" t="s">
        <v>0</v>
      </c>
      <c r="J648" s="14"/>
      <c r="K648" s="18"/>
    </row>
    <row r="649" spans="1:11" s="5" customFormat="1" ht="15" customHeight="1" x14ac:dyDescent="0.2">
      <c r="A649" s="13"/>
      <c r="B649" s="14" t="str">
        <f>IF(A649="","",_xlfn.XLOOKUP(A649,'DISPATCH SHEET'!B$3:B$121,'DISPATCH SHEET'!C$3:C$121,""))</f>
        <v/>
      </c>
      <c r="C649" s="14" t="str">
        <f>IF(ISBLANK(A649),"",_xlfn.XLOOKUP(A649,'DISPATCH SHEET'!B$3:B$121,'DISPATCH SHEET'!#REF!,""))</f>
        <v/>
      </c>
      <c r="D649" s="14"/>
      <c r="E649" s="15"/>
      <c r="F649" s="16"/>
      <c r="G649" s="17" t="s">
        <v>0</v>
      </c>
      <c r="H649" s="15"/>
      <c r="I649" s="14" t="s">
        <v>0</v>
      </c>
      <c r="J649" s="14"/>
      <c r="K649" s="18"/>
    </row>
    <row r="650" spans="1:11" s="5" customFormat="1" ht="15" customHeight="1" x14ac:dyDescent="0.2">
      <c r="A650" s="13"/>
      <c r="B650" s="14" t="str">
        <f>IF(A650="","",_xlfn.XLOOKUP(A650,'DISPATCH SHEET'!B$3:B$121,'DISPATCH SHEET'!C$3:C$121,""))</f>
        <v/>
      </c>
      <c r="C650" s="14" t="str">
        <f>IF(ISBLANK(A650),"",_xlfn.XLOOKUP(A650,'DISPATCH SHEET'!B$3:B$121,'DISPATCH SHEET'!#REF!,""))</f>
        <v/>
      </c>
      <c r="D650" s="14"/>
      <c r="E650" s="15"/>
      <c r="F650" s="16"/>
      <c r="G650" s="17" t="s">
        <v>0</v>
      </c>
      <c r="H650" s="15"/>
      <c r="I650" s="14" t="s">
        <v>0</v>
      </c>
      <c r="J650" s="14"/>
      <c r="K650" s="18"/>
    </row>
    <row r="651" spans="1:11" s="5" customFormat="1" ht="15" customHeight="1" x14ac:dyDescent="0.2">
      <c r="A651" s="13"/>
      <c r="B651" s="14" t="str">
        <f>IF(A651="","",_xlfn.XLOOKUP(A651,'DISPATCH SHEET'!B$3:B$121,'DISPATCH SHEET'!C$3:C$121,""))</f>
        <v/>
      </c>
      <c r="C651" s="14" t="str">
        <f>IF(ISBLANK(A651),"",_xlfn.XLOOKUP(A651,'DISPATCH SHEET'!B$3:B$121,'DISPATCH SHEET'!#REF!,""))</f>
        <v/>
      </c>
      <c r="D651" s="14"/>
      <c r="E651" s="15"/>
      <c r="F651" s="16"/>
      <c r="G651" s="17" t="s">
        <v>0</v>
      </c>
      <c r="H651" s="15"/>
      <c r="I651" s="14" t="s">
        <v>0</v>
      </c>
      <c r="J651" s="14"/>
      <c r="K651" s="18"/>
    </row>
    <row r="652" spans="1:11" s="5" customFormat="1" ht="15" customHeight="1" x14ac:dyDescent="0.2">
      <c r="A652" s="13"/>
      <c r="B652" s="14" t="str">
        <f>IF(A652="","",_xlfn.XLOOKUP(A652,'DISPATCH SHEET'!B$3:B$121,'DISPATCH SHEET'!C$3:C$121,""))</f>
        <v/>
      </c>
      <c r="C652" s="14" t="str">
        <f>IF(ISBLANK(A652),"",_xlfn.XLOOKUP(A652,'DISPATCH SHEET'!B$3:B$121,'DISPATCH SHEET'!#REF!,""))</f>
        <v/>
      </c>
      <c r="D652" s="14"/>
      <c r="E652" s="15"/>
      <c r="F652" s="16"/>
      <c r="G652" s="17" t="s">
        <v>0</v>
      </c>
      <c r="H652" s="15"/>
      <c r="I652" s="14" t="s">
        <v>0</v>
      </c>
      <c r="J652" s="14"/>
      <c r="K652" s="18"/>
    </row>
    <row r="653" spans="1:11" s="5" customFormat="1" ht="15" customHeight="1" x14ac:dyDescent="0.2">
      <c r="A653" s="13"/>
      <c r="B653" s="14" t="str">
        <f>IF(A653="","",_xlfn.XLOOKUP(A653,'DISPATCH SHEET'!B$3:B$121,'DISPATCH SHEET'!C$3:C$121,""))</f>
        <v/>
      </c>
      <c r="C653" s="14" t="str">
        <f>IF(ISBLANK(A653),"",_xlfn.XLOOKUP(A653,'DISPATCH SHEET'!B$3:B$121,'DISPATCH SHEET'!#REF!,""))</f>
        <v/>
      </c>
      <c r="D653" s="14"/>
      <c r="E653" s="15"/>
      <c r="F653" s="16"/>
      <c r="G653" s="17" t="s">
        <v>0</v>
      </c>
      <c r="H653" s="15"/>
      <c r="I653" s="14" t="s">
        <v>0</v>
      </c>
      <c r="J653" s="14"/>
      <c r="K653" s="18"/>
    </row>
    <row r="654" spans="1:11" s="5" customFormat="1" ht="15" customHeight="1" x14ac:dyDescent="0.2">
      <c r="A654" s="13"/>
      <c r="B654" s="14" t="str">
        <f>IF(A654="","",_xlfn.XLOOKUP(A654,'DISPATCH SHEET'!B$3:B$121,'DISPATCH SHEET'!C$3:C$121,""))</f>
        <v/>
      </c>
      <c r="C654" s="14" t="str">
        <f>IF(ISBLANK(A654),"",_xlfn.XLOOKUP(A654,'DISPATCH SHEET'!B$3:B$121,'DISPATCH SHEET'!#REF!,""))</f>
        <v/>
      </c>
      <c r="D654" s="14"/>
      <c r="E654" s="15"/>
      <c r="F654" s="16"/>
      <c r="G654" s="17" t="s">
        <v>0</v>
      </c>
      <c r="H654" s="15"/>
      <c r="I654" s="14" t="s">
        <v>0</v>
      </c>
      <c r="J654" s="14"/>
      <c r="K654" s="18"/>
    </row>
    <row r="655" spans="1:11" s="5" customFormat="1" ht="15" customHeight="1" x14ac:dyDescent="0.2">
      <c r="A655" s="13"/>
      <c r="B655" s="14" t="str">
        <f>IF(A655="","",_xlfn.XLOOKUP(A655,'DISPATCH SHEET'!B$3:B$121,'DISPATCH SHEET'!C$3:C$121,""))</f>
        <v/>
      </c>
      <c r="C655" s="14" t="str">
        <f>IF(ISBLANK(A655),"",_xlfn.XLOOKUP(A655,'DISPATCH SHEET'!B$3:B$121,'DISPATCH SHEET'!#REF!,""))</f>
        <v/>
      </c>
      <c r="D655" s="14"/>
      <c r="E655" s="15"/>
      <c r="F655" s="16"/>
      <c r="G655" s="17" t="s">
        <v>0</v>
      </c>
      <c r="H655" s="15"/>
      <c r="I655" s="14" t="s">
        <v>0</v>
      </c>
      <c r="J655" s="14"/>
      <c r="K655" s="18"/>
    </row>
    <row r="656" spans="1:11" s="5" customFormat="1" ht="15" customHeight="1" x14ac:dyDescent="0.2">
      <c r="A656" s="13"/>
      <c r="B656" s="14" t="str">
        <f>IF(A656="","",_xlfn.XLOOKUP(A656,'DISPATCH SHEET'!B$3:B$121,'DISPATCH SHEET'!C$3:C$121,""))</f>
        <v/>
      </c>
      <c r="C656" s="14" t="str">
        <f>IF(ISBLANK(A656),"",_xlfn.XLOOKUP(A656,'DISPATCH SHEET'!B$3:B$121,'DISPATCH SHEET'!#REF!,""))</f>
        <v/>
      </c>
      <c r="D656" s="14"/>
      <c r="E656" s="15"/>
      <c r="F656" s="16"/>
      <c r="G656" s="17" t="s">
        <v>0</v>
      </c>
      <c r="H656" s="15"/>
      <c r="I656" s="14" t="s">
        <v>0</v>
      </c>
      <c r="J656" s="14"/>
      <c r="K656" s="18"/>
    </row>
    <row r="657" spans="1:11" s="5" customFormat="1" ht="15" customHeight="1" x14ac:dyDescent="0.2">
      <c r="A657" s="13"/>
      <c r="B657" s="14" t="str">
        <f>IF(A657="","",_xlfn.XLOOKUP(A657,'DISPATCH SHEET'!B$3:B$121,'DISPATCH SHEET'!C$3:C$121,""))</f>
        <v/>
      </c>
      <c r="C657" s="14" t="str">
        <f>IF(ISBLANK(A657),"",_xlfn.XLOOKUP(A657,'DISPATCH SHEET'!B$3:B$121,'DISPATCH SHEET'!#REF!,""))</f>
        <v/>
      </c>
      <c r="D657" s="14"/>
      <c r="E657" s="15"/>
      <c r="F657" s="16"/>
      <c r="G657" s="17" t="s">
        <v>0</v>
      </c>
      <c r="H657" s="15"/>
      <c r="I657" s="14" t="s">
        <v>0</v>
      </c>
      <c r="J657" s="14"/>
      <c r="K657" s="18"/>
    </row>
    <row r="658" spans="1:11" s="5" customFormat="1" ht="15" customHeight="1" x14ac:dyDescent="0.2">
      <c r="A658" s="13"/>
      <c r="B658" s="14" t="str">
        <f>IF(A658="","",_xlfn.XLOOKUP(A658,'DISPATCH SHEET'!B$3:B$121,'DISPATCH SHEET'!C$3:C$121,""))</f>
        <v/>
      </c>
      <c r="C658" s="14" t="str">
        <f>IF(ISBLANK(A658),"",_xlfn.XLOOKUP(A658,'DISPATCH SHEET'!B$3:B$121,'DISPATCH SHEET'!#REF!,""))</f>
        <v/>
      </c>
      <c r="D658" s="14"/>
      <c r="E658" s="15"/>
      <c r="F658" s="16"/>
      <c r="G658" s="17" t="s">
        <v>0</v>
      </c>
      <c r="H658" s="15"/>
      <c r="I658" s="14" t="s">
        <v>0</v>
      </c>
      <c r="J658" s="14"/>
      <c r="K658" s="18"/>
    </row>
    <row r="659" spans="1:11" s="5" customFormat="1" ht="15" customHeight="1" x14ac:dyDescent="0.2">
      <c r="A659" s="13"/>
      <c r="B659" s="14" t="str">
        <f>IF(A659="","",_xlfn.XLOOKUP(A659,'DISPATCH SHEET'!B$3:B$121,'DISPATCH SHEET'!C$3:C$121,""))</f>
        <v/>
      </c>
      <c r="C659" s="14" t="str">
        <f>IF(ISBLANK(A659),"",_xlfn.XLOOKUP(A659,'DISPATCH SHEET'!B$3:B$121,'DISPATCH SHEET'!#REF!,""))</f>
        <v/>
      </c>
      <c r="D659" s="14"/>
      <c r="E659" s="15"/>
      <c r="F659" s="16"/>
      <c r="G659" s="17" t="s">
        <v>0</v>
      </c>
      <c r="H659" s="15"/>
      <c r="I659" s="14" t="s">
        <v>0</v>
      </c>
      <c r="J659" s="14"/>
      <c r="K659" s="18"/>
    </row>
    <row r="660" spans="1:11" s="5" customFormat="1" ht="15" customHeight="1" x14ac:dyDescent="0.2">
      <c r="A660" s="13"/>
      <c r="B660" s="14" t="str">
        <f>IF(A660="","",_xlfn.XLOOKUP(A660,'DISPATCH SHEET'!B$3:B$121,'DISPATCH SHEET'!C$3:C$121,""))</f>
        <v/>
      </c>
      <c r="C660" s="14" t="str">
        <f>IF(ISBLANK(A660),"",_xlfn.XLOOKUP(A660,'DISPATCH SHEET'!B$3:B$121,'DISPATCH SHEET'!#REF!,""))</f>
        <v/>
      </c>
      <c r="D660" s="14"/>
      <c r="E660" s="15"/>
      <c r="F660" s="16"/>
      <c r="G660" s="17" t="s">
        <v>0</v>
      </c>
      <c r="H660" s="15"/>
      <c r="I660" s="14" t="s">
        <v>0</v>
      </c>
      <c r="J660" s="14"/>
      <c r="K660" s="18"/>
    </row>
    <row r="661" spans="1:11" s="5" customFormat="1" ht="15" customHeight="1" x14ac:dyDescent="0.2">
      <c r="A661" s="13"/>
      <c r="B661" s="14" t="str">
        <f>IF(A661="","",_xlfn.XLOOKUP(A661,'DISPATCH SHEET'!B$3:B$121,'DISPATCH SHEET'!C$3:C$121,""))</f>
        <v/>
      </c>
      <c r="C661" s="14" t="str">
        <f>IF(ISBLANK(A661),"",_xlfn.XLOOKUP(A661,'DISPATCH SHEET'!B$3:B$121,'DISPATCH SHEET'!#REF!,""))</f>
        <v/>
      </c>
      <c r="D661" s="14"/>
      <c r="E661" s="15"/>
      <c r="F661" s="16"/>
      <c r="G661" s="17" t="s">
        <v>0</v>
      </c>
      <c r="H661" s="15"/>
      <c r="I661" s="14" t="s">
        <v>0</v>
      </c>
      <c r="J661" s="14"/>
      <c r="K661" s="18"/>
    </row>
    <row r="662" spans="1:11" s="5" customFormat="1" ht="15" customHeight="1" x14ac:dyDescent="0.2">
      <c r="A662" s="13"/>
      <c r="B662" s="14" t="str">
        <f>IF(A662="","",_xlfn.XLOOKUP(A662,'DISPATCH SHEET'!B$3:B$121,'DISPATCH SHEET'!C$3:C$121,""))</f>
        <v/>
      </c>
      <c r="C662" s="14" t="str">
        <f>IF(ISBLANK(A662),"",_xlfn.XLOOKUP(A662,'DISPATCH SHEET'!B$3:B$121,'DISPATCH SHEET'!#REF!,""))</f>
        <v/>
      </c>
      <c r="D662" s="14"/>
      <c r="E662" s="15"/>
      <c r="F662" s="16"/>
      <c r="G662" s="17" t="s">
        <v>0</v>
      </c>
      <c r="H662" s="15"/>
      <c r="I662" s="14" t="s">
        <v>0</v>
      </c>
      <c r="J662" s="14"/>
      <c r="K662" s="18"/>
    </row>
    <row r="663" spans="1:11" s="5" customFormat="1" ht="15" customHeight="1" x14ac:dyDescent="0.2">
      <c r="A663" s="13"/>
      <c r="B663" s="14" t="str">
        <f>IF(A663="","",_xlfn.XLOOKUP(A663,'DISPATCH SHEET'!B$3:B$121,'DISPATCH SHEET'!C$3:C$121,""))</f>
        <v/>
      </c>
      <c r="C663" s="14" t="str">
        <f>IF(ISBLANK(A663),"",_xlfn.XLOOKUP(A663,'DISPATCH SHEET'!B$3:B$121,'DISPATCH SHEET'!#REF!,""))</f>
        <v/>
      </c>
      <c r="D663" s="14"/>
      <c r="E663" s="15"/>
      <c r="F663" s="16"/>
      <c r="G663" s="17" t="s">
        <v>0</v>
      </c>
      <c r="H663" s="15"/>
      <c r="I663" s="14" t="s">
        <v>0</v>
      </c>
      <c r="J663" s="14"/>
      <c r="K663" s="18"/>
    </row>
    <row r="664" spans="1:11" s="5" customFormat="1" ht="15" customHeight="1" x14ac:dyDescent="0.2">
      <c r="A664" s="13"/>
      <c r="B664" s="14" t="str">
        <f>IF(A664="","",_xlfn.XLOOKUP(A664,'DISPATCH SHEET'!B$3:B$121,'DISPATCH SHEET'!C$3:C$121,""))</f>
        <v/>
      </c>
      <c r="C664" s="14" t="str">
        <f>IF(ISBLANK(A664),"",_xlfn.XLOOKUP(A664,'DISPATCH SHEET'!B$3:B$121,'DISPATCH SHEET'!#REF!,""))</f>
        <v/>
      </c>
      <c r="D664" s="14"/>
      <c r="E664" s="15"/>
      <c r="F664" s="16"/>
      <c r="G664" s="17" t="s">
        <v>0</v>
      </c>
      <c r="H664" s="15"/>
      <c r="I664" s="14" t="s">
        <v>0</v>
      </c>
      <c r="J664" s="14"/>
      <c r="K664" s="18"/>
    </row>
    <row r="665" spans="1:11" s="5" customFormat="1" ht="15" customHeight="1" x14ac:dyDescent="0.2">
      <c r="A665" s="13"/>
      <c r="B665" s="14" t="str">
        <f>IF(A665="","",_xlfn.XLOOKUP(A665,'DISPATCH SHEET'!B$3:B$121,'DISPATCH SHEET'!C$3:C$121,""))</f>
        <v/>
      </c>
      <c r="C665" s="14" t="str">
        <f>IF(ISBLANK(A665),"",_xlfn.XLOOKUP(A665,'DISPATCH SHEET'!B$3:B$121,'DISPATCH SHEET'!#REF!,""))</f>
        <v/>
      </c>
      <c r="D665" s="14"/>
      <c r="E665" s="15"/>
      <c r="F665" s="16"/>
      <c r="G665" s="17" t="s">
        <v>0</v>
      </c>
      <c r="H665" s="15"/>
      <c r="I665" s="14" t="s">
        <v>0</v>
      </c>
      <c r="J665" s="14"/>
      <c r="K665" s="18"/>
    </row>
    <row r="666" spans="1:11" s="5" customFormat="1" ht="15" customHeight="1" x14ac:dyDescent="0.2">
      <c r="A666" s="13"/>
      <c r="B666" s="14" t="str">
        <f>IF(A666="","",_xlfn.XLOOKUP(A666,'DISPATCH SHEET'!B$3:B$121,'DISPATCH SHEET'!C$3:C$121,""))</f>
        <v/>
      </c>
      <c r="C666" s="14" t="str">
        <f>IF(ISBLANK(A666),"",_xlfn.XLOOKUP(A666,'DISPATCH SHEET'!B$3:B$121,'DISPATCH SHEET'!#REF!,""))</f>
        <v/>
      </c>
      <c r="D666" s="14"/>
      <c r="E666" s="15"/>
      <c r="F666" s="16"/>
      <c r="G666" s="17" t="s">
        <v>0</v>
      </c>
      <c r="H666" s="15"/>
      <c r="I666" s="14" t="s">
        <v>0</v>
      </c>
      <c r="J666" s="14"/>
      <c r="K666" s="18"/>
    </row>
    <row r="667" spans="1:11" s="5" customFormat="1" ht="15" customHeight="1" x14ac:dyDescent="0.2">
      <c r="A667" s="13"/>
      <c r="B667" s="14" t="str">
        <f>IF(A667="","",_xlfn.XLOOKUP(A667,'DISPATCH SHEET'!B$3:B$121,'DISPATCH SHEET'!C$3:C$121,""))</f>
        <v/>
      </c>
      <c r="C667" s="14" t="str">
        <f>IF(ISBLANK(A667),"",_xlfn.XLOOKUP(A667,'DISPATCH SHEET'!B$3:B$121,'DISPATCH SHEET'!#REF!,""))</f>
        <v/>
      </c>
      <c r="D667" s="14"/>
      <c r="E667" s="15"/>
      <c r="F667" s="16"/>
      <c r="G667" s="17" t="s">
        <v>0</v>
      </c>
      <c r="H667" s="15"/>
      <c r="I667" s="14" t="s">
        <v>0</v>
      </c>
      <c r="J667" s="14"/>
      <c r="K667" s="18"/>
    </row>
    <row r="668" spans="1:11" s="5" customFormat="1" ht="15" customHeight="1" x14ac:dyDescent="0.2">
      <c r="A668" s="13"/>
      <c r="B668" s="14" t="str">
        <f>IF(A668="","",_xlfn.XLOOKUP(A668,'DISPATCH SHEET'!B$3:B$121,'DISPATCH SHEET'!C$3:C$121,""))</f>
        <v/>
      </c>
      <c r="C668" s="14" t="str">
        <f>IF(ISBLANK(A668),"",_xlfn.XLOOKUP(A668,'DISPATCH SHEET'!B$3:B$121,'DISPATCH SHEET'!#REF!,""))</f>
        <v/>
      </c>
      <c r="D668" s="14"/>
      <c r="E668" s="15"/>
      <c r="F668" s="16"/>
      <c r="G668" s="17" t="s">
        <v>0</v>
      </c>
      <c r="H668" s="15"/>
      <c r="I668" s="14" t="s">
        <v>0</v>
      </c>
      <c r="J668" s="14"/>
      <c r="K668" s="18"/>
    </row>
    <row r="669" spans="1:11" s="5" customFormat="1" ht="15" customHeight="1" x14ac:dyDescent="0.2">
      <c r="A669" s="13"/>
      <c r="B669" s="14" t="str">
        <f>IF(A669="","",_xlfn.XLOOKUP(A669,'DISPATCH SHEET'!B$3:B$121,'DISPATCH SHEET'!C$3:C$121,""))</f>
        <v/>
      </c>
      <c r="C669" s="14" t="str">
        <f>IF(ISBLANK(A669),"",_xlfn.XLOOKUP(A669,'DISPATCH SHEET'!B$3:B$121,'DISPATCH SHEET'!#REF!,""))</f>
        <v/>
      </c>
      <c r="D669" s="14"/>
      <c r="E669" s="15"/>
      <c r="F669" s="16"/>
      <c r="G669" s="17" t="s">
        <v>0</v>
      </c>
      <c r="H669" s="15"/>
      <c r="I669" s="14" t="s">
        <v>0</v>
      </c>
      <c r="J669" s="14"/>
      <c r="K669" s="18"/>
    </row>
    <row r="670" spans="1:11" s="5" customFormat="1" ht="15" customHeight="1" x14ac:dyDescent="0.2">
      <c r="A670" s="13"/>
      <c r="B670" s="14" t="str">
        <f>IF(A670="","",_xlfn.XLOOKUP(A670,'DISPATCH SHEET'!B$3:B$121,'DISPATCH SHEET'!C$3:C$121,""))</f>
        <v/>
      </c>
      <c r="C670" s="14" t="str">
        <f>IF(ISBLANK(A670),"",_xlfn.XLOOKUP(A670,'DISPATCH SHEET'!B$3:B$121,'DISPATCH SHEET'!#REF!,""))</f>
        <v/>
      </c>
      <c r="D670" s="14"/>
      <c r="E670" s="15"/>
      <c r="F670" s="16"/>
      <c r="G670" s="17" t="s">
        <v>0</v>
      </c>
      <c r="H670" s="15"/>
      <c r="I670" s="14" t="s">
        <v>0</v>
      </c>
      <c r="J670" s="14"/>
      <c r="K670" s="18"/>
    </row>
    <row r="671" spans="1:11" s="5" customFormat="1" ht="15" customHeight="1" x14ac:dyDescent="0.2">
      <c r="A671" s="13"/>
      <c r="B671" s="14" t="str">
        <f>IF(A671="","",_xlfn.XLOOKUP(A671,'DISPATCH SHEET'!B$3:B$121,'DISPATCH SHEET'!C$3:C$121,""))</f>
        <v/>
      </c>
      <c r="C671" s="14" t="str">
        <f>IF(ISBLANK(A671),"",_xlfn.XLOOKUP(A671,'DISPATCH SHEET'!B$3:B$121,'DISPATCH SHEET'!#REF!,""))</f>
        <v/>
      </c>
      <c r="D671" s="14"/>
      <c r="E671" s="15"/>
      <c r="F671" s="16"/>
      <c r="G671" s="17" t="s">
        <v>0</v>
      </c>
      <c r="H671" s="15"/>
      <c r="I671" s="14" t="s">
        <v>0</v>
      </c>
      <c r="J671" s="14"/>
      <c r="K671" s="18"/>
    </row>
    <row r="672" spans="1:11" s="5" customFormat="1" ht="15" customHeight="1" x14ac:dyDescent="0.2">
      <c r="A672" s="13"/>
      <c r="B672" s="14" t="str">
        <f>IF(A672="","",_xlfn.XLOOKUP(A672,'DISPATCH SHEET'!B$3:B$121,'DISPATCH SHEET'!C$3:C$121,""))</f>
        <v/>
      </c>
      <c r="C672" s="14" t="str">
        <f>IF(ISBLANK(A672),"",_xlfn.XLOOKUP(A672,'DISPATCH SHEET'!B$3:B$121,'DISPATCH SHEET'!#REF!,""))</f>
        <v/>
      </c>
      <c r="D672" s="14"/>
      <c r="E672" s="15"/>
      <c r="F672" s="16"/>
      <c r="G672" s="17" t="s">
        <v>0</v>
      </c>
      <c r="H672" s="15"/>
      <c r="I672" s="14" t="s">
        <v>0</v>
      </c>
      <c r="J672" s="14"/>
      <c r="K672" s="18"/>
    </row>
    <row r="673" spans="1:11" s="5" customFormat="1" ht="15" customHeight="1" x14ac:dyDescent="0.2">
      <c r="A673" s="13"/>
      <c r="B673" s="14" t="str">
        <f>IF(A673="","",_xlfn.XLOOKUP(A673,'DISPATCH SHEET'!B$3:B$121,'DISPATCH SHEET'!C$3:C$121,""))</f>
        <v/>
      </c>
      <c r="C673" s="14" t="str">
        <f>IF(ISBLANK(A673),"",_xlfn.XLOOKUP(A673,'DISPATCH SHEET'!B$3:B$121,'DISPATCH SHEET'!#REF!,""))</f>
        <v/>
      </c>
      <c r="D673" s="14"/>
      <c r="E673" s="15"/>
      <c r="F673" s="16"/>
      <c r="G673" s="17" t="s">
        <v>0</v>
      </c>
      <c r="H673" s="15"/>
      <c r="I673" s="14" t="s">
        <v>0</v>
      </c>
      <c r="J673" s="14"/>
      <c r="K673" s="18"/>
    </row>
    <row r="674" spans="1:11" s="5" customFormat="1" ht="15" customHeight="1" x14ac:dyDescent="0.2">
      <c r="A674" s="13"/>
      <c r="B674" s="14" t="str">
        <f>IF(A674="","",_xlfn.XLOOKUP(A674,'DISPATCH SHEET'!B$3:B$121,'DISPATCH SHEET'!C$3:C$121,""))</f>
        <v/>
      </c>
      <c r="C674" s="14" t="str">
        <f>IF(ISBLANK(A674),"",_xlfn.XLOOKUP(A674,'DISPATCH SHEET'!B$3:B$121,'DISPATCH SHEET'!#REF!,""))</f>
        <v/>
      </c>
      <c r="D674" s="14"/>
      <c r="E674" s="15"/>
      <c r="F674" s="16"/>
      <c r="G674" s="17" t="s">
        <v>0</v>
      </c>
      <c r="H674" s="15"/>
      <c r="I674" s="14" t="s">
        <v>0</v>
      </c>
      <c r="J674" s="14"/>
      <c r="K674" s="18"/>
    </row>
    <row r="675" spans="1:11" s="5" customFormat="1" ht="15" customHeight="1" x14ac:dyDescent="0.2">
      <c r="A675" s="13"/>
      <c r="B675" s="14" t="str">
        <f>IF(A675="","",_xlfn.XLOOKUP(A675,'DISPATCH SHEET'!B$3:B$121,'DISPATCH SHEET'!C$3:C$121,""))</f>
        <v/>
      </c>
      <c r="C675" s="14" t="str">
        <f>IF(ISBLANK(A675),"",_xlfn.XLOOKUP(A675,'DISPATCH SHEET'!B$3:B$121,'DISPATCH SHEET'!#REF!,""))</f>
        <v/>
      </c>
      <c r="D675" s="14"/>
      <c r="E675" s="15"/>
      <c r="F675" s="16"/>
      <c r="G675" s="17" t="s">
        <v>0</v>
      </c>
      <c r="H675" s="15"/>
      <c r="I675" s="14" t="s">
        <v>0</v>
      </c>
      <c r="J675" s="14"/>
      <c r="K675" s="18"/>
    </row>
    <row r="676" spans="1:11" s="5" customFormat="1" ht="15" customHeight="1" x14ac:dyDescent="0.2">
      <c r="A676" s="13"/>
      <c r="B676" s="14" t="str">
        <f>IF(A676="","",_xlfn.XLOOKUP(A676,'DISPATCH SHEET'!B$3:B$121,'DISPATCH SHEET'!C$3:C$121,""))</f>
        <v/>
      </c>
      <c r="C676" s="14" t="str">
        <f>IF(ISBLANK(A676),"",_xlfn.XLOOKUP(A676,'DISPATCH SHEET'!B$3:B$121,'DISPATCH SHEET'!#REF!,""))</f>
        <v/>
      </c>
      <c r="D676" s="14"/>
      <c r="E676" s="15"/>
      <c r="F676" s="16"/>
      <c r="G676" s="17" t="s">
        <v>0</v>
      </c>
      <c r="H676" s="15"/>
      <c r="I676" s="14" t="s">
        <v>0</v>
      </c>
      <c r="J676" s="14"/>
      <c r="K676" s="18"/>
    </row>
    <row r="677" spans="1:11" s="5" customFormat="1" ht="15" customHeight="1" x14ac:dyDescent="0.2">
      <c r="A677" s="13"/>
      <c r="B677" s="14" t="str">
        <f>IF(A677="","",_xlfn.XLOOKUP(A677,'DISPATCH SHEET'!B$3:B$121,'DISPATCH SHEET'!C$3:C$121,""))</f>
        <v/>
      </c>
      <c r="C677" s="14" t="str">
        <f>IF(ISBLANK(A677),"",_xlfn.XLOOKUP(A677,'DISPATCH SHEET'!B$3:B$121,'DISPATCH SHEET'!#REF!,""))</f>
        <v/>
      </c>
      <c r="D677" s="14"/>
      <c r="E677" s="15"/>
      <c r="F677" s="16"/>
      <c r="G677" s="17" t="s">
        <v>0</v>
      </c>
      <c r="H677" s="15"/>
      <c r="I677" s="14" t="s">
        <v>0</v>
      </c>
      <c r="J677" s="14"/>
      <c r="K677" s="18"/>
    </row>
    <row r="678" spans="1:11" s="5" customFormat="1" ht="15" customHeight="1" x14ac:dyDescent="0.2">
      <c r="A678" s="13"/>
      <c r="B678" s="14" t="str">
        <f>IF(A678="","",_xlfn.XLOOKUP(A678,'DISPATCH SHEET'!B$3:B$121,'DISPATCH SHEET'!C$3:C$121,""))</f>
        <v/>
      </c>
      <c r="C678" s="14" t="str">
        <f>IF(ISBLANK(A678),"",_xlfn.XLOOKUP(A678,'DISPATCH SHEET'!B$3:B$121,'DISPATCH SHEET'!#REF!,""))</f>
        <v/>
      </c>
      <c r="D678" s="14"/>
      <c r="E678" s="15"/>
      <c r="F678" s="16"/>
      <c r="G678" s="17" t="s">
        <v>0</v>
      </c>
      <c r="H678" s="15"/>
      <c r="I678" s="14" t="s">
        <v>0</v>
      </c>
      <c r="J678" s="14"/>
      <c r="K678" s="18"/>
    </row>
    <row r="679" spans="1:11" s="5" customFormat="1" ht="15" customHeight="1" x14ac:dyDescent="0.2">
      <c r="A679" s="13"/>
      <c r="B679" s="14" t="str">
        <f>IF(A679="","",_xlfn.XLOOKUP(A679,'DISPATCH SHEET'!B$3:B$121,'DISPATCH SHEET'!C$3:C$121,""))</f>
        <v/>
      </c>
      <c r="C679" s="14" t="str">
        <f>IF(ISBLANK(A679),"",_xlfn.XLOOKUP(A679,'DISPATCH SHEET'!B$3:B$121,'DISPATCH SHEET'!#REF!,""))</f>
        <v/>
      </c>
      <c r="D679" s="14"/>
      <c r="E679" s="15"/>
      <c r="F679" s="16"/>
      <c r="G679" s="17" t="s">
        <v>0</v>
      </c>
      <c r="H679" s="15"/>
      <c r="I679" s="14" t="s">
        <v>0</v>
      </c>
      <c r="J679" s="14"/>
      <c r="K679" s="18"/>
    </row>
    <row r="680" spans="1:11" s="5" customFormat="1" ht="15" customHeight="1" x14ac:dyDescent="0.2">
      <c r="A680" s="13"/>
      <c r="B680" s="14" t="str">
        <f>IF(A680="","",_xlfn.XLOOKUP(A680,'DISPATCH SHEET'!B$3:B$121,'DISPATCH SHEET'!C$3:C$121,""))</f>
        <v/>
      </c>
      <c r="C680" s="14" t="str">
        <f>IF(ISBLANK(A680),"",_xlfn.XLOOKUP(A680,'DISPATCH SHEET'!B$3:B$121,'DISPATCH SHEET'!#REF!,""))</f>
        <v/>
      </c>
      <c r="D680" s="14"/>
      <c r="E680" s="15"/>
      <c r="F680" s="16"/>
      <c r="G680" s="17" t="s">
        <v>0</v>
      </c>
      <c r="H680" s="15"/>
      <c r="I680" s="14" t="s">
        <v>0</v>
      </c>
      <c r="J680" s="14"/>
      <c r="K680" s="18"/>
    </row>
    <row r="681" spans="1:11" s="5" customFormat="1" ht="15" customHeight="1" x14ac:dyDescent="0.2">
      <c r="A681" s="13"/>
      <c r="B681" s="14" t="str">
        <f>IF(A681="","",_xlfn.XLOOKUP(A681,'DISPATCH SHEET'!B$3:B$121,'DISPATCH SHEET'!C$3:C$121,""))</f>
        <v/>
      </c>
      <c r="C681" s="14" t="str">
        <f>IF(ISBLANK(A681),"",_xlfn.XLOOKUP(A681,'DISPATCH SHEET'!B$3:B$121,'DISPATCH SHEET'!#REF!,""))</f>
        <v/>
      </c>
      <c r="D681" s="14"/>
      <c r="E681" s="15"/>
      <c r="F681" s="16"/>
      <c r="G681" s="17" t="s">
        <v>0</v>
      </c>
      <c r="H681" s="15"/>
      <c r="I681" s="14" t="s">
        <v>0</v>
      </c>
      <c r="J681" s="14"/>
      <c r="K681" s="18"/>
    </row>
    <row r="682" spans="1:11" s="5" customFormat="1" ht="15" customHeight="1" x14ac:dyDescent="0.2">
      <c r="A682" s="13"/>
      <c r="B682" s="14" t="str">
        <f>IF(A682="","",_xlfn.XLOOKUP(A682,'DISPATCH SHEET'!B$3:B$121,'DISPATCH SHEET'!C$3:C$121,""))</f>
        <v/>
      </c>
      <c r="C682" s="14" t="str">
        <f>IF(ISBLANK(A682),"",_xlfn.XLOOKUP(A682,'DISPATCH SHEET'!B$3:B$121,'DISPATCH SHEET'!#REF!,""))</f>
        <v/>
      </c>
      <c r="D682" s="14"/>
      <c r="E682" s="15"/>
      <c r="F682" s="16"/>
      <c r="G682" s="17" t="s">
        <v>0</v>
      </c>
      <c r="H682" s="15"/>
      <c r="I682" s="14" t="s">
        <v>0</v>
      </c>
      <c r="J682" s="14"/>
      <c r="K682" s="18"/>
    </row>
    <row r="683" spans="1:11" s="5" customFormat="1" ht="15" customHeight="1" x14ac:dyDescent="0.2">
      <c r="A683" s="13"/>
      <c r="B683" s="14" t="str">
        <f>IF(A683="","",_xlfn.XLOOKUP(A683,'DISPATCH SHEET'!B$3:B$121,'DISPATCH SHEET'!C$3:C$121,""))</f>
        <v/>
      </c>
      <c r="C683" s="14" t="str">
        <f>IF(ISBLANK(A683),"",_xlfn.XLOOKUP(A683,'DISPATCH SHEET'!B$3:B$121,'DISPATCH SHEET'!#REF!,""))</f>
        <v/>
      </c>
      <c r="D683" s="14"/>
      <c r="E683" s="15"/>
      <c r="F683" s="16"/>
      <c r="G683" s="17" t="s">
        <v>0</v>
      </c>
      <c r="H683" s="15"/>
      <c r="I683" s="14" t="s">
        <v>0</v>
      </c>
      <c r="J683" s="14"/>
      <c r="K683" s="18"/>
    </row>
    <row r="684" spans="1:11" s="5" customFormat="1" ht="15" customHeight="1" x14ac:dyDescent="0.2">
      <c r="A684" s="13"/>
      <c r="B684" s="14" t="str">
        <f>IF(A684="","",_xlfn.XLOOKUP(A684,'DISPATCH SHEET'!B$3:B$121,'DISPATCH SHEET'!C$3:C$121,""))</f>
        <v/>
      </c>
      <c r="C684" s="14" t="str">
        <f>IF(ISBLANK(A684),"",_xlfn.XLOOKUP(A684,'DISPATCH SHEET'!B$3:B$121,'DISPATCH SHEET'!#REF!,""))</f>
        <v/>
      </c>
      <c r="D684" s="14"/>
      <c r="E684" s="15"/>
      <c r="F684" s="16"/>
      <c r="G684" s="17" t="s">
        <v>0</v>
      </c>
      <c r="H684" s="15"/>
      <c r="I684" s="14" t="s">
        <v>0</v>
      </c>
      <c r="J684" s="14"/>
      <c r="K684" s="18"/>
    </row>
    <row r="685" spans="1:11" s="5" customFormat="1" ht="15" customHeight="1" x14ac:dyDescent="0.2">
      <c r="A685" s="13"/>
      <c r="B685" s="14" t="str">
        <f>IF(A685="","",_xlfn.XLOOKUP(A685,'DISPATCH SHEET'!B$3:B$121,'DISPATCH SHEET'!C$3:C$121,""))</f>
        <v/>
      </c>
      <c r="C685" s="14" t="str">
        <f>IF(ISBLANK(A685),"",_xlfn.XLOOKUP(A685,'DISPATCH SHEET'!B$3:B$121,'DISPATCH SHEET'!#REF!,""))</f>
        <v/>
      </c>
      <c r="D685" s="14"/>
      <c r="E685" s="15"/>
      <c r="F685" s="16"/>
      <c r="G685" s="17" t="s">
        <v>0</v>
      </c>
      <c r="H685" s="15"/>
      <c r="I685" s="14" t="s">
        <v>0</v>
      </c>
      <c r="J685" s="14"/>
      <c r="K685" s="18"/>
    </row>
    <row r="686" spans="1:11" s="5" customFormat="1" ht="15" customHeight="1" x14ac:dyDescent="0.2">
      <c r="A686" s="13"/>
      <c r="B686" s="14" t="str">
        <f>IF(A686="","",_xlfn.XLOOKUP(A686,'DISPATCH SHEET'!B$3:B$121,'DISPATCH SHEET'!C$3:C$121,""))</f>
        <v/>
      </c>
      <c r="C686" s="14" t="str">
        <f>IF(ISBLANK(A686),"",_xlfn.XLOOKUP(A686,'DISPATCH SHEET'!B$3:B$121,'DISPATCH SHEET'!#REF!,""))</f>
        <v/>
      </c>
      <c r="D686" s="14"/>
      <c r="E686" s="15"/>
      <c r="F686" s="16"/>
      <c r="G686" s="17" t="s">
        <v>0</v>
      </c>
      <c r="H686" s="15"/>
      <c r="I686" s="14" t="s">
        <v>0</v>
      </c>
      <c r="J686" s="14"/>
      <c r="K686" s="18"/>
    </row>
    <row r="687" spans="1:11" s="5" customFormat="1" ht="15" customHeight="1" x14ac:dyDescent="0.2">
      <c r="A687" s="13"/>
      <c r="B687" s="14" t="str">
        <f>IF(A687="","",_xlfn.XLOOKUP(A687,'DISPATCH SHEET'!B$3:B$121,'DISPATCH SHEET'!C$3:C$121,""))</f>
        <v/>
      </c>
      <c r="C687" s="14" t="str">
        <f>IF(ISBLANK(A687),"",_xlfn.XLOOKUP(A687,'DISPATCH SHEET'!B$3:B$121,'DISPATCH SHEET'!#REF!,""))</f>
        <v/>
      </c>
      <c r="D687" s="14"/>
      <c r="E687" s="15"/>
      <c r="F687" s="16"/>
      <c r="G687" s="17" t="s">
        <v>0</v>
      </c>
      <c r="H687" s="15"/>
      <c r="I687" s="14" t="s">
        <v>0</v>
      </c>
      <c r="J687" s="14"/>
      <c r="K687" s="18"/>
    </row>
    <row r="688" spans="1:11" s="5" customFormat="1" ht="15" customHeight="1" x14ac:dyDescent="0.2">
      <c r="A688" s="13"/>
      <c r="B688" s="14" t="str">
        <f>IF(A688="","",_xlfn.XLOOKUP(A688,'DISPATCH SHEET'!B$3:B$121,'DISPATCH SHEET'!C$3:C$121,""))</f>
        <v/>
      </c>
      <c r="C688" s="14" t="str">
        <f>IF(ISBLANK(A688),"",_xlfn.XLOOKUP(A688,'DISPATCH SHEET'!B$3:B$121,'DISPATCH SHEET'!#REF!,""))</f>
        <v/>
      </c>
      <c r="D688" s="14"/>
      <c r="E688" s="15"/>
      <c r="F688" s="16"/>
      <c r="G688" s="17" t="s">
        <v>0</v>
      </c>
      <c r="H688" s="15"/>
      <c r="I688" s="14" t="s">
        <v>0</v>
      </c>
      <c r="J688" s="14"/>
      <c r="K688" s="18"/>
    </row>
    <row r="689" spans="1:11" s="5" customFormat="1" ht="15" customHeight="1" x14ac:dyDescent="0.2">
      <c r="A689" s="13"/>
      <c r="B689" s="14" t="str">
        <f>IF(A689="","",_xlfn.XLOOKUP(A689,'DISPATCH SHEET'!B$3:B$121,'DISPATCH SHEET'!C$3:C$121,""))</f>
        <v/>
      </c>
      <c r="C689" s="14" t="str">
        <f>IF(ISBLANK(A689),"",_xlfn.XLOOKUP(A689,'DISPATCH SHEET'!B$3:B$121,'DISPATCH SHEET'!#REF!,""))</f>
        <v/>
      </c>
      <c r="D689" s="14"/>
      <c r="E689" s="15"/>
      <c r="F689" s="16"/>
      <c r="G689" s="17" t="s">
        <v>0</v>
      </c>
      <c r="H689" s="15"/>
      <c r="I689" s="14" t="s">
        <v>0</v>
      </c>
      <c r="J689" s="14"/>
      <c r="K689" s="18"/>
    </row>
    <row r="690" spans="1:11" s="5" customFormat="1" ht="15" customHeight="1" x14ac:dyDescent="0.2">
      <c r="A690" s="13"/>
      <c r="B690" s="14" t="str">
        <f>IF(A690="","",_xlfn.XLOOKUP(A690,'DISPATCH SHEET'!B$3:B$121,'DISPATCH SHEET'!C$3:C$121,""))</f>
        <v/>
      </c>
      <c r="C690" s="14" t="str">
        <f>IF(ISBLANK(A690),"",_xlfn.XLOOKUP(A690,'DISPATCH SHEET'!B$3:B$121,'DISPATCH SHEET'!#REF!,""))</f>
        <v/>
      </c>
      <c r="D690" s="14"/>
      <c r="E690" s="15"/>
      <c r="F690" s="16"/>
      <c r="G690" s="17" t="s">
        <v>0</v>
      </c>
      <c r="H690" s="15"/>
      <c r="I690" s="14" t="s">
        <v>0</v>
      </c>
      <c r="J690" s="14"/>
      <c r="K690" s="18"/>
    </row>
    <row r="691" spans="1:11" s="5" customFormat="1" ht="15" customHeight="1" x14ac:dyDescent="0.2">
      <c r="A691" s="13"/>
      <c r="B691" s="14" t="str">
        <f>IF(A691="","",_xlfn.XLOOKUP(A691,'DISPATCH SHEET'!B$3:B$121,'DISPATCH SHEET'!C$3:C$121,""))</f>
        <v/>
      </c>
      <c r="C691" s="14" t="str">
        <f>IF(ISBLANK(A691),"",_xlfn.XLOOKUP(A691,'DISPATCH SHEET'!B$3:B$121,'DISPATCH SHEET'!#REF!,""))</f>
        <v/>
      </c>
      <c r="D691" s="14"/>
      <c r="E691" s="15"/>
      <c r="F691" s="16"/>
      <c r="G691" s="17" t="s">
        <v>0</v>
      </c>
      <c r="H691" s="15"/>
      <c r="I691" s="14" t="s">
        <v>0</v>
      </c>
      <c r="J691" s="14"/>
      <c r="K691" s="18"/>
    </row>
    <row r="692" spans="1:11" s="5" customFormat="1" ht="15" customHeight="1" x14ac:dyDescent="0.2">
      <c r="A692" s="13"/>
      <c r="B692" s="14" t="str">
        <f>IF(A692="","",_xlfn.XLOOKUP(A692,'DISPATCH SHEET'!B$3:B$121,'DISPATCH SHEET'!C$3:C$121,""))</f>
        <v/>
      </c>
      <c r="C692" s="14" t="str">
        <f>IF(ISBLANK(A692),"",_xlfn.XLOOKUP(A692,'DISPATCH SHEET'!B$3:B$121,'DISPATCH SHEET'!#REF!,""))</f>
        <v/>
      </c>
      <c r="D692" s="14"/>
      <c r="E692" s="15"/>
      <c r="F692" s="16"/>
      <c r="G692" s="17" t="s">
        <v>0</v>
      </c>
      <c r="H692" s="15"/>
      <c r="I692" s="14" t="s">
        <v>0</v>
      </c>
      <c r="J692" s="14"/>
      <c r="K692" s="18"/>
    </row>
    <row r="693" spans="1:11" s="5" customFormat="1" ht="15" customHeight="1" x14ac:dyDescent="0.2">
      <c r="A693" s="13"/>
      <c r="B693" s="14" t="str">
        <f>IF(A693="","",_xlfn.XLOOKUP(A693,'DISPATCH SHEET'!B$3:B$121,'DISPATCH SHEET'!C$3:C$121,""))</f>
        <v/>
      </c>
      <c r="C693" s="14" t="str">
        <f>IF(ISBLANK(A693),"",_xlfn.XLOOKUP(A693,'DISPATCH SHEET'!B$3:B$121,'DISPATCH SHEET'!#REF!,""))</f>
        <v/>
      </c>
      <c r="D693" s="14"/>
      <c r="E693" s="15"/>
      <c r="F693" s="16"/>
      <c r="G693" s="17" t="s">
        <v>0</v>
      </c>
      <c r="H693" s="15"/>
      <c r="I693" s="14" t="s">
        <v>0</v>
      </c>
      <c r="J693" s="14"/>
      <c r="K693" s="18"/>
    </row>
    <row r="694" spans="1:11" s="5" customFormat="1" ht="15" customHeight="1" x14ac:dyDescent="0.2">
      <c r="A694" s="13"/>
      <c r="B694" s="14" t="str">
        <f>IF(A694="","",_xlfn.XLOOKUP(A694,'DISPATCH SHEET'!B$3:B$121,'DISPATCH SHEET'!C$3:C$121,""))</f>
        <v/>
      </c>
      <c r="C694" s="14" t="str">
        <f>IF(ISBLANK(A694),"",_xlfn.XLOOKUP(A694,'DISPATCH SHEET'!B$3:B$121,'DISPATCH SHEET'!#REF!,""))</f>
        <v/>
      </c>
      <c r="D694" s="14"/>
      <c r="E694" s="15"/>
      <c r="F694" s="16"/>
      <c r="G694" s="17" t="s">
        <v>0</v>
      </c>
      <c r="H694" s="15"/>
      <c r="I694" s="14" t="s">
        <v>0</v>
      </c>
      <c r="J694" s="14"/>
      <c r="K694" s="18"/>
    </row>
    <row r="695" spans="1:11" s="5" customFormat="1" ht="15" customHeight="1" x14ac:dyDescent="0.2">
      <c r="A695" s="13"/>
      <c r="B695" s="14" t="str">
        <f>IF(A695="","",_xlfn.XLOOKUP(A695,'DISPATCH SHEET'!B$3:B$121,'DISPATCH SHEET'!C$3:C$121,""))</f>
        <v/>
      </c>
      <c r="C695" s="14" t="str">
        <f>IF(ISBLANK(A695),"",_xlfn.XLOOKUP(A695,'DISPATCH SHEET'!B$3:B$121,'DISPATCH SHEET'!#REF!,""))</f>
        <v/>
      </c>
      <c r="D695" s="14"/>
      <c r="E695" s="15"/>
      <c r="F695" s="16"/>
      <c r="G695" s="17" t="s">
        <v>0</v>
      </c>
      <c r="H695" s="15"/>
      <c r="I695" s="14" t="s">
        <v>0</v>
      </c>
      <c r="J695" s="14"/>
      <c r="K695" s="18"/>
    </row>
    <row r="696" spans="1:11" s="5" customFormat="1" ht="15" customHeight="1" x14ac:dyDescent="0.2">
      <c r="A696" s="13"/>
      <c r="B696" s="14" t="str">
        <f>IF(A696="","",_xlfn.XLOOKUP(A696,'DISPATCH SHEET'!B$3:B$121,'DISPATCH SHEET'!C$3:C$121,""))</f>
        <v/>
      </c>
      <c r="C696" s="14" t="str">
        <f>IF(ISBLANK(A696),"",_xlfn.XLOOKUP(A696,'DISPATCH SHEET'!B$3:B$121,'DISPATCH SHEET'!#REF!,""))</f>
        <v/>
      </c>
      <c r="D696" s="14"/>
      <c r="E696" s="15"/>
      <c r="F696" s="16"/>
      <c r="G696" s="17" t="s">
        <v>0</v>
      </c>
      <c r="H696" s="15"/>
      <c r="I696" s="14" t="s">
        <v>0</v>
      </c>
      <c r="J696" s="14"/>
      <c r="K696" s="18"/>
    </row>
    <row r="697" spans="1:11" s="5" customFormat="1" ht="15" customHeight="1" x14ac:dyDescent="0.2">
      <c r="A697" s="13"/>
      <c r="B697" s="14" t="str">
        <f>IF(A697="","",_xlfn.XLOOKUP(A697,'DISPATCH SHEET'!B$3:B$121,'DISPATCH SHEET'!C$3:C$121,""))</f>
        <v/>
      </c>
      <c r="C697" s="14" t="str">
        <f>IF(ISBLANK(A697),"",_xlfn.XLOOKUP(A697,'DISPATCH SHEET'!B$3:B$121,'DISPATCH SHEET'!#REF!,""))</f>
        <v/>
      </c>
      <c r="D697" s="14"/>
      <c r="E697" s="15"/>
      <c r="F697" s="16"/>
      <c r="G697" s="17" t="s">
        <v>0</v>
      </c>
      <c r="H697" s="15"/>
      <c r="I697" s="14" t="s">
        <v>0</v>
      </c>
      <c r="J697" s="14"/>
      <c r="K697" s="18"/>
    </row>
    <row r="698" spans="1:11" s="5" customFormat="1" ht="15" customHeight="1" x14ac:dyDescent="0.2">
      <c r="A698" s="13"/>
      <c r="B698" s="14" t="str">
        <f>IF(A698="","",_xlfn.XLOOKUP(A698,'DISPATCH SHEET'!B$3:B$121,'DISPATCH SHEET'!C$3:C$121,""))</f>
        <v/>
      </c>
      <c r="C698" s="14" t="str">
        <f>IF(ISBLANK(A698),"",_xlfn.XLOOKUP(A698,'DISPATCH SHEET'!B$3:B$121,'DISPATCH SHEET'!#REF!,""))</f>
        <v/>
      </c>
      <c r="D698" s="14"/>
      <c r="E698" s="15"/>
      <c r="F698" s="16"/>
      <c r="G698" s="17" t="s">
        <v>0</v>
      </c>
      <c r="H698" s="15"/>
      <c r="I698" s="14" t="s">
        <v>0</v>
      </c>
      <c r="J698" s="14"/>
      <c r="K698" s="18"/>
    </row>
    <row r="699" spans="1:11" s="5" customFormat="1" ht="15" customHeight="1" x14ac:dyDescent="0.2">
      <c r="A699" s="13"/>
      <c r="B699" s="14" t="str">
        <f>IF(A699="","",_xlfn.XLOOKUP(A699,'DISPATCH SHEET'!B$3:B$121,'DISPATCH SHEET'!C$3:C$121,""))</f>
        <v/>
      </c>
      <c r="C699" s="14" t="str">
        <f>IF(ISBLANK(A699),"",_xlfn.XLOOKUP(A699,'DISPATCH SHEET'!B$3:B$121,'DISPATCH SHEET'!#REF!,""))</f>
        <v/>
      </c>
      <c r="D699" s="14"/>
      <c r="E699" s="15"/>
      <c r="F699" s="16"/>
      <c r="G699" s="17" t="s">
        <v>0</v>
      </c>
      <c r="H699" s="15"/>
      <c r="I699" s="14" t="s">
        <v>0</v>
      </c>
      <c r="J699" s="14"/>
      <c r="K699" s="18"/>
    </row>
    <row r="700" spans="1:11" s="5" customFormat="1" ht="15" customHeight="1" x14ac:dyDescent="0.2">
      <c r="A700" s="13"/>
      <c r="B700" s="14" t="str">
        <f>IF(A700="","",_xlfn.XLOOKUP(A700,'DISPATCH SHEET'!B$3:B$121,'DISPATCH SHEET'!C$3:C$121,""))</f>
        <v/>
      </c>
      <c r="C700" s="14" t="str">
        <f>IF(ISBLANK(A700),"",_xlfn.XLOOKUP(A700,'DISPATCH SHEET'!B$3:B$121,'DISPATCH SHEET'!#REF!,""))</f>
        <v/>
      </c>
      <c r="D700" s="14"/>
      <c r="E700" s="15"/>
      <c r="F700" s="16"/>
      <c r="G700" s="17" t="s">
        <v>0</v>
      </c>
      <c r="H700" s="15"/>
      <c r="I700" s="14" t="s">
        <v>0</v>
      </c>
      <c r="J700" s="14"/>
      <c r="K700" s="18"/>
    </row>
    <row r="701" spans="1:11" s="5" customFormat="1" ht="15" customHeight="1" x14ac:dyDescent="0.2">
      <c r="A701" s="13"/>
      <c r="B701" s="14" t="str">
        <f>IF(A701="","",_xlfn.XLOOKUP(A701,'DISPATCH SHEET'!B$3:B$121,'DISPATCH SHEET'!C$3:C$121,""))</f>
        <v/>
      </c>
      <c r="C701" s="14" t="str">
        <f>IF(ISBLANK(A701),"",_xlfn.XLOOKUP(A701,'DISPATCH SHEET'!B$3:B$121,'DISPATCH SHEET'!#REF!,""))</f>
        <v/>
      </c>
      <c r="D701" s="14"/>
      <c r="E701" s="15"/>
      <c r="F701" s="16"/>
      <c r="G701" s="17" t="s">
        <v>0</v>
      </c>
      <c r="H701" s="15"/>
      <c r="I701" s="14" t="s">
        <v>0</v>
      </c>
      <c r="J701" s="14"/>
      <c r="K701" s="18"/>
    </row>
    <row r="702" spans="1:11" s="5" customFormat="1" ht="15" customHeight="1" x14ac:dyDescent="0.2">
      <c r="A702" s="13"/>
      <c r="B702" s="14" t="str">
        <f>IF(A702="","",_xlfn.XLOOKUP(A702,'DISPATCH SHEET'!B$3:B$121,'DISPATCH SHEET'!C$3:C$121,""))</f>
        <v/>
      </c>
      <c r="C702" s="14" t="str">
        <f>IF(ISBLANK(A702),"",_xlfn.XLOOKUP(A702,'DISPATCH SHEET'!B$3:B$121,'DISPATCH SHEET'!#REF!,""))</f>
        <v/>
      </c>
      <c r="D702" s="14"/>
      <c r="E702" s="15"/>
      <c r="F702" s="16"/>
      <c r="G702" s="17" t="s">
        <v>0</v>
      </c>
      <c r="H702" s="15"/>
      <c r="I702" s="14" t="s">
        <v>0</v>
      </c>
      <c r="J702" s="14"/>
      <c r="K702" s="18"/>
    </row>
    <row r="703" spans="1:11" s="5" customFormat="1" ht="15" customHeight="1" x14ac:dyDescent="0.2">
      <c r="A703" s="13"/>
      <c r="B703" s="14" t="str">
        <f>IF(A703="","",_xlfn.XLOOKUP(A703,'DISPATCH SHEET'!B$3:B$121,'DISPATCH SHEET'!C$3:C$121,""))</f>
        <v/>
      </c>
      <c r="C703" s="14" t="str">
        <f>IF(ISBLANK(A703),"",_xlfn.XLOOKUP(A703,'DISPATCH SHEET'!B$3:B$121,'DISPATCH SHEET'!#REF!,""))</f>
        <v/>
      </c>
      <c r="D703" s="14"/>
      <c r="E703" s="15"/>
      <c r="F703" s="16"/>
      <c r="G703" s="17" t="s">
        <v>0</v>
      </c>
      <c r="H703" s="15"/>
      <c r="I703" s="14" t="s">
        <v>0</v>
      </c>
      <c r="J703" s="14"/>
      <c r="K703" s="18"/>
    </row>
    <row r="704" spans="1:11" s="5" customFormat="1" ht="15" customHeight="1" x14ac:dyDescent="0.2">
      <c r="A704" s="13"/>
      <c r="B704" s="14" t="str">
        <f>IF(A704="","",_xlfn.XLOOKUP(A704,'DISPATCH SHEET'!B$3:B$121,'DISPATCH SHEET'!C$3:C$121,""))</f>
        <v/>
      </c>
      <c r="C704" s="14" t="str">
        <f>IF(ISBLANK(A704),"",_xlfn.XLOOKUP(A704,'DISPATCH SHEET'!B$3:B$121,'DISPATCH SHEET'!#REF!,""))</f>
        <v/>
      </c>
      <c r="D704" s="14"/>
      <c r="E704" s="15"/>
      <c r="F704" s="16"/>
      <c r="G704" s="17" t="s">
        <v>0</v>
      </c>
      <c r="H704" s="15"/>
      <c r="I704" s="14" t="s">
        <v>0</v>
      </c>
      <c r="J704" s="14"/>
      <c r="K704" s="18"/>
    </row>
    <row r="705" spans="1:11" s="5" customFormat="1" ht="15" customHeight="1" x14ac:dyDescent="0.2">
      <c r="A705" s="13"/>
      <c r="B705" s="14" t="str">
        <f>IF(A705="","",_xlfn.XLOOKUP(A705,'DISPATCH SHEET'!B$3:B$121,'DISPATCH SHEET'!C$3:C$121,""))</f>
        <v/>
      </c>
      <c r="C705" s="14" t="str">
        <f>IF(ISBLANK(A705),"",_xlfn.XLOOKUP(A705,'DISPATCH SHEET'!B$3:B$121,'DISPATCH SHEET'!#REF!,""))</f>
        <v/>
      </c>
      <c r="D705" s="14"/>
      <c r="E705" s="15"/>
      <c r="F705" s="16"/>
      <c r="G705" s="17" t="s">
        <v>0</v>
      </c>
      <c r="H705" s="15"/>
      <c r="I705" s="14" t="s">
        <v>0</v>
      </c>
      <c r="J705" s="14"/>
      <c r="K705" s="18"/>
    </row>
    <row r="706" spans="1:11" s="5" customFormat="1" ht="15" customHeight="1" x14ac:dyDescent="0.2">
      <c r="A706" s="13"/>
      <c r="B706" s="14" t="str">
        <f>IF(A706="","",_xlfn.XLOOKUP(A706,'DISPATCH SHEET'!B$3:B$121,'DISPATCH SHEET'!C$3:C$121,""))</f>
        <v/>
      </c>
      <c r="C706" s="14" t="str">
        <f>IF(ISBLANK(A706),"",_xlfn.XLOOKUP(A706,'DISPATCH SHEET'!B$3:B$121,'DISPATCH SHEET'!#REF!,""))</f>
        <v/>
      </c>
      <c r="D706" s="14"/>
      <c r="E706" s="15"/>
      <c r="F706" s="16"/>
      <c r="G706" s="17" t="s">
        <v>0</v>
      </c>
      <c r="H706" s="15"/>
      <c r="I706" s="14" t="s">
        <v>0</v>
      </c>
      <c r="J706" s="14"/>
      <c r="K706" s="18"/>
    </row>
    <row r="707" spans="1:11" s="5" customFormat="1" ht="15" customHeight="1" x14ac:dyDescent="0.2">
      <c r="A707" s="13"/>
      <c r="B707" s="14" t="str">
        <f>IF(A707="","",_xlfn.XLOOKUP(A707,'DISPATCH SHEET'!B$3:B$121,'DISPATCH SHEET'!C$3:C$121,""))</f>
        <v/>
      </c>
      <c r="C707" s="14" t="str">
        <f>IF(ISBLANK(A707),"",_xlfn.XLOOKUP(A707,'DISPATCH SHEET'!B$3:B$121,'DISPATCH SHEET'!#REF!,""))</f>
        <v/>
      </c>
      <c r="D707" s="14"/>
      <c r="E707" s="15"/>
      <c r="F707" s="16"/>
      <c r="G707" s="17" t="s">
        <v>0</v>
      </c>
      <c r="H707" s="15"/>
      <c r="I707" s="14" t="s">
        <v>0</v>
      </c>
      <c r="J707" s="14"/>
      <c r="K707" s="18"/>
    </row>
    <row r="708" spans="1:11" s="5" customFormat="1" ht="15" customHeight="1" x14ac:dyDescent="0.2">
      <c r="A708" s="13"/>
      <c r="B708" s="14" t="str">
        <f>IF(A708="","",_xlfn.XLOOKUP(A708,'DISPATCH SHEET'!B$3:B$121,'DISPATCH SHEET'!C$3:C$121,""))</f>
        <v/>
      </c>
      <c r="C708" s="14" t="str">
        <f>IF(ISBLANK(A708),"",_xlfn.XLOOKUP(A708,'DISPATCH SHEET'!B$3:B$121,'DISPATCH SHEET'!#REF!,""))</f>
        <v/>
      </c>
      <c r="D708" s="14"/>
      <c r="E708" s="15"/>
      <c r="F708" s="16"/>
      <c r="G708" s="17" t="s">
        <v>0</v>
      </c>
      <c r="H708" s="15"/>
      <c r="I708" s="14" t="s">
        <v>0</v>
      </c>
      <c r="J708" s="14"/>
      <c r="K708" s="18"/>
    </row>
    <row r="709" spans="1:11" s="5" customFormat="1" ht="15" customHeight="1" x14ac:dyDescent="0.2">
      <c r="A709" s="13"/>
      <c r="B709" s="14" t="str">
        <f>IF(A709="","",_xlfn.XLOOKUP(A709,'DISPATCH SHEET'!B$3:B$121,'DISPATCH SHEET'!C$3:C$121,""))</f>
        <v/>
      </c>
      <c r="C709" s="14" t="str">
        <f>IF(ISBLANK(A709),"",_xlfn.XLOOKUP(A709,'DISPATCH SHEET'!B$3:B$121,'DISPATCH SHEET'!#REF!,""))</f>
        <v/>
      </c>
      <c r="D709" s="14"/>
      <c r="E709" s="15"/>
      <c r="F709" s="16"/>
      <c r="G709" s="17" t="s">
        <v>0</v>
      </c>
      <c r="H709" s="15"/>
      <c r="I709" s="14" t="s">
        <v>0</v>
      </c>
      <c r="J709" s="14"/>
      <c r="K709" s="18"/>
    </row>
    <row r="710" spans="1:11" s="5" customFormat="1" ht="15" customHeight="1" x14ac:dyDescent="0.2">
      <c r="A710" s="13"/>
      <c r="B710" s="14" t="str">
        <f>IF(A710="","",_xlfn.XLOOKUP(A710,'DISPATCH SHEET'!B$3:B$121,'DISPATCH SHEET'!C$3:C$121,""))</f>
        <v/>
      </c>
      <c r="C710" s="14" t="str">
        <f>IF(ISBLANK(A710),"",_xlfn.XLOOKUP(A710,'DISPATCH SHEET'!B$3:B$121,'DISPATCH SHEET'!#REF!,""))</f>
        <v/>
      </c>
      <c r="D710" s="14"/>
      <c r="E710" s="15"/>
      <c r="F710" s="16"/>
      <c r="G710" s="17" t="s">
        <v>0</v>
      </c>
      <c r="H710" s="15"/>
      <c r="I710" s="14" t="s">
        <v>0</v>
      </c>
      <c r="J710" s="14"/>
      <c r="K710" s="18"/>
    </row>
    <row r="711" spans="1:11" s="5" customFormat="1" ht="15" customHeight="1" x14ac:dyDescent="0.2">
      <c r="A711" s="13"/>
      <c r="B711" s="14" t="str">
        <f>IF(A711="","",_xlfn.XLOOKUP(A711,'DISPATCH SHEET'!B$3:B$121,'DISPATCH SHEET'!C$3:C$121,""))</f>
        <v/>
      </c>
      <c r="C711" s="14" t="str">
        <f>IF(ISBLANK(A711),"",_xlfn.XLOOKUP(A711,'DISPATCH SHEET'!B$3:B$121,'DISPATCH SHEET'!#REF!,""))</f>
        <v/>
      </c>
      <c r="D711" s="14"/>
      <c r="E711" s="15"/>
      <c r="F711" s="16"/>
      <c r="G711" s="17" t="s">
        <v>0</v>
      </c>
      <c r="H711" s="15"/>
      <c r="I711" s="14" t="s">
        <v>0</v>
      </c>
      <c r="J711" s="14"/>
      <c r="K711" s="18"/>
    </row>
    <row r="712" spans="1:11" s="5" customFormat="1" ht="15" customHeight="1" x14ac:dyDescent="0.2">
      <c r="A712" s="13"/>
      <c r="B712" s="14" t="str">
        <f>IF(A712="","",_xlfn.XLOOKUP(A712,'DISPATCH SHEET'!B$3:B$121,'DISPATCH SHEET'!C$3:C$121,""))</f>
        <v/>
      </c>
      <c r="C712" s="14" t="str">
        <f>IF(ISBLANK(A712),"",_xlfn.XLOOKUP(A712,'DISPATCH SHEET'!B$3:B$121,'DISPATCH SHEET'!#REF!,""))</f>
        <v/>
      </c>
      <c r="D712" s="14"/>
      <c r="E712" s="15"/>
      <c r="F712" s="16"/>
      <c r="G712" s="17" t="s">
        <v>0</v>
      </c>
      <c r="H712" s="15"/>
      <c r="I712" s="14" t="s">
        <v>0</v>
      </c>
      <c r="J712" s="14"/>
      <c r="K712" s="18"/>
    </row>
    <row r="713" spans="1:11" s="5" customFormat="1" ht="15" customHeight="1" x14ac:dyDescent="0.2">
      <c r="A713" s="13"/>
      <c r="B713" s="14" t="str">
        <f>IF(A713="","",_xlfn.XLOOKUP(A713,'DISPATCH SHEET'!B$3:B$121,'DISPATCH SHEET'!C$3:C$121,""))</f>
        <v/>
      </c>
      <c r="C713" s="14" t="str">
        <f>IF(ISBLANK(A713),"",_xlfn.XLOOKUP(A713,'DISPATCH SHEET'!B$3:B$121,'DISPATCH SHEET'!#REF!,""))</f>
        <v/>
      </c>
      <c r="D713" s="14"/>
      <c r="E713" s="15"/>
      <c r="F713" s="16"/>
      <c r="G713" s="17" t="s">
        <v>0</v>
      </c>
      <c r="H713" s="15"/>
      <c r="I713" s="14" t="s">
        <v>0</v>
      </c>
      <c r="J713" s="14"/>
      <c r="K713" s="18"/>
    </row>
    <row r="714" spans="1:11" s="5" customFormat="1" ht="15" customHeight="1" x14ac:dyDescent="0.2">
      <c r="A714" s="13"/>
      <c r="B714" s="14" t="str">
        <f>IF(A714="","",_xlfn.XLOOKUP(A714,'DISPATCH SHEET'!B$3:B$121,'DISPATCH SHEET'!C$3:C$121,""))</f>
        <v/>
      </c>
      <c r="C714" s="14" t="str">
        <f>IF(ISBLANK(A714),"",_xlfn.XLOOKUP(A714,'DISPATCH SHEET'!B$3:B$121,'DISPATCH SHEET'!#REF!,""))</f>
        <v/>
      </c>
      <c r="D714" s="14"/>
      <c r="E714" s="15"/>
      <c r="F714" s="16"/>
      <c r="G714" s="17" t="s">
        <v>0</v>
      </c>
      <c r="H714" s="15"/>
      <c r="I714" s="14" t="s">
        <v>0</v>
      </c>
      <c r="J714" s="14"/>
      <c r="K714" s="18"/>
    </row>
    <row r="715" spans="1:11" s="5" customFormat="1" ht="15" customHeight="1" x14ac:dyDescent="0.2">
      <c r="A715" s="13"/>
      <c r="B715" s="14" t="str">
        <f>IF(A715="","",_xlfn.XLOOKUP(A715,'DISPATCH SHEET'!B$3:B$121,'DISPATCH SHEET'!C$3:C$121,""))</f>
        <v/>
      </c>
      <c r="C715" s="14" t="str">
        <f>IF(ISBLANK(A715),"",_xlfn.XLOOKUP(A715,'DISPATCH SHEET'!B$3:B$121,'DISPATCH SHEET'!#REF!,""))</f>
        <v/>
      </c>
      <c r="D715" s="14"/>
      <c r="E715" s="15"/>
      <c r="F715" s="16"/>
      <c r="G715" s="17" t="s">
        <v>0</v>
      </c>
      <c r="H715" s="15"/>
      <c r="I715" s="14" t="s">
        <v>0</v>
      </c>
      <c r="J715" s="14"/>
      <c r="K715" s="18"/>
    </row>
    <row r="716" spans="1:11" s="5" customFormat="1" ht="15" customHeight="1" x14ac:dyDescent="0.2">
      <c r="A716" s="13"/>
      <c r="B716" s="14" t="str">
        <f>IF(A716="","",_xlfn.XLOOKUP(A716,'DISPATCH SHEET'!B$3:B$121,'DISPATCH SHEET'!C$3:C$121,""))</f>
        <v/>
      </c>
      <c r="C716" s="14" t="str">
        <f>IF(ISBLANK(A716),"",_xlfn.XLOOKUP(A716,'DISPATCH SHEET'!B$3:B$121,'DISPATCH SHEET'!#REF!,""))</f>
        <v/>
      </c>
      <c r="D716" s="14"/>
      <c r="E716" s="15"/>
      <c r="F716" s="16"/>
      <c r="G716" s="17" t="s">
        <v>0</v>
      </c>
      <c r="H716" s="15"/>
      <c r="I716" s="14" t="s">
        <v>0</v>
      </c>
      <c r="J716" s="14"/>
      <c r="K716" s="18"/>
    </row>
    <row r="717" spans="1:11" s="5" customFormat="1" ht="15" customHeight="1" x14ac:dyDescent="0.2">
      <c r="A717" s="13"/>
      <c r="B717" s="14" t="str">
        <f>IF(A717="","",_xlfn.XLOOKUP(A717,'DISPATCH SHEET'!B$3:B$121,'DISPATCH SHEET'!C$3:C$121,""))</f>
        <v/>
      </c>
      <c r="C717" s="14" t="str">
        <f>IF(ISBLANK(A717),"",_xlfn.XLOOKUP(A717,'DISPATCH SHEET'!B$3:B$121,'DISPATCH SHEET'!#REF!,""))</f>
        <v/>
      </c>
      <c r="D717" s="14"/>
      <c r="E717" s="15"/>
      <c r="F717" s="16"/>
      <c r="G717" s="17" t="s">
        <v>0</v>
      </c>
      <c r="H717" s="15"/>
      <c r="I717" s="14" t="s">
        <v>0</v>
      </c>
      <c r="J717" s="14"/>
      <c r="K717" s="18"/>
    </row>
    <row r="718" spans="1:11" s="5" customFormat="1" ht="15" customHeight="1" x14ac:dyDescent="0.2">
      <c r="A718" s="13"/>
      <c r="B718" s="14" t="str">
        <f>IF(A718="","",_xlfn.XLOOKUP(A718,'DISPATCH SHEET'!B$3:B$121,'DISPATCH SHEET'!C$3:C$121,""))</f>
        <v/>
      </c>
      <c r="C718" s="14" t="str">
        <f>IF(ISBLANK(A718),"",_xlfn.XLOOKUP(A718,'DISPATCH SHEET'!B$3:B$121,'DISPATCH SHEET'!#REF!,""))</f>
        <v/>
      </c>
      <c r="D718" s="14"/>
      <c r="E718" s="15"/>
      <c r="F718" s="16"/>
      <c r="G718" s="17" t="s">
        <v>0</v>
      </c>
      <c r="H718" s="15"/>
      <c r="I718" s="14" t="s">
        <v>0</v>
      </c>
      <c r="J718" s="14"/>
      <c r="K718" s="18"/>
    </row>
    <row r="719" spans="1:11" s="5" customFormat="1" ht="15" customHeight="1" x14ac:dyDescent="0.2">
      <c r="A719" s="13"/>
      <c r="B719" s="14" t="str">
        <f>IF(A719="","",_xlfn.XLOOKUP(A719,'DISPATCH SHEET'!B$3:B$121,'DISPATCH SHEET'!C$3:C$121,""))</f>
        <v/>
      </c>
      <c r="C719" s="14" t="str">
        <f>IF(ISBLANK(A719),"",_xlfn.XLOOKUP(A719,'DISPATCH SHEET'!B$3:B$121,'DISPATCH SHEET'!#REF!,""))</f>
        <v/>
      </c>
      <c r="D719" s="14"/>
      <c r="E719" s="15"/>
      <c r="F719" s="16"/>
      <c r="G719" s="17" t="s">
        <v>0</v>
      </c>
      <c r="H719" s="15"/>
      <c r="I719" s="14" t="s">
        <v>0</v>
      </c>
      <c r="J719" s="14"/>
      <c r="K719" s="18"/>
    </row>
    <row r="720" spans="1:11" s="5" customFormat="1" ht="15" customHeight="1" x14ac:dyDescent="0.2">
      <c r="A720" s="13"/>
      <c r="B720" s="14" t="str">
        <f>IF(A720="","",_xlfn.XLOOKUP(A720,'DISPATCH SHEET'!B$3:B$121,'DISPATCH SHEET'!C$3:C$121,""))</f>
        <v/>
      </c>
      <c r="C720" s="14" t="str">
        <f>IF(ISBLANK(A720),"",_xlfn.XLOOKUP(A720,'DISPATCH SHEET'!B$3:B$121,'DISPATCH SHEET'!#REF!,""))</f>
        <v/>
      </c>
      <c r="D720" s="14"/>
      <c r="E720" s="15"/>
      <c r="F720" s="16"/>
      <c r="G720" s="17" t="s">
        <v>0</v>
      </c>
      <c r="H720" s="15"/>
      <c r="I720" s="14" t="s">
        <v>0</v>
      </c>
      <c r="J720" s="14"/>
      <c r="K720" s="18"/>
    </row>
    <row r="721" spans="1:11" s="5" customFormat="1" ht="15" customHeight="1" x14ac:dyDescent="0.2">
      <c r="A721" s="13"/>
      <c r="B721" s="14" t="str">
        <f>IF(A721="","",_xlfn.XLOOKUP(A721,'DISPATCH SHEET'!B$3:B$121,'DISPATCH SHEET'!C$3:C$121,""))</f>
        <v/>
      </c>
      <c r="C721" s="14" t="str">
        <f>IF(ISBLANK(A721),"",_xlfn.XLOOKUP(A721,'DISPATCH SHEET'!B$3:B$121,'DISPATCH SHEET'!#REF!,""))</f>
        <v/>
      </c>
      <c r="D721" s="14"/>
      <c r="E721" s="15"/>
      <c r="F721" s="16"/>
      <c r="G721" s="17" t="s">
        <v>0</v>
      </c>
      <c r="H721" s="15"/>
      <c r="I721" s="14" t="s">
        <v>0</v>
      </c>
      <c r="J721" s="14"/>
      <c r="K721" s="18"/>
    </row>
    <row r="722" spans="1:11" s="5" customFormat="1" ht="15" customHeight="1" x14ac:dyDescent="0.2">
      <c r="A722" s="13"/>
      <c r="B722" s="14" t="str">
        <f>IF(A722="","",_xlfn.XLOOKUP(A722,'DISPATCH SHEET'!B$3:B$121,'DISPATCH SHEET'!C$3:C$121,""))</f>
        <v/>
      </c>
      <c r="C722" s="14" t="str">
        <f>IF(ISBLANK(A722),"",_xlfn.XLOOKUP(A722,'DISPATCH SHEET'!B$3:B$121,'DISPATCH SHEET'!#REF!,""))</f>
        <v/>
      </c>
      <c r="D722" s="14"/>
      <c r="E722" s="15"/>
      <c r="F722" s="16"/>
      <c r="G722" s="17" t="s">
        <v>0</v>
      </c>
      <c r="H722" s="15"/>
      <c r="I722" s="14" t="s">
        <v>0</v>
      </c>
      <c r="J722" s="14"/>
      <c r="K722" s="18"/>
    </row>
    <row r="723" spans="1:11" s="5" customFormat="1" ht="15" customHeight="1" x14ac:dyDescent="0.2">
      <c r="A723" s="13"/>
      <c r="B723" s="14" t="str">
        <f>IF(A723="","",_xlfn.XLOOKUP(A723,'DISPATCH SHEET'!B$3:B$121,'DISPATCH SHEET'!C$3:C$121,""))</f>
        <v/>
      </c>
      <c r="C723" s="14" t="str">
        <f>IF(ISBLANK(A723),"",_xlfn.XLOOKUP(A723,'DISPATCH SHEET'!B$3:B$121,'DISPATCH SHEET'!#REF!,""))</f>
        <v/>
      </c>
      <c r="D723" s="14"/>
      <c r="E723" s="15"/>
      <c r="F723" s="16"/>
      <c r="G723" s="17" t="s">
        <v>0</v>
      </c>
      <c r="H723" s="15"/>
      <c r="I723" s="14" t="s">
        <v>0</v>
      </c>
      <c r="J723" s="14"/>
      <c r="K723" s="18"/>
    </row>
    <row r="724" spans="1:11" s="5" customFormat="1" ht="15" customHeight="1" x14ac:dyDescent="0.2">
      <c r="A724" s="13"/>
      <c r="B724" s="14" t="str">
        <f>IF(A724="","",_xlfn.XLOOKUP(A724,'DISPATCH SHEET'!B$3:B$121,'DISPATCH SHEET'!C$3:C$121,""))</f>
        <v/>
      </c>
      <c r="C724" s="14" t="str">
        <f>IF(ISBLANK(A724),"",_xlfn.XLOOKUP(A724,'DISPATCH SHEET'!B$3:B$121,'DISPATCH SHEET'!#REF!,""))</f>
        <v/>
      </c>
      <c r="D724" s="14"/>
      <c r="E724" s="15"/>
      <c r="F724" s="16"/>
      <c r="G724" s="17" t="s">
        <v>0</v>
      </c>
      <c r="H724" s="15"/>
      <c r="I724" s="14" t="s">
        <v>0</v>
      </c>
      <c r="J724" s="14"/>
      <c r="K724" s="18"/>
    </row>
    <row r="725" spans="1:11" s="5" customFormat="1" ht="15" customHeight="1" x14ac:dyDescent="0.2">
      <c r="A725" s="13"/>
      <c r="B725" s="14" t="str">
        <f>IF(A725="","",_xlfn.XLOOKUP(A725,'DISPATCH SHEET'!B$3:B$121,'DISPATCH SHEET'!C$3:C$121,""))</f>
        <v/>
      </c>
      <c r="C725" s="14" t="str">
        <f>IF(ISBLANK(A725),"",_xlfn.XLOOKUP(A725,'DISPATCH SHEET'!B$3:B$121,'DISPATCH SHEET'!#REF!,""))</f>
        <v/>
      </c>
      <c r="D725" s="14"/>
      <c r="E725" s="15"/>
      <c r="F725" s="16"/>
      <c r="G725" s="17" t="s">
        <v>0</v>
      </c>
      <c r="H725" s="15"/>
      <c r="I725" s="14" t="s">
        <v>0</v>
      </c>
      <c r="J725" s="14"/>
      <c r="K725" s="18"/>
    </row>
    <row r="726" spans="1:11" s="5" customFormat="1" ht="15" customHeight="1" x14ac:dyDescent="0.2">
      <c r="A726" s="13"/>
      <c r="B726" s="14" t="str">
        <f>IF(A726="","",_xlfn.XLOOKUP(A726,'DISPATCH SHEET'!B$3:B$121,'DISPATCH SHEET'!C$3:C$121,""))</f>
        <v/>
      </c>
      <c r="C726" s="14" t="str">
        <f>IF(ISBLANK(A726),"",_xlfn.XLOOKUP(A726,'DISPATCH SHEET'!B$3:B$121,'DISPATCH SHEET'!#REF!,""))</f>
        <v/>
      </c>
      <c r="D726" s="14"/>
      <c r="E726" s="15"/>
      <c r="F726" s="16"/>
      <c r="G726" s="17" t="s">
        <v>0</v>
      </c>
      <c r="H726" s="15"/>
      <c r="I726" s="14" t="s">
        <v>0</v>
      </c>
      <c r="J726" s="14"/>
      <c r="K726" s="18"/>
    </row>
    <row r="727" spans="1:11" s="5" customFormat="1" ht="15" customHeight="1" x14ac:dyDescent="0.2">
      <c r="A727" s="13"/>
      <c r="B727" s="14" t="str">
        <f>IF(A727="","",_xlfn.XLOOKUP(A727,'DISPATCH SHEET'!B$3:B$121,'DISPATCH SHEET'!C$3:C$121,""))</f>
        <v/>
      </c>
      <c r="C727" s="14" t="str">
        <f>IF(ISBLANK(A727),"",_xlfn.XLOOKUP(A727,'DISPATCH SHEET'!B$3:B$121,'DISPATCH SHEET'!#REF!,""))</f>
        <v/>
      </c>
      <c r="D727" s="14"/>
      <c r="E727" s="15"/>
      <c r="F727" s="16"/>
      <c r="G727" s="17" t="s">
        <v>0</v>
      </c>
      <c r="H727" s="15"/>
      <c r="I727" s="14" t="s">
        <v>0</v>
      </c>
      <c r="J727" s="14"/>
      <c r="K727" s="18"/>
    </row>
    <row r="728" spans="1:11" s="5" customFormat="1" ht="15" customHeight="1" x14ac:dyDescent="0.2">
      <c r="A728" s="13"/>
      <c r="B728" s="14" t="str">
        <f>IF(A728="","",_xlfn.XLOOKUP(A728,'DISPATCH SHEET'!B$3:B$121,'DISPATCH SHEET'!C$3:C$121,""))</f>
        <v/>
      </c>
      <c r="C728" s="14" t="str">
        <f>IF(ISBLANK(A728),"",_xlfn.XLOOKUP(A728,'DISPATCH SHEET'!B$3:B$121,'DISPATCH SHEET'!#REF!,""))</f>
        <v/>
      </c>
      <c r="D728" s="14"/>
      <c r="E728" s="15"/>
      <c r="F728" s="16"/>
      <c r="G728" s="17" t="s">
        <v>0</v>
      </c>
      <c r="H728" s="15"/>
      <c r="I728" s="14" t="s">
        <v>0</v>
      </c>
      <c r="J728" s="14"/>
      <c r="K728" s="18"/>
    </row>
    <row r="729" spans="1:11" s="5" customFormat="1" ht="15" customHeight="1" x14ac:dyDescent="0.2">
      <c r="A729" s="13"/>
      <c r="B729" s="14" t="str">
        <f>IF(A729="","",_xlfn.XLOOKUP(A729,'DISPATCH SHEET'!B$3:B$121,'DISPATCH SHEET'!C$3:C$121,""))</f>
        <v/>
      </c>
      <c r="C729" s="14" t="str">
        <f>IF(ISBLANK(A729),"",_xlfn.XLOOKUP(A729,'DISPATCH SHEET'!B$3:B$121,'DISPATCH SHEET'!#REF!,""))</f>
        <v/>
      </c>
      <c r="D729" s="14"/>
      <c r="E729" s="15"/>
      <c r="F729" s="16"/>
      <c r="G729" s="17" t="s">
        <v>0</v>
      </c>
      <c r="H729" s="15"/>
      <c r="I729" s="14" t="s">
        <v>0</v>
      </c>
      <c r="J729" s="14"/>
      <c r="K729" s="18"/>
    </row>
    <row r="730" spans="1:11" s="5" customFormat="1" ht="15" customHeight="1" x14ac:dyDescent="0.2">
      <c r="A730" s="13"/>
      <c r="B730" s="14" t="str">
        <f>IF(A730="","",_xlfn.XLOOKUP(A730,'DISPATCH SHEET'!B$3:B$121,'DISPATCH SHEET'!C$3:C$121,""))</f>
        <v/>
      </c>
      <c r="C730" s="14" t="str">
        <f>IF(ISBLANK(A730),"",_xlfn.XLOOKUP(A730,'DISPATCH SHEET'!B$3:B$121,'DISPATCH SHEET'!#REF!,""))</f>
        <v/>
      </c>
      <c r="D730" s="14"/>
      <c r="E730" s="15"/>
      <c r="F730" s="16"/>
      <c r="G730" s="17" t="s">
        <v>0</v>
      </c>
      <c r="H730" s="15"/>
      <c r="I730" s="14" t="s">
        <v>0</v>
      </c>
      <c r="J730" s="14"/>
      <c r="K730" s="18"/>
    </row>
    <row r="731" spans="1:11" s="5" customFormat="1" ht="15" customHeight="1" x14ac:dyDescent="0.2">
      <c r="A731" s="13"/>
      <c r="B731" s="14" t="str">
        <f>IF(A731="","",_xlfn.XLOOKUP(A731,'DISPATCH SHEET'!B$3:B$121,'DISPATCH SHEET'!C$3:C$121,""))</f>
        <v/>
      </c>
      <c r="C731" s="14" t="str">
        <f>IF(ISBLANK(A731),"",_xlfn.XLOOKUP(A731,'DISPATCH SHEET'!B$3:B$121,'DISPATCH SHEET'!#REF!,""))</f>
        <v/>
      </c>
      <c r="D731" s="14"/>
      <c r="E731" s="15"/>
      <c r="F731" s="16"/>
      <c r="G731" s="17" t="s">
        <v>0</v>
      </c>
      <c r="H731" s="15"/>
      <c r="I731" s="14" t="s">
        <v>0</v>
      </c>
      <c r="J731" s="14"/>
      <c r="K731" s="18"/>
    </row>
    <row r="732" spans="1:11" s="5" customFormat="1" ht="15" customHeight="1" x14ac:dyDescent="0.2">
      <c r="A732" s="13"/>
      <c r="B732" s="14" t="str">
        <f>IF(A732="","",_xlfn.XLOOKUP(A732,'DISPATCH SHEET'!B$3:B$121,'DISPATCH SHEET'!C$3:C$121,""))</f>
        <v/>
      </c>
      <c r="C732" s="14" t="str">
        <f>IF(ISBLANK(A732),"",_xlfn.XLOOKUP(A732,'DISPATCH SHEET'!B$3:B$121,'DISPATCH SHEET'!#REF!,""))</f>
        <v/>
      </c>
      <c r="D732" s="14"/>
      <c r="E732" s="15"/>
      <c r="F732" s="16"/>
      <c r="G732" s="17" t="s">
        <v>0</v>
      </c>
      <c r="H732" s="15"/>
      <c r="I732" s="14" t="s">
        <v>0</v>
      </c>
      <c r="J732" s="14"/>
      <c r="K732" s="18"/>
    </row>
    <row r="733" spans="1:11" s="5" customFormat="1" ht="15" customHeight="1" x14ac:dyDescent="0.2">
      <c r="A733" s="13"/>
      <c r="B733" s="14" t="str">
        <f>IF(A733="","",_xlfn.XLOOKUP(A733,'DISPATCH SHEET'!B$3:B$121,'DISPATCH SHEET'!C$3:C$121,""))</f>
        <v/>
      </c>
      <c r="C733" s="14" t="str">
        <f>IF(ISBLANK(A733),"",_xlfn.XLOOKUP(A733,'DISPATCH SHEET'!B$3:B$121,'DISPATCH SHEET'!#REF!,""))</f>
        <v/>
      </c>
      <c r="D733" s="14"/>
      <c r="E733" s="15"/>
      <c r="F733" s="16"/>
      <c r="G733" s="17" t="s">
        <v>0</v>
      </c>
      <c r="H733" s="15"/>
      <c r="I733" s="14" t="s">
        <v>0</v>
      </c>
      <c r="J733" s="14"/>
      <c r="K733" s="18"/>
    </row>
    <row r="734" spans="1:11" s="5" customFormat="1" ht="15" customHeight="1" x14ac:dyDescent="0.2">
      <c r="A734" s="13"/>
      <c r="B734" s="14" t="str">
        <f>IF(A734="","",_xlfn.XLOOKUP(A734,'DISPATCH SHEET'!B$3:B$121,'DISPATCH SHEET'!C$3:C$121,""))</f>
        <v/>
      </c>
      <c r="C734" s="14" t="str">
        <f>IF(ISBLANK(A734),"",_xlfn.XLOOKUP(A734,'DISPATCH SHEET'!B$3:B$121,'DISPATCH SHEET'!#REF!,""))</f>
        <v/>
      </c>
      <c r="D734" s="14"/>
      <c r="E734" s="15"/>
      <c r="F734" s="16"/>
      <c r="G734" s="17" t="s">
        <v>0</v>
      </c>
      <c r="H734" s="15"/>
      <c r="I734" s="14" t="s">
        <v>0</v>
      </c>
      <c r="J734" s="14"/>
      <c r="K734" s="18"/>
    </row>
    <row r="735" spans="1:11" s="5" customFormat="1" ht="15" customHeight="1" x14ac:dyDescent="0.2">
      <c r="A735" s="13"/>
      <c r="B735" s="14" t="str">
        <f>IF(A735="","",_xlfn.XLOOKUP(A735,'DISPATCH SHEET'!B$3:B$121,'DISPATCH SHEET'!C$3:C$121,""))</f>
        <v/>
      </c>
      <c r="C735" s="14" t="str">
        <f>IF(ISBLANK(A735),"",_xlfn.XLOOKUP(A735,'DISPATCH SHEET'!B$3:B$121,'DISPATCH SHEET'!#REF!,""))</f>
        <v/>
      </c>
      <c r="D735" s="14"/>
      <c r="E735" s="15"/>
      <c r="F735" s="16"/>
      <c r="G735" s="17" t="s">
        <v>0</v>
      </c>
      <c r="H735" s="15"/>
      <c r="I735" s="14" t="s">
        <v>0</v>
      </c>
      <c r="J735" s="14"/>
      <c r="K735" s="18"/>
    </row>
    <row r="736" spans="1:11" s="5" customFormat="1" ht="15" customHeight="1" x14ac:dyDescent="0.2">
      <c r="A736" s="13"/>
      <c r="B736" s="14" t="str">
        <f>IF(A736="","",_xlfn.XLOOKUP(A736,'DISPATCH SHEET'!B$3:B$121,'DISPATCH SHEET'!C$3:C$121,""))</f>
        <v/>
      </c>
      <c r="C736" s="14" t="str">
        <f>IF(ISBLANK(A736),"",_xlfn.XLOOKUP(A736,'DISPATCH SHEET'!B$3:B$121,'DISPATCH SHEET'!#REF!,""))</f>
        <v/>
      </c>
      <c r="D736" s="14"/>
      <c r="E736" s="15"/>
      <c r="F736" s="16"/>
      <c r="G736" s="17" t="s">
        <v>0</v>
      </c>
      <c r="H736" s="15"/>
      <c r="I736" s="14" t="s">
        <v>0</v>
      </c>
      <c r="J736" s="14"/>
      <c r="K736" s="18"/>
    </row>
    <row r="737" spans="1:11" s="5" customFormat="1" ht="15" customHeight="1" x14ac:dyDescent="0.2">
      <c r="A737" s="13"/>
      <c r="B737" s="14" t="str">
        <f>IF(A737="","",_xlfn.XLOOKUP(A737,'DISPATCH SHEET'!B$3:B$121,'DISPATCH SHEET'!C$3:C$121,""))</f>
        <v/>
      </c>
      <c r="C737" s="14" t="str">
        <f>IF(ISBLANK(A737),"",_xlfn.XLOOKUP(A737,'DISPATCH SHEET'!B$3:B$121,'DISPATCH SHEET'!#REF!,""))</f>
        <v/>
      </c>
      <c r="D737" s="14"/>
      <c r="E737" s="15"/>
      <c r="F737" s="16"/>
      <c r="G737" s="17" t="s">
        <v>0</v>
      </c>
      <c r="H737" s="15"/>
      <c r="I737" s="14" t="s">
        <v>0</v>
      </c>
      <c r="J737" s="14"/>
      <c r="K737" s="18"/>
    </row>
    <row r="738" spans="1:11" s="5" customFormat="1" ht="15" customHeight="1" x14ac:dyDescent="0.2">
      <c r="A738" s="13"/>
      <c r="B738" s="14" t="str">
        <f>IF(A738="","",_xlfn.XLOOKUP(A738,'DISPATCH SHEET'!B$3:B$121,'DISPATCH SHEET'!C$3:C$121,""))</f>
        <v/>
      </c>
      <c r="C738" s="14" t="str">
        <f>IF(ISBLANK(A738),"",_xlfn.XLOOKUP(A738,'DISPATCH SHEET'!B$3:B$121,'DISPATCH SHEET'!#REF!,""))</f>
        <v/>
      </c>
      <c r="D738" s="14"/>
      <c r="E738" s="15"/>
      <c r="F738" s="16"/>
      <c r="G738" s="17" t="s">
        <v>0</v>
      </c>
      <c r="H738" s="15"/>
      <c r="I738" s="14" t="s">
        <v>0</v>
      </c>
      <c r="J738" s="14"/>
      <c r="K738" s="18"/>
    </row>
    <row r="739" spans="1:11" s="5" customFormat="1" ht="15" customHeight="1" x14ac:dyDescent="0.2">
      <c r="A739" s="13"/>
      <c r="B739" s="14" t="str">
        <f>IF(A739="","",_xlfn.XLOOKUP(A739,'DISPATCH SHEET'!B$3:B$121,'DISPATCH SHEET'!C$3:C$121,""))</f>
        <v/>
      </c>
      <c r="C739" s="14" t="str">
        <f>IF(ISBLANK(A739),"",_xlfn.XLOOKUP(A739,'DISPATCH SHEET'!B$3:B$121,'DISPATCH SHEET'!#REF!,""))</f>
        <v/>
      </c>
      <c r="D739" s="14"/>
      <c r="E739" s="15"/>
      <c r="F739" s="16"/>
      <c r="G739" s="17" t="s">
        <v>0</v>
      </c>
      <c r="H739" s="15"/>
      <c r="I739" s="14" t="s">
        <v>0</v>
      </c>
      <c r="J739" s="14"/>
      <c r="K739" s="18"/>
    </row>
    <row r="740" spans="1:11" s="5" customFormat="1" ht="15" customHeight="1" x14ac:dyDescent="0.2">
      <c r="A740" s="13"/>
      <c r="B740" s="14" t="str">
        <f>IF(A740="","",_xlfn.XLOOKUP(A740,'DISPATCH SHEET'!B$3:B$121,'DISPATCH SHEET'!C$3:C$121,""))</f>
        <v/>
      </c>
      <c r="C740" s="14" t="str">
        <f>IF(ISBLANK(A740),"",_xlfn.XLOOKUP(A740,'DISPATCH SHEET'!B$3:B$121,'DISPATCH SHEET'!#REF!,""))</f>
        <v/>
      </c>
      <c r="D740" s="14"/>
      <c r="E740" s="15"/>
      <c r="F740" s="16"/>
      <c r="G740" s="17" t="s">
        <v>0</v>
      </c>
      <c r="H740" s="15"/>
      <c r="I740" s="14" t="s">
        <v>0</v>
      </c>
      <c r="J740" s="14"/>
      <c r="K740" s="18"/>
    </row>
    <row r="741" spans="1:11" s="5" customFormat="1" ht="15" customHeight="1" x14ac:dyDescent="0.2">
      <c r="A741" s="13"/>
      <c r="B741" s="14" t="str">
        <f>IF(A741="","",_xlfn.XLOOKUP(A741,'DISPATCH SHEET'!B$3:B$121,'DISPATCH SHEET'!C$3:C$121,""))</f>
        <v/>
      </c>
      <c r="C741" s="14" t="str">
        <f>IF(ISBLANK(A741),"",_xlfn.XLOOKUP(A741,'DISPATCH SHEET'!B$3:B$121,'DISPATCH SHEET'!#REF!,""))</f>
        <v/>
      </c>
      <c r="D741" s="14"/>
      <c r="E741" s="15"/>
      <c r="F741" s="16"/>
      <c r="G741" s="17" t="s">
        <v>0</v>
      </c>
      <c r="H741" s="15"/>
      <c r="I741" s="14" t="s">
        <v>0</v>
      </c>
      <c r="J741" s="14"/>
      <c r="K741" s="18"/>
    </row>
    <row r="742" spans="1:11" s="5" customFormat="1" ht="15" customHeight="1" x14ac:dyDescent="0.2">
      <c r="A742" s="13"/>
      <c r="B742" s="14" t="str">
        <f>IF(A742="","",_xlfn.XLOOKUP(A742,'DISPATCH SHEET'!B$3:B$121,'DISPATCH SHEET'!C$3:C$121,""))</f>
        <v/>
      </c>
      <c r="C742" s="14" t="str">
        <f>IF(ISBLANK(A742),"",_xlfn.XLOOKUP(A742,'DISPATCH SHEET'!B$3:B$121,'DISPATCH SHEET'!#REF!,""))</f>
        <v/>
      </c>
      <c r="D742" s="14"/>
      <c r="E742" s="15"/>
      <c r="F742" s="16"/>
      <c r="G742" s="17" t="s">
        <v>0</v>
      </c>
      <c r="H742" s="15"/>
      <c r="I742" s="14" t="s">
        <v>0</v>
      </c>
      <c r="J742" s="14"/>
      <c r="K742" s="18"/>
    </row>
    <row r="743" spans="1:11" s="5" customFormat="1" ht="15" customHeight="1" x14ac:dyDescent="0.2">
      <c r="A743" s="13"/>
      <c r="B743" s="14" t="str">
        <f>IF(A743="","",_xlfn.XLOOKUP(A743,'DISPATCH SHEET'!B$3:B$121,'DISPATCH SHEET'!C$3:C$121,""))</f>
        <v/>
      </c>
      <c r="C743" s="14" t="str">
        <f>IF(ISBLANK(A743),"",_xlfn.XLOOKUP(A743,'DISPATCH SHEET'!B$3:B$121,'DISPATCH SHEET'!#REF!,""))</f>
        <v/>
      </c>
      <c r="D743" s="14"/>
      <c r="E743" s="15"/>
      <c r="F743" s="16"/>
      <c r="G743" s="17" t="s">
        <v>0</v>
      </c>
      <c r="H743" s="15"/>
      <c r="I743" s="14" t="s">
        <v>0</v>
      </c>
      <c r="J743" s="14"/>
      <c r="K743" s="18"/>
    </row>
    <row r="744" spans="1:11" s="5" customFormat="1" ht="15" customHeight="1" x14ac:dyDescent="0.2">
      <c r="A744" s="13"/>
      <c r="B744" s="14" t="str">
        <f>IF(A744="","",_xlfn.XLOOKUP(A744,'DISPATCH SHEET'!B$3:B$121,'DISPATCH SHEET'!C$3:C$121,""))</f>
        <v/>
      </c>
      <c r="C744" s="14" t="str">
        <f>IF(ISBLANK(A744),"",_xlfn.XLOOKUP(A744,'DISPATCH SHEET'!B$3:B$121,'DISPATCH SHEET'!#REF!,""))</f>
        <v/>
      </c>
      <c r="D744" s="14"/>
      <c r="E744" s="15"/>
      <c r="F744" s="16"/>
      <c r="G744" s="17" t="s">
        <v>0</v>
      </c>
      <c r="H744" s="15"/>
      <c r="I744" s="14" t="s">
        <v>0</v>
      </c>
      <c r="J744" s="14"/>
      <c r="K744" s="18"/>
    </row>
    <row r="745" spans="1:11" s="5" customFormat="1" ht="15" customHeight="1" x14ac:dyDescent="0.2">
      <c r="A745" s="13"/>
      <c r="B745" s="14" t="str">
        <f>IF(A745="","",_xlfn.XLOOKUP(A745,'DISPATCH SHEET'!B$3:B$121,'DISPATCH SHEET'!C$3:C$121,""))</f>
        <v/>
      </c>
      <c r="C745" s="14" t="str">
        <f>IF(ISBLANK(A745),"",_xlfn.XLOOKUP(A745,'DISPATCH SHEET'!B$3:B$121,'DISPATCH SHEET'!#REF!,""))</f>
        <v/>
      </c>
      <c r="D745" s="14"/>
      <c r="E745" s="15"/>
      <c r="F745" s="16"/>
      <c r="G745" s="17" t="s">
        <v>0</v>
      </c>
      <c r="H745" s="15"/>
      <c r="I745" s="14" t="s">
        <v>0</v>
      </c>
      <c r="J745" s="14"/>
      <c r="K745" s="18"/>
    </row>
    <row r="746" spans="1:11" s="5" customFormat="1" ht="15" customHeight="1" x14ac:dyDescent="0.2">
      <c r="A746" s="13"/>
      <c r="B746" s="14" t="str">
        <f>IF(A746="","",_xlfn.XLOOKUP(A746,'DISPATCH SHEET'!B$3:B$121,'DISPATCH SHEET'!C$3:C$121,""))</f>
        <v/>
      </c>
      <c r="C746" s="14" t="str">
        <f>IF(ISBLANK(A746),"",_xlfn.XLOOKUP(A746,'DISPATCH SHEET'!B$3:B$121,'DISPATCH SHEET'!#REF!,""))</f>
        <v/>
      </c>
      <c r="D746" s="14"/>
      <c r="E746" s="15"/>
      <c r="F746" s="16"/>
      <c r="G746" s="17" t="s">
        <v>0</v>
      </c>
      <c r="H746" s="15"/>
      <c r="I746" s="14" t="s">
        <v>0</v>
      </c>
      <c r="J746" s="14"/>
      <c r="K746" s="18"/>
    </row>
    <row r="747" spans="1:11" s="5" customFormat="1" ht="15" customHeight="1" x14ac:dyDescent="0.2">
      <c r="A747" s="13"/>
      <c r="B747" s="14" t="str">
        <f>IF(A747="","",_xlfn.XLOOKUP(A747,'DISPATCH SHEET'!B$3:B$121,'DISPATCH SHEET'!C$3:C$121,""))</f>
        <v/>
      </c>
      <c r="C747" s="14" t="str">
        <f>IF(ISBLANK(A747),"",_xlfn.XLOOKUP(A747,'DISPATCH SHEET'!B$3:B$121,'DISPATCH SHEET'!#REF!,""))</f>
        <v/>
      </c>
      <c r="D747" s="14"/>
      <c r="E747" s="15"/>
      <c r="F747" s="16"/>
      <c r="G747" s="17" t="s">
        <v>0</v>
      </c>
      <c r="H747" s="15"/>
      <c r="I747" s="14" t="s">
        <v>0</v>
      </c>
      <c r="J747" s="14"/>
      <c r="K747" s="18"/>
    </row>
    <row r="748" spans="1:11" s="5" customFormat="1" ht="15" customHeight="1" x14ac:dyDescent="0.2">
      <c r="A748" s="13"/>
      <c r="B748" s="14" t="str">
        <f>IF(A748="","",_xlfn.XLOOKUP(A748,'DISPATCH SHEET'!B$3:B$121,'DISPATCH SHEET'!C$3:C$121,""))</f>
        <v/>
      </c>
      <c r="C748" s="14" t="str">
        <f>IF(ISBLANK(A748),"",_xlfn.XLOOKUP(A748,'DISPATCH SHEET'!B$3:B$121,'DISPATCH SHEET'!#REF!,""))</f>
        <v/>
      </c>
      <c r="D748" s="14"/>
      <c r="E748" s="15"/>
      <c r="F748" s="16"/>
      <c r="G748" s="17" t="s">
        <v>0</v>
      </c>
      <c r="H748" s="15"/>
      <c r="I748" s="14" t="s">
        <v>0</v>
      </c>
      <c r="J748" s="14"/>
      <c r="K748" s="18"/>
    </row>
    <row r="749" spans="1:11" s="5" customFormat="1" ht="15" customHeight="1" x14ac:dyDescent="0.2">
      <c r="A749" s="13"/>
      <c r="B749" s="14" t="str">
        <f>IF(A749="","",_xlfn.XLOOKUP(A749,'DISPATCH SHEET'!B$3:B$121,'DISPATCH SHEET'!C$3:C$121,""))</f>
        <v/>
      </c>
      <c r="C749" s="14" t="str">
        <f>IF(ISBLANK(A749),"",_xlfn.XLOOKUP(A749,'DISPATCH SHEET'!B$3:B$121,'DISPATCH SHEET'!#REF!,""))</f>
        <v/>
      </c>
      <c r="D749" s="14"/>
      <c r="E749" s="15"/>
      <c r="F749" s="16"/>
      <c r="G749" s="17" t="s">
        <v>0</v>
      </c>
      <c r="H749" s="15"/>
      <c r="I749" s="14" t="s">
        <v>0</v>
      </c>
      <c r="J749" s="14"/>
      <c r="K749" s="18"/>
    </row>
    <row r="750" spans="1:11" s="5" customFormat="1" ht="15" customHeight="1" x14ac:dyDescent="0.2">
      <c r="A750" s="13"/>
      <c r="B750" s="14" t="str">
        <f>IF(A750="","",_xlfn.XLOOKUP(A750,'DISPATCH SHEET'!B$3:B$121,'DISPATCH SHEET'!C$3:C$121,""))</f>
        <v/>
      </c>
      <c r="C750" s="14" t="str">
        <f>IF(ISBLANK(A750),"",_xlfn.XLOOKUP(A750,'DISPATCH SHEET'!B$3:B$121,'DISPATCH SHEET'!#REF!,""))</f>
        <v/>
      </c>
      <c r="D750" s="14"/>
      <c r="E750" s="15"/>
      <c r="F750" s="16"/>
      <c r="G750" s="17" t="s">
        <v>0</v>
      </c>
      <c r="H750" s="15"/>
      <c r="I750" s="14" t="s">
        <v>0</v>
      </c>
      <c r="J750" s="14"/>
      <c r="K750" s="18"/>
    </row>
    <row r="751" spans="1:11" s="5" customFormat="1" ht="15" customHeight="1" x14ac:dyDescent="0.2">
      <c r="A751" s="13"/>
      <c r="B751" s="14" t="str">
        <f>IF(A751="","",_xlfn.XLOOKUP(A751,'DISPATCH SHEET'!B$3:B$121,'DISPATCH SHEET'!C$3:C$121,""))</f>
        <v/>
      </c>
      <c r="C751" s="14" t="str">
        <f>IF(ISBLANK(A751),"",_xlfn.XLOOKUP(A751,'DISPATCH SHEET'!B$3:B$121,'DISPATCH SHEET'!#REF!,""))</f>
        <v/>
      </c>
      <c r="D751" s="14"/>
      <c r="E751" s="15"/>
      <c r="F751" s="16"/>
      <c r="G751" s="17" t="s">
        <v>0</v>
      </c>
      <c r="H751" s="15"/>
      <c r="I751" s="14" t="s">
        <v>0</v>
      </c>
      <c r="J751" s="14"/>
      <c r="K751" s="18"/>
    </row>
    <row r="752" spans="1:11" s="5" customFormat="1" ht="15" customHeight="1" x14ac:dyDescent="0.2">
      <c r="A752" s="13"/>
      <c r="B752" s="14" t="str">
        <f>IF(A752="","",_xlfn.XLOOKUP(A752,'DISPATCH SHEET'!B$3:B$121,'DISPATCH SHEET'!C$3:C$121,""))</f>
        <v/>
      </c>
      <c r="C752" s="14" t="str">
        <f>IF(ISBLANK(A752),"",_xlfn.XLOOKUP(A752,'DISPATCH SHEET'!B$3:B$121,'DISPATCH SHEET'!#REF!,""))</f>
        <v/>
      </c>
      <c r="D752" s="14"/>
      <c r="E752" s="15"/>
      <c r="F752" s="16"/>
      <c r="G752" s="17" t="s">
        <v>0</v>
      </c>
      <c r="H752" s="15"/>
      <c r="I752" s="14" t="s">
        <v>0</v>
      </c>
      <c r="J752" s="14"/>
      <c r="K752" s="18"/>
    </row>
    <row r="753" spans="1:11" s="5" customFormat="1" ht="15" customHeight="1" x14ac:dyDescent="0.2">
      <c r="A753" s="13"/>
      <c r="B753" s="14" t="str">
        <f>IF(A753="","",_xlfn.XLOOKUP(A753,'DISPATCH SHEET'!B$3:B$121,'DISPATCH SHEET'!C$3:C$121,""))</f>
        <v/>
      </c>
      <c r="C753" s="14" t="str">
        <f>IF(ISBLANK(A753),"",_xlfn.XLOOKUP(A753,'DISPATCH SHEET'!B$3:B$121,'DISPATCH SHEET'!#REF!,""))</f>
        <v/>
      </c>
      <c r="D753" s="14"/>
      <c r="E753" s="15"/>
      <c r="F753" s="16"/>
      <c r="G753" s="17" t="s">
        <v>0</v>
      </c>
      <c r="H753" s="15"/>
      <c r="I753" s="14" t="s">
        <v>0</v>
      </c>
      <c r="J753" s="14"/>
      <c r="K753" s="18"/>
    </row>
    <row r="754" spans="1:11" s="5" customFormat="1" ht="15" customHeight="1" x14ac:dyDescent="0.2">
      <c r="A754" s="13"/>
      <c r="B754" s="14" t="str">
        <f>IF(A754="","",_xlfn.XLOOKUP(A754,'DISPATCH SHEET'!B$3:B$121,'DISPATCH SHEET'!C$3:C$121,""))</f>
        <v/>
      </c>
      <c r="C754" s="14" t="str">
        <f>IF(ISBLANK(A754),"",_xlfn.XLOOKUP(A754,'DISPATCH SHEET'!B$3:B$121,'DISPATCH SHEET'!#REF!,""))</f>
        <v/>
      </c>
      <c r="D754" s="14"/>
      <c r="E754" s="15"/>
      <c r="F754" s="16"/>
      <c r="G754" s="17" t="s">
        <v>0</v>
      </c>
      <c r="H754" s="15"/>
      <c r="I754" s="14" t="s">
        <v>0</v>
      </c>
      <c r="J754" s="14"/>
      <c r="K754" s="18"/>
    </row>
    <row r="755" spans="1:11" s="5" customFormat="1" ht="15" customHeight="1" x14ac:dyDescent="0.2">
      <c r="A755" s="13"/>
      <c r="B755" s="14" t="str">
        <f>IF(A755="","",_xlfn.XLOOKUP(A755,'DISPATCH SHEET'!B$3:B$121,'DISPATCH SHEET'!C$3:C$121,""))</f>
        <v/>
      </c>
      <c r="C755" s="14" t="str">
        <f>IF(ISBLANK(A755),"",_xlfn.XLOOKUP(A755,'DISPATCH SHEET'!B$3:B$121,'DISPATCH SHEET'!#REF!,""))</f>
        <v/>
      </c>
      <c r="D755" s="14"/>
      <c r="E755" s="15"/>
      <c r="F755" s="16"/>
      <c r="G755" s="17" t="s">
        <v>0</v>
      </c>
      <c r="H755" s="15"/>
      <c r="I755" s="14" t="s">
        <v>0</v>
      </c>
      <c r="J755" s="14"/>
      <c r="K755" s="18"/>
    </row>
    <row r="756" spans="1:11" s="5" customFormat="1" ht="15" customHeight="1" x14ac:dyDescent="0.2">
      <c r="A756" s="13"/>
      <c r="B756" s="14" t="str">
        <f>IF(A756="","",_xlfn.XLOOKUP(A756,'DISPATCH SHEET'!B$3:B$121,'DISPATCH SHEET'!C$3:C$121,""))</f>
        <v/>
      </c>
      <c r="C756" s="14" t="str">
        <f>IF(ISBLANK(A756),"",_xlfn.XLOOKUP(A756,'DISPATCH SHEET'!B$3:B$121,'DISPATCH SHEET'!#REF!,""))</f>
        <v/>
      </c>
      <c r="D756" s="14"/>
      <c r="E756" s="15"/>
      <c r="F756" s="16"/>
      <c r="G756" s="17" t="s">
        <v>0</v>
      </c>
      <c r="H756" s="15"/>
      <c r="I756" s="14" t="s">
        <v>0</v>
      </c>
      <c r="J756" s="14"/>
      <c r="K756" s="18"/>
    </row>
    <row r="757" spans="1:11" s="5" customFormat="1" ht="15" customHeight="1" x14ac:dyDescent="0.2">
      <c r="A757" s="13"/>
      <c r="B757" s="14" t="str">
        <f>IF(A757="","",_xlfn.XLOOKUP(A757,'DISPATCH SHEET'!B$3:B$121,'DISPATCH SHEET'!C$3:C$121,""))</f>
        <v/>
      </c>
      <c r="C757" s="14" t="str">
        <f>IF(ISBLANK(A757),"",_xlfn.XLOOKUP(A757,'DISPATCH SHEET'!B$3:B$121,'DISPATCH SHEET'!#REF!,""))</f>
        <v/>
      </c>
      <c r="D757" s="14"/>
      <c r="E757" s="15"/>
      <c r="F757" s="16"/>
      <c r="G757" s="17" t="s">
        <v>0</v>
      </c>
      <c r="H757" s="15"/>
      <c r="I757" s="14" t="s">
        <v>0</v>
      </c>
      <c r="J757" s="14"/>
      <c r="K757" s="18"/>
    </row>
    <row r="758" spans="1:11" s="5" customFormat="1" ht="15" customHeight="1" x14ac:dyDescent="0.2">
      <c r="A758" s="13"/>
      <c r="B758" s="14" t="str">
        <f>IF(A758="","",_xlfn.XLOOKUP(A758,'DISPATCH SHEET'!B$3:B$121,'DISPATCH SHEET'!C$3:C$121,""))</f>
        <v/>
      </c>
      <c r="C758" s="14" t="str">
        <f>IF(ISBLANK(A758),"",_xlfn.XLOOKUP(A758,'DISPATCH SHEET'!B$3:B$121,'DISPATCH SHEET'!#REF!,""))</f>
        <v/>
      </c>
      <c r="D758" s="14"/>
      <c r="E758" s="15"/>
      <c r="F758" s="16"/>
      <c r="G758" s="17" t="s">
        <v>0</v>
      </c>
      <c r="H758" s="15"/>
      <c r="I758" s="14" t="s">
        <v>0</v>
      </c>
      <c r="J758" s="14"/>
      <c r="K758" s="18"/>
    </row>
    <row r="759" spans="1:11" s="5" customFormat="1" ht="15" customHeight="1" x14ac:dyDescent="0.2">
      <c r="A759" s="13"/>
      <c r="B759" s="14" t="str">
        <f>IF(A759="","",_xlfn.XLOOKUP(A759,'DISPATCH SHEET'!B$3:B$121,'DISPATCH SHEET'!C$3:C$121,""))</f>
        <v/>
      </c>
      <c r="C759" s="14" t="str">
        <f>IF(ISBLANK(A759),"",_xlfn.XLOOKUP(A759,'DISPATCH SHEET'!B$3:B$121,'DISPATCH SHEET'!#REF!,""))</f>
        <v/>
      </c>
      <c r="D759" s="14"/>
      <c r="E759" s="15"/>
      <c r="F759" s="16"/>
      <c r="G759" s="17" t="s">
        <v>0</v>
      </c>
      <c r="H759" s="15"/>
      <c r="I759" s="14" t="s">
        <v>0</v>
      </c>
      <c r="J759" s="14"/>
      <c r="K759" s="18"/>
    </row>
    <row r="760" spans="1:11" s="5" customFormat="1" ht="15" customHeight="1" x14ac:dyDescent="0.2">
      <c r="A760" s="13"/>
      <c r="B760" s="14" t="str">
        <f>IF(A760="","",_xlfn.XLOOKUP(A760,'DISPATCH SHEET'!B$3:B$121,'DISPATCH SHEET'!C$3:C$121,""))</f>
        <v/>
      </c>
      <c r="C760" s="14" t="str">
        <f>IF(ISBLANK(A760),"",_xlfn.XLOOKUP(A760,'DISPATCH SHEET'!B$3:B$121,'DISPATCH SHEET'!#REF!,""))</f>
        <v/>
      </c>
      <c r="D760" s="14"/>
      <c r="E760" s="15"/>
      <c r="F760" s="16"/>
      <c r="G760" s="17" t="s">
        <v>0</v>
      </c>
      <c r="H760" s="15"/>
      <c r="I760" s="14" t="s">
        <v>0</v>
      </c>
      <c r="J760" s="14"/>
      <c r="K760" s="18"/>
    </row>
    <row r="761" spans="1:11" s="5" customFormat="1" ht="15" customHeight="1" x14ac:dyDescent="0.2">
      <c r="A761" s="13"/>
      <c r="B761" s="14" t="str">
        <f>IF(A761="","",_xlfn.XLOOKUP(A761,'DISPATCH SHEET'!B$3:B$121,'DISPATCH SHEET'!C$3:C$121,""))</f>
        <v/>
      </c>
      <c r="C761" s="14" t="str">
        <f>IF(ISBLANK(A761),"",_xlfn.XLOOKUP(A761,'DISPATCH SHEET'!B$3:B$121,'DISPATCH SHEET'!#REF!,""))</f>
        <v/>
      </c>
      <c r="D761" s="14"/>
      <c r="E761" s="15"/>
      <c r="F761" s="16"/>
      <c r="G761" s="17" t="s">
        <v>0</v>
      </c>
      <c r="H761" s="15"/>
      <c r="I761" s="14" t="s">
        <v>0</v>
      </c>
      <c r="J761" s="14"/>
      <c r="K761" s="18"/>
    </row>
    <row r="762" spans="1:11" s="5" customFormat="1" ht="15" customHeight="1" x14ac:dyDescent="0.2">
      <c r="A762" s="13"/>
      <c r="B762" s="14" t="str">
        <f>IF(A762="","",_xlfn.XLOOKUP(A762,'DISPATCH SHEET'!B$3:B$121,'DISPATCH SHEET'!C$3:C$121,""))</f>
        <v/>
      </c>
      <c r="C762" s="14" t="str">
        <f>IF(ISBLANK(A762),"",_xlfn.XLOOKUP(A762,'DISPATCH SHEET'!B$3:B$121,'DISPATCH SHEET'!#REF!,""))</f>
        <v/>
      </c>
      <c r="D762" s="14"/>
      <c r="E762" s="15"/>
      <c r="F762" s="16"/>
      <c r="G762" s="17" t="s">
        <v>0</v>
      </c>
      <c r="H762" s="15"/>
      <c r="I762" s="14" t="s">
        <v>0</v>
      </c>
      <c r="J762" s="14"/>
      <c r="K762" s="18"/>
    </row>
    <row r="763" spans="1:11" s="5" customFormat="1" ht="15" customHeight="1" x14ac:dyDescent="0.2">
      <c r="A763" s="13"/>
      <c r="B763" s="14" t="str">
        <f>IF(A763="","",_xlfn.XLOOKUP(A763,'DISPATCH SHEET'!B$3:B$121,'DISPATCH SHEET'!C$3:C$121,""))</f>
        <v/>
      </c>
      <c r="C763" s="14" t="str">
        <f>IF(ISBLANK(A763),"",_xlfn.XLOOKUP(A763,'DISPATCH SHEET'!B$3:B$121,'DISPATCH SHEET'!#REF!,""))</f>
        <v/>
      </c>
      <c r="D763" s="14"/>
      <c r="E763" s="15"/>
      <c r="F763" s="16"/>
      <c r="G763" s="17" t="s">
        <v>0</v>
      </c>
      <c r="H763" s="15"/>
      <c r="I763" s="14" t="s">
        <v>0</v>
      </c>
      <c r="J763" s="14"/>
      <c r="K763" s="18"/>
    </row>
    <row r="764" spans="1:11" s="5" customFormat="1" ht="15" customHeight="1" x14ac:dyDescent="0.2">
      <c r="A764" s="13"/>
      <c r="B764" s="14" t="str">
        <f>IF(A764="","",_xlfn.XLOOKUP(A764,'DISPATCH SHEET'!B$3:B$121,'DISPATCH SHEET'!C$3:C$121,""))</f>
        <v/>
      </c>
      <c r="C764" s="14" t="str">
        <f>IF(ISBLANK(A764),"",_xlfn.XLOOKUP(A764,'DISPATCH SHEET'!B$3:B$121,'DISPATCH SHEET'!#REF!,""))</f>
        <v/>
      </c>
      <c r="D764" s="14"/>
      <c r="E764" s="15"/>
      <c r="F764" s="16"/>
      <c r="G764" s="17" t="s">
        <v>0</v>
      </c>
      <c r="H764" s="15"/>
      <c r="I764" s="14" t="s">
        <v>0</v>
      </c>
      <c r="J764" s="14"/>
      <c r="K764" s="18"/>
    </row>
    <row r="765" spans="1:11" s="5" customFormat="1" ht="15" customHeight="1" x14ac:dyDescent="0.2">
      <c r="A765" s="13"/>
      <c r="B765" s="14" t="str">
        <f>IF(A765="","",_xlfn.XLOOKUP(A765,'DISPATCH SHEET'!B$3:B$121,'DISPATCH SHEET'!C$3:C$121,""))</f>
        <v/>
      </c>
      <c r="C765" s="14" t="str">
        <f>IF(ISBLANK(A765),"",_xlfn.XLOOKUP(A765,'DISPATCH SHEET'!B$3:B$121,'DISPATCH SHEET'!#REF!,""))</f>
        <v/>
      </c>
      <c r="D765" s="14"/>
      <c r="E765" s="15"/>
      <c r="F765" s="16"/>
      <c r="G765" s="17" t="s">
        <v>0</v>
      </c>
      <c r="H765" s="15"/>
      <c r="I765" s="14" t="s">
        <v>0</v>
      </c>
      <c r="J765" s="14"/>
      <c r="K765" s="18"/>
    </row>
    <row r="766" spans="1:11" s="5" customFormat="1" ht="15" customHeight="1" x14ac:dyDescent="0.2">
      <c r="A766" s="13"/>
      <c r="B766" s="14" t="str">
        <f>IF(A766="","",_xlfn.XLOOKUP(A766,'DISPATCH SHEET'!B$3:B$121,'DISPATCH SHEET'!C$3:C$121,""))</f>
        <v/>
      </c>
      <c r="C766" s="14" t="str">
        <f>IF(ISBLANK(A766),"",_xlfn.XLOOKUP(A766,'DISPATCH SHEET'!B$3:B$121,'DISPATCH SHEET'!#REF!,""))</f>
        <v/>
      </c>
      <c r="D766" s="14"/>
      <c r="E766" s="15"/>
      <c r="F766" s="16"/>
      <c r="G766" s="17" t="s">
        <v>0</v>
      </c>
      <c r="H766" s="15"/>
      <c r="I766" s="14" t="s">
        <v>0</v>
      </c>
      <c r="J766" s="14"/>
      <c r="K766" s="18"/>
    </row>
    <row r="767" spans="1:11" s="5" customFormat="1" ht="15" customHeight="1" x14ac:dyDescent="0.2">
      <c r="A767" s="13"/>
      <c r="B767" s="14" t="str">
        <f>IF(A767="","",_xlfn.XLOOKUP(A767,'DISPATCH SHEET'!B$3:B$121,'DISPATCH SHEET'!C$3:C$121,""))</f>
        <v/>
      </c>
      <c r="C767" s="14" t="str">
        <f>IF(ISBLANK(A767),"",_xlfn.XLOOKUP(A767,'DISPATCH SHEET'!B$3:B$121,'DISPATCH SHEET'!#REF!,""))</f>
        <v/>
      </c>
      <c r="D767" s="14"/>
      <c r="E767" s="15"/>
      <c r="F767" s="16"/>
      <c r="G767" s="17" t="s">
        <v>0</v>
      </c>
      <c r="H767" s="15"/>
      <c r="I767" s="14" t="s">
        <v>0</v>
      </c>
      <c r="J767" s="14"/>
      <c r="K767" s="18"/>
    </row>
    <row r="768" spans="1:11" s="5" customFormat="1" ht="15" customHeight="1" x14ac:dyDescent="0.2">
      <c r="A768" s="13"/>
      <c r="B768" s="14" t="str">
        <f>IF(A768="","",_xlfn.XLOOKUP(A768,'DISPATCH SHEET'!B$3:B$121,'DISPATCH SHEET'!C$3:C$121,""))</f>
        <v/>
      </c>
      <c r="C768" s="14" t="str">
        <f>IF(ISBLANK(A768),"",_xlfn.XLOOKUP(A768,'DISPATCH SHEET'!B$3:B$121,'DISPATCH SHEET'!#REF!,""))</f>
        <v/>
      </c>
      <c r="D768" s="14"/>
      <c r="E768" s="15"/>
      <c r="F768" s="16"/>
      <c r="G768" s="17" t="s">
        <v>0</v>
      </c>
      <c r="H768" s="15"/>
      <c r="I768" s="14" t="s">
        <v>0</v>
      </c>
      <c r="J768" s="14"/>
      <c r="K768" s="18"/>
    </row>
    <row r="769" spans="1:11" s="5" customFormat="1" ht="15" customHeight="1" x14ac:dyDescent="0.2">
      <c r="A769" s="13"/>
      <c r="B769" s="14" t="str">
        <f>IF(A769="","",_xlfn.XLOOKUP(A769,'DISPATCH SHEET'!B$3:B$121,'DISPATCH SHEET'!C$3:C$121,""))</f>
        <v/>
      </c>
      <c r="C769" s="14" t="str">
        <f>IF(ISBLANK(A769),"",_xlfn.XLOOKUP(A769,'DISPATCH SHEET'!B$3:B$121,'DISPATCH SHEET'!#REF!,""))</f>
        <v/>
      </c>
      <c r="D769" s="14"/>
      <c r="E769" s="15"/>
      <c r="F769" s="16"/>
      <c r="G769" s="17" t="s">
        <v>0</v>
      </c>
      <c r="H769" s="15"/>
      <c r="I769" s="14" t="s">
        <v>0</v>
      </c>
      <c r="J769" s="14"/>
      <c r="K769" s="18"/>
    </row>
    <row r="770" spans="1:11" s="5" customFormat="1" ht="15" customHeight="1" x14ac:dyDescent="0.2">
      <c r="A770" s="13"/>
      <c r="B770" s="14" t="str">
        <f>IF(A770="","",_xlfn.XLOOKUP(A770,'DISPATCH SHEET'!B$3:B$121,'DISPATCH SHEET'!C$3:C$121,""))</f>
        <v/>
      </c>
      <c r="C770" s="14" t="str">
        <f>IF(ISBLANK(A770),"",_xlfn.XLOOKUP(A770,'DISPATCH SHEET'!B$3:B$121,'DISPATCH SHEET'!#REF!,""))</f>
        <v/>
      </c>
      <c r="D770" s="14"/>
      <c r="E770" s="15"/>
      <c r="F770" s="16"/>
      <c r="G770" s="17" t="s">
        <v>0</v>
      </c>
      <c r="H770" s="15"/>
      <c r="I770" s="14" t="s">
        <v>0</v>
      </c>
      <c r="J770" s="14"/>
      <c r="K770" s="18"/>
    </row>
    <row r="771" spans="1:11" s="5" customFormat="1" ht="15" customHeight="1" x14ac:dyDescent="0.2">
      <c r="A771" s="13"/>
      <c r="B771" s="14" t="str">
        <f>IF(A771="","",_xlfn.XLOOKUP(A771,'DISPATCH SHEET'!B$3:B$121,'DISPATCH SHEET'!C$3:C$121,""))</f>
        <v/>
      </c>
      <c r="C771" s="14" t="str">
        <f>IF(ISBLANK(A771),"",_xlfn.XLOOKUP(A771,'DISPATCH SHEET'!B$3:B$121,'DISPATCH SHEET'!#REF!,""))</f>
        <v/>
      </c>
      <c r="D771" s="14"/>
      <c r="E771" s="15"/>
      <c r="F771" s="16"/>
      <c r="G771" s="17" t="s">
        <v>0</v>
      </c>
      <c r="H771" s="15"/>
      <c r="I771" s="14" t="s">
        <v>0</v>
      </c>
      <c r="J771" s="14"/>
      <c r="K771" s="18"/>
    </row>
    <row r="772" spans="1:11" s="5" customFormat="1" ht="15" customHeight="1" x14ac:dyDescent="0.2">
      <c r="A772" s="13"/>
      <c r="B772" s="14" t="str">
        <f>IF(A772="","",_xlfn.XLOOKUP(A772,'DISPATCH SHEET'!B$3:B$121,'DISPATCH SHEET'!C$3:C$121,""))</f>
        <v/>
      </c>
      <c r="C772" s="14" t="str">
        <f>IF(ISBLANK(A772),"",_xlfn.XLOOKUP(A772,'DISPATCH SHEET'!B$3:B$121,'DISPATCH SHEET'!#REF!,""))</f>
        <v/>
      </c>
      <c r="D772" s="14"/>
      <c r="E772" s="15"/>
      <c r="F772" s="16"/>
      <c r="G772" s="17" t="s">
        <v>0</v>
      </c>
      <c r="H772" s="15"/>
      <c r="I772" s="14" t="s">
        <v>0</v>
      </c>
      <c r="J772" s="14"/>
      <c r="K772" s="18"/>
    </row>
    <row r="773" spans="1:11" s="5" customFormat="1" ht="15" customHeight="1" x14ac:dyDescent="0.2">
      <c r="A773" s="13"/>
      <c r="B773" s="14" t="str">
        <f>IF(A773="","",_xlfn.XLOOKUP(A773,'DISPATCH SHEET'!B$3:B$121,'DISPATCH SHEET'!C$3:C$121,""))</f>
        <v/>
      </c>
      <c r="C773" s="14" t="str">
        <f>IF(ISBLANK(A773),"",_xlfn.XLOOKUP(A773,'DISPATCH SHEET'!B$3:B$121,'DISPATCH SHEET'!#REF!,""))</f>
        <v/>
      </c>
      <c r="D773" s="14"/>
      <c r="E773" s="15"/>
      <c r="F773" s="16"/>
      <c r="G773" s="17" t="s">
        <v>0</v>
      </c>
      <c r="H773" s="15"/>
      <c r="I773" s="14" t="s">
        <v>0</v>
      </c>
      <c r="J773" s="14"/>
      <c r="K773" s="18"/>
    </row>
    <row r="774" spans="1:11" s="5" customFormat="1" ht="15" customHeight="1" x14ac:dyDescent="0.2">
      <c r="A774" s="13"/>
      <c r="B774" s="14" t="str">
        <f>IF(A774="","",_xlfn.XLOOKUP(A774,'DISPATCH SHEET'!B$3:B$121,'DISPATCH SHEET'!C$3:C$121,""))</f>
        <v/>
      </c>
      <c r="C774" s="14" t="str">
        <f>IF(ISBLANK(A774),"",_xlfn.XLOOKUP(A774,'DISPATCH SHEET'!B$3:B$121,'DISPATCH SHEET'!#REF!,""))</f>
        <v/>
      </c>
      <c r="D774" s="14"/>
      <c r="E774" s="15"/>
      <c r="F774" s="16"/>
      <c r="G774" s="17" t="s">
        <v>0</v>
      </c>
      <c r="H774" s="15"/>
      <c r="I774" s="14" t="s">
        <v>0</v>
      </c>
      <c r="J774" s="14"/>
      <c r="K774" s="18"/>
    </row>
    <row r="775" spans="1:11" s="5" customFormat="1" ht="15" customHeight="1" x14ac:dyDescent="0.2">
      <c r="A775" s="13"/>
      <c r="B775" s="14" t="str">
        <f>IF(A775="","",_xlfn.XLOOKUP(A775,'DISPATCH SHEET'!B$3:B$121,'DISPATCH SHEET'!C$3:C$121,""))</f>
        <v/>
      </c>
      <c r="C775" s="14" t="str">
        <f>IF(ISBLANK(A775),"",_xlfn.XLOOKUP(A775,'DISPATCH SHEET'!B$3:B$121,'DISPATCH SHEET'!#REF!,""))</f>
        <v/>
      </c>
      <c r="D775" s="14"/>
      <c r="E775" s="15"/>
      <c r="F775" s="16"/>
      <c r="G775" s="17" t="s">
        <v>0</v>
      </c>
      <c r="H775" s="15"/>
      <c r="I775" s="14" t="s">
        <v>0</v>
      </c>
      <c r="J775" s="14"/>
      <c r="K775" s="18"/>
    </row>
    <row r="776" spans="1:11" s="5" customFormat="1" ht="15" customHeight="1" x14ac:dyDescent="0.2">
      <c r="A776" s="13"/>
      <c r="B776" s="14" t="str">
        <f>IF(A776="","",_xlfn.XLOOKUP(A776,'DISPATCH SHEET'!B$3:B$121,'DISPATCH SHEET'!C$3:C$121,""))</f>
        <v/>
      </c>
      <c r="C776" s="14" t="str">
        <f>IF(ISBLANK(A776),"",_xlfn.XLOOKUP(A776,'DISPATCH SHEET'!B$3:B$121,'DISPATCH SHEET'!#REF!,""))</f>
        <v/>
      </c>
      <c r="D776" s="14"/>
      <c r="E776" s="15"/>
      <c r="F776" s="16"/>
      <c r="G776" s="17" t="s">
        <v>0</v>
      </c>
      <c r="H776" s="15"/>
      <c r="I776" s="14" t="s">
        <v>0</v>
      </c>
      <c r="J776" s="14"/>
      <c r="K776" s="18"/>
    </row>
    <row r="777" spans="1:11" s="5" customFormat="1" ht="15" customHeight="1" x14ac:dyDescent="0.2">
      <c r="A777" s="13"/>
      <c r="B777" s="14" t="str">
        <f>IF(A777="","",_xlfn.XLOOKUP(A777,'DISPATCH SHEET'!B$3:B$121,'DISPATCH SHEET'!C$3:C$121,""))</f>
        <v/>
      </c>
      <c r="C777" s="14" t="str">
        <f>IF(ISBLANK(A777),"",_xlfn.XLOOKUP(A777,'DISPATCH SHEET'!B$3:B$121,'DISPATCH SHEET'!#REF!,""))</f>
        <v/>
      </c>
      <c r="D777" s="14"/>
      <c r="E777" s="15"/>
      <c r="F777" s="16"/>
      <c r="G777" s="17" t="s">
        <v>0</v>
      </c>
      <c r="H777" s="15"/>
      <c r="I777" s="14" t="s">
        <v>0</v>
      </c>
      <c r="J777" s="14"/>
      <c r="K777" s="18"/>
    </row>
    <row r="778" spans="1:11" s="5" customFormat="1" ht="15" customHeight="1" x14ac:dyDescent="0.2">
      <c r="A778" s="13"/>
      <c r="B778" s="14" t="str">
        <f>IF(A778="","",_xlfn.XLOOKUP(A778,'DISPATCH SHEET'!B$3:B$121,'DISPATCH SHEET'!C$3:C$121,""))</f>
        <v/>
      </c>
      <c r="C778" s="14" t="str">
        <f>IF(ISBLANK(A778),"",_xlfn.XLOOKUP(A778,'DISPATCH SHEET'!B$3:B$121,'DISPATCH SHEET'!#REF!,""))</f>
        <v/>
      </c>
      <c r="D778" s="14"/>
      <c r="E778" s="15"/>
      <c r="F778" s="16"/>
      <c r="G778" s="17" t="s">
        <v>0</v>
      </c>
      <c r="H778" s="15"/>
      <c r="I778" s="14" t="s">
        <v>0</v>
      </c>
      <c r="J778" s="14"/>
      <c r="K778" s="18"/>
    </row>
    <row r="779" spans="1:11" s="5" customFormat="1" ht="15" customHeight="1" x14ac:dyDescent="0.2">
      <c r="A779" s="13"/>
      <c r="B779" s="14" t="str">
        <f>IF(A779="","",_xlfn.XLOOKUP(A779,'DISPATCH SHEET'!B$3:B$121,'DISPATCH SHEET'!C$3:C$121,""))</f>
        <v/>
      </c>
      <c r="C779" s="14" t="str">
        <f>IF(ISBLANK(A779),"",_xlfn.XLOOKUP(A779,'DISPATCH SHEET'!B$3:B$121,'DISPATCH SHEET'!#REF!,""))</f>
        <v/>
      </c>
      <c r="D779" s="14"/>
      <c r="E779" s="15"/>
      <c r="F779" s="16"/>
      <c r="G779" s="17" t="s">
        <v>0</v>
      </c>
      <c r="H779" s="15"/>
      <c r="I779" s="14" t="s">
        <v>0</v>
      </c>
      <c r="J779" s="14"/>
      <c r="K779" s="18"/>
    </row>
    <row r="780" spans="1:11" s="5" customFormat="1" ht="15" customHeight="1" x14ac:dyDescent="0.2">
      <c r="A780" s="13"/>
      <c r="B780" s="14" t="str">
        <f>IF(A780="","",_xlfn.XLOOKUP(A780,'DISPATCH SHEET'!B$3:B$121,'DISPATCH SHEET'!C$3:C$121,""))</f>
        <v/>
      </c>
      <c r="C780" s="14" t="str">
        <f>IF(ISBLANK(A780),"",_xlfn.XLOOKUP(A780,'DISPATCH SHEET'!B$3:B$121,'DISPATCH SHEET'!#REF!,""))</f>
        <v/>
      </c>
      <c r="D780" s="14"/>
      <c r="E780" s="15"/>
      <c r="F780" s="16"/>
      <c r="G780" s="17" t="s">
        <v>0</v>
      </c>
      <c r="H780" s="15"/>
      <c r="I780" s="14" t="s">
        <v>0</v>
      </c>
      <c r="J780" s="14"/>
      <c r="K780" s="18"/>
    </row>
    <row r="781" spans="1:11" s="5" customFormat="1" ht="15" customHeight="1" x14ac:dyDescent="0.2">
      <c r="A781" s="13"/>
      <c r="B781" s="14" t="str">
        <f>IF(A781="","",_xlfn.XLOOKUP(A781,'DISPATCH SHEET'!B$3:B$121,'DISPATCH SHEET'!C$3:C$121,""))</f>
        <v/>
      </c>
      <c r="C781" s="14" t="str">
        <f>IF(ISBLANK(A781),"",_xlfn.XLOOKUP(A781,'DISPATCH SHEET'!B$3:B$121,'DISPATCH SHEET'!#REF!,""))</f>
        <v/>
      </c>
      <c r="D781" s="14"/>
      <c r="E781" s="15"/>
      <c r="F781" s="16"/>
      <c r="G781" s="17" t="s">
        <v>0</v>
      </c>
      <c r="H781" s="15"/>
      <c r="I781" s="14" t="s">
        <v>0</v>
      </c>
      <c r="J781" s="14"/>
      <c r="K781" s="18"/>
    </row>
    <row r="782" spans="1:11" s="5" customFormat="1" ht="15" customHeight="1" x14ac:dyDescent="0.2">
      <c r="A782" s="13"/>
      <c r="B782" s="14" t="str">
        <f>IF(A782="","",_xlfn.XLOOKUP(A782,'DISPATCH SHEET'!B$3:B$121,'DISPATCH SHEET'!C$3:C$121,""))</f>
        <v/>
      </c>
      <c r="C782" s="14" t="str">
        <f>IF(ISBLANK(A782),"",_xlfn.XLOOKUP(A782,'DISPATCH SHEET'!B$3:B$121,'DISPATCH SHEET'!#REF!,""))</f>
        <v/>
      </c>
      <c r="D782" s="14"/>
      <c r="E782" s="15"/>
      <c r="F782" s="16"/>
      <c r="G782" s="17" t="s">
        <v>0</v>
      </c>
      <c r="H782" s="15"/>
      <c r="I782" s="14" t="s">
        <v>0</v>
      </c>
      <c r="J782" s="14"/>
      <c r="K782" s="18"/>
    </row>
    <row r="783" spans="1:11" s="5" customFormat="1" ht="15" customHeight="1" x14ac:dyDescent="0.2">
      <c r="A783" s="13"/>
      <c r="B783" s="14" t="str">
        <f>IF(A783="","",_xlfn.XLOOKUP(A783,'DISPATCH SHEET'!B$3:B$121,'DISPATCH SHEET'!C$3:C$121,""))</f>
        <v/>
      </c>
      <c r="C783" s="14" t="str">
        <f>IF(ISBLANK(A783),"",_xlfn.XLOOKUP(A783,'DISPATCH SHEET'!B$3:B$121,'DISPATCH SHEET'!#REF!,""))</f>
        <v/>
      </c>
      <c r="D783" s="14"/>
      <c r="E783" s="15"/>
      <c r="F783" s="16"/>
      <c r="G783" s="17" t="s">
        <v>0</v>
      </c>
      <c r="H783" s="15"/>
      <c r="I783" s="14" t="s">
        <v>0</v>
      </c>
      <c r="J783" s="14"/>
      <c r="K783" s="18"/>
    </row>
    <row r="784" spans="1:11" s="5" customFormat="1" ht="15" customHeight="1" x14ac:dyDescent="0.2">
      <c r="A784" s="13"/>
      <c r="B784" s="14" t="str">
        <f>IF(A784="","",_xlfn.XLOOKUP(A784,'DISPATCH SHEET'!B$3:B$121,'DISPATCH SHEET'!C$3:C$121,""))</f>
        <v/>
      </c>
      <c r="C784" s="14" t="str">
        <f>IF(ISBLANK(A784),"",_xlfn.XLOOKUP(A784,'DISPATCH SHEET'!B$3:B$121,'DISPATCH SHEET'!#REF!,""))</f>
        <v/>
      </c>
      <c r="D784" s="14"/>
      <c r="E784" s="15"/>
      <c r="F784" s="16"/>
      <c r="G784" s="17" t="s">
        <v>0</v>
      </c>
      <c r="H784" s="15"/>
      <c r="I784" s="14" t="s">
        <v>0</v>
      </c>
      <c r="J784" s="14"/>
      <c r="K784" s="18"/>
    </row>
    <row r="785" spans="1:11" s="5" customFormat="1" ht="15" customHeight="1" x14ac:dyDescent="0.2">
      <c r="A785" s="13"/>
      <c r="B785" s="14" t="str">
        <f>IF(A785="","",_xlfn.XLOOKUP(A785,'DISPATCH SHEET'!B$3:B$121,'DISPATCH SHEET'!C$3:C$121,""))</f>
        <v/>
      </c>
      <c r="C785" s="14" t="str">
        <f>IF(ISBLANK(A785),"",_xlfn.XLOOKUP(A785,'DISPATCH SHEET'!B$3:B$121,'DISPATCH SHEET'!#REF!,""))</f>
        <v/>
      </c>
      <c r="D785" s="14"/>
      <c r="E785" s="15"/>
      <c r="F785" s="16"/>
      <c r="G785" s="17" t="s">
        <v>0</v>
      </c>
      <c r="H785" s="15"/>
      <c r="I785" s="14" t="s">
        <v>0</v>
      </c>
      <c r="J785" s="14"/>
      <c r="K785" s="18"/>
    </row>
    <row r="786" spans="1:11" s="5" customFormat="1" ht="15" customHeight="1" x14ac:dyDescent="0.2">
      <c r="A786" s="13"/>
      <c r="B786" s="14" t="str">
        <f>IF(A786="","",_xlfn.XLOOKUP(A786,'DISPATCH SHEET'!B$3:B$121,'DISPATCH SHEET'!C$3:C$121,""))</f>
        <v/>
      </c>
      <c r="C786" s="14" t="str">
        <f>IF(ISBLANK(A786),"",_xlfn.XLOOKUP(A786,'DISPATCH SHEET'!B$3:B$121,'DISPATCH SHEET'!#REF!,""))</f>
        <v/>
      </c>
      <c r="D786" s="14"/>
      <c r="E786" s="15"/>
      <c r="F786" s="16"/>
      <c r="G786" s="17" t="s">
        <v>0</v>
      </c>
      <c r="H786" s="15"/>
      <c r="I786" s="14" t="s">
        <v>0</v>
      </c>
      <c r="J786" s="14"/>
      <c r="K786" s="18"/>
    </row>
    <row r="787" spans="1:11" s="5" customFormat="1" ht="15" customHeight="1" x14ac:dyDescent="0.2">
      <c r="A787" s="13"/>
      <c r="B787" s="14" t="str">
        <f>IF(A787="","",_xlfn.XLOOKUP(A787,'DISPATCH SHEET'!B$3:B$121,'DISPATCH SHEET'!C$3:C$121,""))</f>
        <v/>
      </c>
      <c r="C787" s="14" t="str">
        <f>IF(ISBLANK(A787),"",_xlfn.XLOOKUP(A787,'DISPATCH SHEET'!B$3:B$121,'DISPATCH SHEET'!#REF!,""))</f>
        <v/>
      </c>
      <c r="D787" s="14"/>
      <c r="E787" s="15"/>
      <c r="F787" s="16"/>
      <c r="G787" s="17" t="s">
        <v>0</v>
      </c>
      <c r="H787" s="15"/>
      <c r="I787" s="14" t="s">
        <v>0</v>
      </c>
      <c r="J787" s="14"/>
      <c r="K787" s="18"/>
    </row>
    <row r="788" spans="1:11" s="5" customFormat="1" ht="15" customHeight="1" x14ac:dyDescent="0.2">
      <c r="A788" s="13"/>
      <c r="B788" s="14" t="str">
        <f>IF(A788="","",_xlfn.XLOOKUP(A788,'DISPATCH SHEET'!B$3:B$121,'DISPATCH SHEET'!C$3:C$121,""))</f>
        <v/>
      </c>
      <c r="C788" s="14" t="str">
        <f>IF(ISBLANK(A788),"",_xlfn.XLOOKUP(A788,'DISPATCH SHEET'!B$3:B$121,'DISPATCH SHEET'!#REF!,""))</f>
        <v/>
      </c>
      <c r="D788" s="14"/>
      <c r="E788" s="15"/>
      <c r="F788" s="16"/>
      <c r="G788" s="17" t="s">
        <v>0</v>
      </c>
      <c r="H788" s="15"/>
      <c r="I788" s="14" t="s">
        <v>0</v>
      </c>
      <c r="J788" s="14"/>
      <c r="K788" s="18"/>
    </row>
    <row r="789" spans="1:11" s="5" customFormat="1" ht="15" customHeight="1" x14ac:dyDescent="0.2">
      <c r="A789" s="13"/>
      <c r="B789" s="14" t="str">
        <f>IF(A789="","",_xlfn.XLOOKUP(A789,'DISPATCH SHEET'!B$3:B$121,'DISPATCH SHEET'!C$3:C$121,""))</f>
        <v/>
      </c>
      <c r="C789" s="14" t="str">
        <f>IF(ISBLANK(A789),"",_xlfn.XLOOKUP(A789,'DISPATCH SHEET'!B$3:B$121,'DISPATCH SHEET'!#REF!,""))</f>
        <v/>
      </c>
      <c r="D789" s="14"/>
      <c r="E789" s="15"/>
      <c r="F789" s="16"/>
      <c r="G789" s="17" t="s">
        <v>0</v>
      </c>
      <c r="H789" s="15"/>
      <c r="I789" s="14" t="s">
        <v>0</v>
      </c>
      <c r="J789" s="14"/>
      <c r="K789" s="18"/>
    </row>
    <row r="790" spans="1:11" s="5" customFormat="1" ht="15" customHeight="1" x14ac:dyDescent="0.2">
      <c r="A790" s="13"/>
      <c r="B790" s="14" t="str">
        <f>IF(A790="","",_xlfn.XLOOKUP(A790,'DISPATCH SHEET'!B$3:B$121,'DISPATCH SHEET'!C$3:C$121,""))</f>
        <v/>
      </c>
      <c r="C790" s="14" t="str">
        <f>IF(ISBLANK(A790),"",_xlfn.XLOOKUP(A790,'DISPATCH SHEET'!B$3:B$121,'DISPATCH SHEET'!#REF!,""))</f>
        <v/>
      </c>
      <c r="D790" s="14"/>
      <c r="E790" s="15"/>
      <c r="F790" s="16"/>
      <c r="G790" s="17" t="s">
        <v>0</v>
      </c>
      <c r="H790" s="15"/>
      <c r="I790" s="14" t="s">
        <v>0</v>
      </c>
      <c r="J790" s="14"/>
      <c r="K790" s="18"/>
    </row>
    <row r="791" spans="1:11" s="5" customFormat="1" ht="15" customHeight="1" x14ac:dyDescent="0.2">
      <c r="A791" s="13"/>
      <c r="B791" s="14" t="str">
        <f>IF(A791="","",_xlfn.XLOOKUP(A791,'DISPATCH SHEET'!B$3:B$121,'DISPATCH SHEET'!C$3:C$121,""))</f>
        <v/>
      </c>
      <c r="C791" s="14" t="str">
        <f>IF(ISBLANK(A791),"",_xlfn.XLOOKUP(A791,'DISPATCH SHEET'!B$3:B$121,'DISPATCH SHEET'!#REF!,""))</f>
        <v/>
      </c>
      <c r="D791" s="14"/>
      <c r="E791" s="15"/>
      <c r="F791" s="16"/>
      <c r="G791" s="17" t="s">
        <v>0</v>
      </c>
      <c r="H791" s="15"/>
      <c r="I791" s="14" t="s">
        <v>0</v>
      </c>
      <c r="J791" s="14"/>
      <c r="K791" s="18"/>
    </row>
    <row r="792" spans="1:11" s="5" customFormat="1" ht="15" customHeight="1" x14ac:dyDescent="0.2">
      <c r="A792" s="13"/>
      <c r="B792" s="14" t="str">
        <f>IF(A792="","",_xlfn.XLOOKUP(A792,'DISPATCH SHEET'!B$3:B$121,'DISPATCH SHEET'!C$3:C$121,""))</f>
        <v/>
      </c>
      <c r="C792" s="14" t="str">
        <f>IF(ISBLANK(A792),"",_xlfn.XLOOKUP(A792,'DISPATCH SHEET'!B$3:B$121,'DISPATCH SHEET'!#REF!,""))</f>
        <v/>
      </c>
      <c r="D792" s="14"/>
      <c r="E792" s="15"/>
      <c r="F792" s="16"/>
      <c r="G792" s="17" t="s">
        <v>0</v>
      </c>
      <c r="H792" s="15"/>
      <c r="I792" s="14" t="s">
        <v>0</v>
      </c>
      <c r="J792" s="14"/>
      <c r="K792" s="18"/>
    </row>
    <row r="793" spans="1:11" s="5" customFormat="1" ht="15" customHeight="1" x14ac:dyDescent="0.2">
      <c r="A793" s="13"/>
      <c r="B793" s="14" t="str">
        <f>IF(A793="","",_xlfn.XLOOKUP(A793,'DISPATCH SHEET'!B$3:B$121,'DISPATCH SHEET'!C$3:C$121,""))</f>
        <v/>
      </c>
      <c r="C793" s="14" t="str">
        <f>IF(ISBLANK(A793),"",_xlfn.XLOOKUP(A793,'DISPATCH SHEET'!B$3:B$121,'DISPATCH SHEET'!#REF!,""))</f>
        <v/>
      </c>
      <c r="D793" s="14"/>
      <c r="E793" s="15"/>
      <c r="F793" s="16"/>
      <c r="G793" s="17" t="s">
        <v>0</v>
      </c>
      <c r="H793" s="15"/>
      <c r="I793" s="14" t="s">
        <v>0</v>
      </c>
      <c r="J793" s="14"/>
      <c r="K793" s="18"/>
    </row>
    <row r="794" spans="1:11" s="5" customFormat="1" ht="15" customHeight="1" x14ac:dyDescent="0.2">
      <c r="A794" s="13"/>
      <c r="B794" s="14" t="str">
        <f>IF(A794="","",_xlfn.XLOOKUP(A794,'DISPATCH SHEET'!B$3:B$121,'DISPATCH SHEET'!C$3:C$121,""))</f>
        <v/>
      </c>
      <c r="C794" s="14" t="str">
        <f>IF(ISBLANK(A794),"",_xlfn.XLOOKUP(A794,'DISPATCH SHEET'!B$3:B$121,'DISPATCH SHEET'!#REF!,""))</f>
        <v/>
      </c>
      <c r="D794" s="14"/>
      <c r="E794" s="15"/>
      <c r="F794" s="16"/>
      <c r="G794" s="17" t="s">
        <v>0</v>
      </c>
      <c r="H794" s="15"/>
      <c r="I794" s="14" t="s">
        <v>0</v>
      </c>
      <c r="J794" s="14"/>
      <c r="K794" s="18"/>
    </row>
    <row r="795" spans="1:11" s="5" customFormat="1" ht="15" customHeight="1" x14ac:dyDescent="0.2">
      <c r="A795" s="13"/>
      <c r="B795" s="14" t="str">
        <f>IF(A795="","",_xlfn.XLOOKUP(A795,'DISPATCH SHEET'!B$3:B$121,'DISPATCH SHEET'!C$3:C$121,""))</f>
        <v/>
      </c>
      <c r="C795" s="14" t="str">
        <f>IF(ISBLANK(A795),"",_xlfn.XLOOKUP(A795,'DISPATCH SHEET'!B$3:B$121,'DISPATCH SHEET'!#REF!,""))</f>
        <v/>
      </c>
      <c r="D795" s="14"/>
      <c r="E795" s="15"/>
      <c r="F795" s="16"/>
      <c r="G795" s="17" t="s">
        <v>0</v>
      </c>
      <c r="H795" s="15"/>
      <c r="I795" s="14" t="s">
        <v>0</v>
      </c>
      <c r="J795" s="14"/>
      <c r="K795" s="18"/>
    </row>
    <row r="796" spans="1:11" s="5" customFormat="1" ht="15" customHeight="1" x14ac:dyDescent="0.2">
      <c r="A796" s="13"/>
      <c r="B796" s="14" t="str">
        <f>IF(A796="","",_xlfn.XLOOKUP(A796,'DISPATCH SHEET'!B$3:B$121,'DISPATCH SHEET'!C$3:C$121,""))</f>
        <v/>
      </c>
      <c r="C796" s="14" t="str">
        <f>IF(ISBLANK(A796),"",_xlfn.XLOOKUP(A796,'DISPATCH SHEET'!B$3:B$121,'DISPATCH SHEET'!#REF!,""))</f>
        <v/>
      </c>
      <c r="D796" s="14"/>
      <c r="E796" s="15"/>
      <c r="F796" s="16"/>
      <c r="G796" s="17" t="s">
        <v>0</v>
      </c>
      <c r="H796" s="15"/>
      <c r="I796" s="14" t="s">
        <v>0</v>
      </c>
      <c r="J796" s="14"/>
      <c r="K796" s="18"/>
    </row>
    <row r="797" spans="1:11" s="5" customFormat="1" ht="15" customHeight="1" x14ac:dyDescent="0.2">
      <c r="A797" s="13"/>
      <c r="B797" s="14" t="str">
        <f>IF(A797="","",_xlfn.XLOOKUP(A797,'DISPATCH SHEET'!B$3:B$121,'DISPATCH SHEET'!C$3:C$121,""))</f>
        <v/>
      </c>
      <c r="C797" s="14" t="str">
        <f>IF(ISBLANK(A797),"",_xlfn.XLOOKUP(A797,'DISPATCH SHEET'!B$3:B$121,'DISPATCH SHEET'!#REF!,""))</f>
        <v/>
      </c>
      <c r="D797" s="14"/>
      <c r="E797" s="15"/>
      <c r="F797" s="16"/>
      <c r="G797" s="17" t="s">
        <v>0</v>
      </c>
      <c r="H797" s="15"/>
      <c r="I797" s="14" t="s">
        <v>0</v>
      </c>
      <c r="J797" s="14"/>
      <c r="K797" s="18"/>
    </row>
    <row r="798" spans="1:11" s="5" customFormat="1" ht="15" customHeight="1" x14ac:dyDescent="0.2">
      <c r="A798" s="13"/>
      <c r="B798" s="14" t="str">
        <f>IF(A798="","",_xlfn.XLOOKUP(A798,'DISPATCH SHEET'!B$3:B$121,'DISPATCH SHEET'!C$3:C$121,""))</f>
        <v/>
      </c>
      <c r="C798" s="14" t="str">
        <f>IF(ISBLANK(A798),"",_xlfn.XLOOKUP(A798,'DISPATCH SHEET'!B$3:B$121,'DISPATCH SHEET'!#REF!,""))</f>
        <v/>
      </c>
      <c r="D798" s="14"/>
      <c r="E798" s="15"/>
      <c r="F798" s="16"/>
      <c r="G798" s="17" t="s">
        <v>0</v>
      </c>
      <c r="H798" s="15"/>
      <c r="I798" s="14" t="s">
        <v>0</v>
      </c>
      <c r="J798" s="14"/>
      <c r="K798" s="18"/>
    </row>
    <row r="799" spans="1:11" s="5" customFormat="1" ht="15" customHeight="1" x14ac:dyDescent="0.2">
      <c r="A799" s="13"/>
      <c r="B799" s="14" t="str">
        <f>IF(A799="","",_xlfn.XLOOKUP(A799,'DISPATCH SHEET'!B$3:B$121,'DISPATCH SHEET'!C$3:C$121,""))</f>
        <v/>
      </c>
      <c r="C799" s="14" t="str">
        <f>IF(ISBLANK(A799),"",_xlfn.XLOOKUP(A799,'DISPATCH SHEET'!B$3:B$121,'DISPATCH SHEET'!#REF!,""))</f>
        <v/>
      </c>
      <c r="D799" s="14"/>
      <c r="E799" s="15"/>
      <c r="F799" s="16"/>
      <c r="G799" s="17" t="s">
        <v>0</v>
      </c>
      <c r="H799" s="15"/>
      <c r="I799" s="14" t="s">
        <v>0</v>
      </c>
      <c r="J799" s="14"/>
      <c r="K799" s="18"/>
    </row>
    <row r="800" spans="1:11" s="5" customFormat="1" ht="15" customHeight="1" x14ac:dyDescent="0.2">
      <c r="A800" s="13"/>
      <c r="B800" s="14" t="str">
        <f>IF(A800="","",_xlfn.XLOOKUP(A800,'DISPATCH SHEET'!B$3:B$121,'DISPATCH SHEET'!C$3:C$121,""))</f>
        <v/>
      </c>
      <c r="C800" s="14" t="str">
        <f>IF(ISBLANK(A800),"",_xlfn.XLOOKUP(A800,'DISPATCH SHEET'!B$3:B$121,'DISPATCH SHEET'!#REF!,""))</f>
        <v/>
      </c>
      <c r="D800" s="14"/>
      <c r="E800" s="15"/>
      <c r="F800" s="16"/>
      <c r="G800" s="17" t="s">
        <v>0</v>
      </c>
      <c r="H800" s="15"/>
      <c r="I800" s="14" t="s">
        <v>0</v>
      </c>
      <c r="J800" s="14"/>
      <c r="K800" s="18"/>
    </row>
    <row r="801" spans="1:11" s="5" customFormat="1" ht="15" customHeight="1" x14ac:dyDescent="0.2">
      <c r="A801" s="13"/>
      <c r="B801" s="14" t="str">
        <f>IF(A801="","",_xlfn.XLOOKUP(A801,'DISPATCH SHEET'!B$3:B$121,'DISPATCH SHEET'!C$3:C$121,""))</f>
        <v/>
      </c>
      <c r="C801" s="14" t="str">
        <f>IF(ISBLANK(A801),"",_xlfn.XLOOKUP(A801,'DISPATCH SHEET'!B$3:B$121,'DISPATCH SHEET'!#REF!,""))</f>
        <v/>
      </c>
      <c r="D801" s="14"/>
      <c r="E801" s="15"/>
      <c r="F801" s="16"/>
      <c r="G801" s="17" t="s">
        <v>0</v>
      </c>
      <c r="H801" s="15"/>
      <c r="I801" s="14" t="s">
        <v>0</v>
      </c>
      <c r="J801" s="14"/>
      <c r="K801" s="18"/>
    </row>
    <row r="802" spans="1:11" s="5" customFormat="1" ht="15" customHeight="1" x14ac:dyDescent="0.2">
      <c r="A802" s="13"/>
      <c r="B802" s="14" t="str">
        <f>IF(A802="","",_xlfn.XLOOKUP(A802,'DISPATCH SHEET'!B$3:B$121,'DISPATCH SHEET'!C$3:C$121,""))</f>
        <v/>
      </c>
      <c r="C802" s="14" t="str">
        <f>IF(ISBLANK(A802),"",_xlfn.XLOOKUP(A802,'DISPATCH SHEET'!B$3:B$121,'DISPATCH SHEET'!#REF!,""))</f>
        <v/>
      </c>
      <c r="D802" s="14"/>
      <c r="E802" s="15"/>
      <c r="F802" s="16"/>
      <c r="G802" s="17" t="s">
        <v>0</v>
      </c>
      <c r="H802" s="15"/>
      <c r="I802" s="14" t="s">
        <v>0</v>
      </c>
      <c r="J802" s="14"/>
      <c r="K802" s="18"/>
    </row>
    <row r="803" spans="1:11" s="5" customFormat="1" ht="15" customHeight="1" x14ac:dyDescent="0.2">
      <c r="A803" s="13"/>
      <c r="B803" s="14" t="str">
        <f>IF(A803="","",_xlfn.XLOOKUP(A803,'DISPATCH SHEET'!B$3:B$121,'DISPATCH SHEET'!C$3:C$121,""))</f>
        <v/>
      </c>
      <c r="C803" s="14" t="str">
        <f>IF(ISBLANK(A803),"",_xlfn.XLOOKUP(A803,'DISPATCH SHEET'!B$3:B$121,'DISPATCH SHEET'!#REF!,""))</f>
        <v/>
      </c>
      <c r="D803" s="14"/>
      <c r="E803" s="15"/>
      <c r="F803" s="16"/>
      <c r="G803" s="17" t="s">
        <v>0</v>
      </c>
      <c r="H803" s="15"/>
      <c r="I803" s="14" t="s">
        <v>0</v>
      </c>
      <c r="J803" s="14"/>
      <c r="K803" s="18"/>
    </row>
    <row r="804" spans="1:11" s="5" customFormat="1" ht="15" customHeight="1" x14ac:dyDescent="0.2">
      <c r="A804" s="13"/>
      <c r="B804" s="14" t="str">
        <f>IF(A804="","",_xlfn.XLOOKUP(A804,'DISPATCH SHEET'!B$3:B$121,'DISPATCH SHEET'!C$3:C$121,""))</f>
        <v/>
      </c>
      <c r="C804" s="14" t="str">
        <f>IF(ISBLANK(A804),"",_xlfn.XLOOKUP(A804,'DISPATCH SHEET'!B$3:B$121,'DISPATCH SHEET'!#REF!,""))</f>
        <v/>
      </c>
      <c r="D804" s="14"/>
      <c r="E804" s="15"/>
      <c r="F804" s="16"/>
      <c r="G804" s="17" t="s">
        <v>0</v>
      </c>
      <c r="H804" s="15"/>
      <c r="I804" s="14" t="s">
        <v>0</v>
      </c>
      <c r="J804" s="14"/>
      <c r="K804" s="18"/>
    </row>
    <row r="805" spans="1:11" s="5" customFormat="1" ht="15" customHeight="1" x14ac:dyDescent="0.2">
      <c r="A805" s="13"/>
      <c r="B805" s="14" t="str">
        <f>IF(A805="","",_xlfn.XLOOKUP(A805,'DISPATCH SHEET'!B$3:B$121,'DISPATCH SHEET'!C$3:C$121,""))</f>
        <v/>
      </c>
      <c r="C805" s="14" t="str">
        <f>IF(ISBLANK(A805),"",_xlfn.XLOOKUP(A805,'DISPATCH SHEET'!B$3:B$121,'DISPATCH SHEET'!#REF!,""))</f>
        <v/>
      </c>
      <c r="D805" s="14"/>
      <c r="E805" s="15"/>
      <c r="F805" s="16"/>
      <c r="G805" s="17" t="s">
        <v>0</v>
      </c>
      <c r="H805" s="15"/>
      <c r="I805" s="14" t="s">
        <v>0</v>
      </c>
      <c r="J805" s="14"/>
      <c r="K805" s="18"/>
    </row>
    <row r="806" spans="1:11" s="5" customFormat="1" ht="15" customHeight="1" x14ac:dyDescent="0.2">
      <c r="A806" s="13"/>
      <c r="B806" s="14" t="str">
        <f>IF(A806="","",_xlfn.XLOOKUP(A806,'DISPATCH SHEET'!B$3:B$121,'DISPATCH SHEET'!C$3:C$121,""))</f>
        <v/>
      </c>
      <c r="C806" s="14" t="str">
        <f>IF(ISBLANK(A806),"",_xlfn.XLOOKUP(A806,'DISPATCH SHEET'!B$3:B$121,'DISPATCH SHEET'!#REF!,""))</f>
        <v/>
      </c>
      <c r="D806" s="14"/>
      <c r="E806" s="15"/>
      <c r="F806" s="16"/>
      <c r="G806" s="17" t="s">
        <v>0</v>
      </c>
      <c r="H806" s="15"/>
      <c r="I806" s="14" t="s">
        <v>0</v>
      </c>
      <c r="J806" s="14"/>
      <c r="K806" s="18"/>
    </row>
    <row r="807" spans="1:11" s="5" customFormat="1" ht="15" customHeight="1" x14ac:dyDescent="0.2">
      <c r="A807" s="13"/>
      <c r="B807" s="14" t="str">
        <f>IF(A807="","",_xlfn.XLOOKUP(A807,'DISPATCH SHEET'!B$3:B$121,'DISPATCH SHEET'!C$3:C$121,""))</f>
        <v/>
      </c>
      <c r="C807" s="14" t="str">
        <f>IF(ISBLANK(A807),"",_xlfn.XLOOKUP(A807,'DISPATCH SHEET'!B$3:B$121,'DISPATCH SHEET'!#REF!,""))</f>
        <v/>
      </c>
      <c r="D807" s="14"/>
      <c r="E807" s="15"/>
      <c r="F807" s="16"/>
      <c r="G807" s="17" t="s">
        <v>0</v>
      </c>
      <c r="H807" s="15"/>
      <c r="I807" s="14" t="s">
        <v>0</v>
      </c>
      <c r="J807" s="14"/>
      <c r="K807" s="18"/>
    </row>
    <row r="808" spans="1:11" s="5" customFormat="1" ht="15" customHeight="1" x14ac:dyDescent="0.2">
      <c r="A808" s="13"/>
      <c r="B808" s="14" t="str">
        <f>IF(A808="","",_xlfn.XLOOKUP(A808,'DISPATCH SHEET'!B$3:B$121,'DISPATCH SHEET'!C$3:C$121,""))</f>
        <v/>
      </c>
      <c r="C808" s="14" t="str">
        <f>IF(ISBLANK(A808),"",_xlfn.XLOOKUP(A808,'DISPATCH SHEET'!B$3:B$121,'DISPATCH SHEET'!#REF!,""))</f>
        <v/>
      </c>
      <c r="D808" s="14"/>
      <c r="E808" s="15"/>
      <c r="F808" s="16"/>
      <c r="G808" s="17" t="s">
        <v>0</v>
      </c>
      <c r="H808" s="15"/>
      <c r="I808" s="14" t="s">
        <v>0</v>
      </c>
      <c r="J808" s="14"/>
      <c r="K808" s="18"/>
    </row>
    <row r="809" spans="1:11" s="5" customFormat="1" ht="15" customHeight="1" x14ac:dyDescent="0.2">
      <c r="A809" s="13"/>
      <c r="B809" s="14" t="str">
        <f>IF(A809="","",_xlfn.XLOOKUP(A809,'DISPATCH SHEET'!B$3:B$121,'DISPATCH SHEET'!C$3:C$121,""))</f>
        <v/>
      </c>
      <c r="C809" s="14" t="str">
        <f>IF(ISBLANK(A809),"",_xlfn.XLOOKUP(A809,'DISPATCH SHEET'!B$3:B$121,'DISPATCH SHEET'!#REF!,""))</f>
        <v/>
      </c>
      <c r="D809" s="14"/>
      <c r="E809" s="15"/>
      <c r="F809" s="16"/>
      <c r="G809" s="17" t="s">
        <v>0</v>
      </c>
      <c r="H809" s="15"/>
      <c r="I809" s="14" t="s">
        <v>0</v>
      </c>
      <c r="J809" s="14"/>
      <c r="K809" s="18"/>
    </row>
    <row r="810" spans="1:11" s="5" customFormat="1" ht="15" customHeight="1" x14ac:dyDescent="0.2">
      <c r="A810" s="13"/>
      <c r="B810" s="14" t="str">
        <f>IF(A810="","",_xlfn.XLOOKUP(A810,'DISPATCH SHEET'!B$3:B$121,'DISPATCH SHEET'!C$3:C$121,""))</f>
        <v/>
      </c>
      <c r="C810" s="14" t="str">
        <f>IF(ISBLANK(A810),"",_xlfn.XLOOKUP(A810,'DISPATCH SHEET'!B$3:B$121,'DISPATCH SHEET'!#REF!,""))</f>
        <v/>
      </c>
      <c r="D810" s="14"/>
      <c r="E810" s="15"/>
      <c r="F810" s="16"/>
      <c r="G810" s="17" t="s">
        <v>0</v>
      </c>
      <c r="H810" s="15"/>
      <c r="I810" s="14" t="s">
        <v>0</v>
      </c>
      <c r="J810" s="14"/>
      <c r="K810" s="18"/>
    </row>
    <row r="811" spans="1:11" s="5" customFormat="1" ht="15" customHeight="1" x14ac:dyDescent="0.2">
      <c r="A811" s="13"/>
      <c r="B811" s="14" t="str">
        <f>IF(A811="","",_xlfn.XLOOKUP(A811,'DISPATCH SHEET'!B$3:B$121,'DISPATCH SHEET'!C$3:C$121,""))</f>
        <v/>
      </c>
      <c r="C811" s="14" t="str">
        <f>IF(ISBLANK(A811),"",_xlfn.XLOOKUP(A811,'DISPATCH SHEET'!B$3:B$121,'DISPATCH SHEET'!#REF!,""))</f>
        <v/>
      </c>
      <c r="D811" s="14"/>
      <c r="E811" s="15"/>
      <c r="F811" s="16"/>
      <c r="G811" s="17" t="s">
        <v>0</v>
      </c>
      <c r="H811" s="15"/>
      <c r="I811" s="14" t="s">
        <v>0</v>
      </c>
      <c r="J811" s="14"/>
      <c r="K811" s="18"/>
    </row>
    <row r="812" spans="1:11" s="5" customFormat="1" ht="15" customHeight="1" x14ac:dyDescent="0.2">
      <c r="A812" s="13"/>
      <c r="B812" s="14" t="str">
        <f>IF(A812="","",_xlfn.XLOOKUP(A812,'DISPATCH SHEET'!B$3:B$121,'DISPATCH SHEET'!C$3:C$121,""))</f>
        <v/>
      </c>
      <c r="C812" s="14" t="str">
        <f>IF(ISBLANK(A812),"",_xlfn.XLOOKUP(A812,'DISPATCH SHEET'!B$3:B$121,'DISPATCH SHEET'!#REF!,""))</f>
        <v/>
      </c>
      <c r="D812" s="14"/>
      <c r="E812" s="15"/>
      <c r="F812" s="16"/>
      <c r="G812" s="17" t="s">
        <v>0</v>
      </c>
      <c r="H812" s="15"/>
      <c r="I812" s="14" t="s">
        <v>0</v>
      </c>
      <c r="J812" s="14"/>
      <c r="K812" s="18"/>
    </row>
    <row r="813" spans="1:11" s="5" customFormat="1" ht="15" customHeight="1" x14ac:dyDescent="0.2">
      <c r="A813" s="13"/>
      <c r="B813" s="14" t="str">
        <f>IF(A813="","",_xlfn.XLOOKUP(A813,'DISPATCH SHEET'!B$3:B$121,'DISPATCH SHEET'!C$3:C$121,""))</f>
        <v/>
      </c>
      <c r="C813" s="14" t="str">
        <f>IF(ISBLANK(A813),"",_xlfn.XLOOKUP(A813,'DISPATCH SHEET'!B$3:B$121,'DISPATCH SHEET'!#REF!,""))</f>
        <v/>
      </c>
      <c r="D813" s="14"/>
      <c r="E813" s="15"/>
      <c r="F813" s="16"/>
      <c r="G813" s="17" t="s">
        <v>0</v>
      </c>
      <c r="H813" s="15"/>
      <c r="I813" s="14" t="s">
        <v>0</v>
      </c>
      <c r="J813" s="14"/>
      <c r="K813" s="18"/>
    </row>
    <row r="814" spans="1:11" s="5" customFormat="1" ht="15" customHeight="1" x14ac:dyDescent="0.2">
      <c r="A814" s="13"/>
      <c r="B814" s="14" t="str">
        <f>IF(A814="","",_xlfn.XLOOKUP(A814,'DISPATCH SHEET'!B$3:B$121,'DISPATCH SHEET'!C$3:C$121,""))</f>
        <v/>
      </c>
      <c r="C814" s="14" t="str">
        <f>IF(ISBLANK(A814),"",_xlfn.XLOOKUP(A814,'DISPATCH SHEET'!B$3:B$121,'DISPATCH SHEET'!#REF!,""))</f>
        <v/>
      </c>
      <c r="D814" s="14"/>
      <c r="E814" s="15"/>
      <c r="F814" s="16"/>
      <c r="G814" s="17" t="s">
        <v>0</v>
      </c>
      <c r="H814" s="15"/>
      <c r="I814" s="14" t="s">
        <v>0</v>
      </c>
      <c r="J814" s="14"/>
      <c r="K814" s="18"/>
    </row>
    <row r="815" spans="1:11" s="5" customFormat="1" ht="15" customHeight="1" x14ac:dyDescent="0.2">
      <c r="A815" s="13"/>
      <c r="B815" s="14" t="str">
        <f>IF(A815="","",_xlfn.XLOOKUP(A815,'DISPATCH SHEET'!B$3:B$121,'DISPATCH SHEET'!C$3:C$121,""))</f>
        <v/>
      </c>
      <c r="C815" s="14" t="str">
        <f>IF(ISBLANK(A815),"",_xlfn.XLOOKUP(A815,'DISPATCH SHEET'!B$3:B$121,'DISPATCH SHEET'!#REF!,""))</f>
        <v/>
      </c>
      <c r="D815" s="14"/>
      <c r="E815" s="15"/>
      <c r="F815" s="16"/>
      <c r="G815" s="17" t="s">
        <v>0</v>
      </c>
      <c r="H815" s="15"/>
      <c r="I815" s="14" t="s">
        <v>0</v>
      </c>
      <c r="J815" s="14"/>
      <c r="K815" s="18"/>
    </row>
    <row r="816" spans="1:11" s="5" customFormat="1" ht="15" customHeight="1" x14ac:dyDescent="0.2">
      <c r="A816" s="13"/>
      <c r="B816" s="14" t="str">
        <f>IF(A816="","",_xlfn.XLOOKUP(A816,'DISPATCH SHEET'!B$3:B$121,'DISPATCH SHEET'!C$3:C$121,""))</f>
        <v/>
      </c>
      <c r="C816" s="14" t="str">
        <f>IF(ISBLANK(A816),"",_xlfn.XLOOKUP(A816,'DISPATCH SHEET'!B$3:B$121,'DISPATCH SHEET'!#REF!,""))</f>
        <v/>
      </c>
      <c r="D816" s="14"/>
      <c r="E816" s="15"/>
      <c r="F816" s="16"/>
      <c r="G816" s="17" t="s">
        <v>0</v>
      </c>
      <c r="H816" s="15"/>
      <c r="I816" s="14" t="s">
        <v>0</v>
      </c>
      <c r="J816" s="14"/>
      <c r="K816" s="18"/>
    </row>
    <row r="817" spans="1:11" s="5" customFormat="1" ht="15" customHeight="1" x14ac:dyDescent="0.2">
      <c r="A817" s="13"/>
      <c r="B817" s="14" t="str">
        <f>IF(A817="","",_xlfn.XLOOKUP(A817,'DISPATCH SHEET'!B$3:B$121,'DISPATCH SHEET'!C$3:C$121,""))</f>
        <v/>
      </c>
      <c r="C817" s="14" t="str">
        <f>IF(ISBLANK(A817),"",_xlfn.XLOOKUP(A817,'DISPATCH SHEET'!B$3:B$121,'DISPATCH SHEET'!#REF!,""))</f>
        <v/>
      </c>
      <c r="D817" s="14"/>
      <c r="E817" s="15"/>
      <c r="F817" s="16"/>
      <c r="G817" s="17" t="s">
        <v>0</v>
      </c>
      <c r="H817" s="15"/>
      <c r="I817" s="14" t="s">
        <v>0</v>
      </c>
      <c r="J817" s="14"/>
      <c r="K817" s="18"/>
    </row>
    <row r="818" spans="1:11" s="5" customFormat="1" ht="15" customHeight="1" x14ac:dyDescent="0.2">
      <c r="A818" s="13"/>
      <c r="B818" s="14" t="str">
        <f>IF(A818="","",_xlfn.XLOOKUP(A818,'DISPATCH SHEET'!B$3:B$121,'DISPATCH SHEET'!C$3:C$121,""))</f>
        <v/>
      </c>
      <c r="C818" s="14" t="str">
        <f>IF(ISBLANK(A818),"",_xlfn.XLOOKUP(A818,'DISPATCH SHEET'!B$3:B$121,'DISPATCH SHEET'!#REF!,""))</f>
        <v/>
      </c>
      <c r="D818" s="14"/>
      <c r="E818" s="15"/>
      <c r="F818" s="16"/>
      <c r="G818" s="17" t="s">
        <v>0</v>
      </c>
      <c r="H818" s="15"/>
      <c r="I818" s="14" t="s">
        <v>0</v>
      </c>
      <c r="J818" s="14"/>
      <c r="K818" s="18"/>
    </row>
    <row r="819" spans="1:11" s="5" customFormat="1" ht="15" customHeight="1" x14ac:dyDescent="0.2">
      <c r="A819" s="13"/>
      <c r="B819" s="14" t="str">
        <f>IF(A819="","",_xlfn.XLOOKUP(A819,'DISPATCH SHEET'!B$3:B$121,'DISPATCH SHEET'!C$3:C$121,""))</f>
        <v/>
      </c>
      <c r="C819" s="14" t="str">
        <f>IF(ISBLANK(A819),"",_xlfn.XLOOKUP(A819,'DISPATCH SHEET'!B$3:B$121,'DISPATCH SHEET'!#REF!,""))</f>
        <v/>
      </c>
      <c r="D819" s="14"/>
      <c r="E819" s="15"/>
      <c r="F819" s="16"/>
      <c r="G819" s="17" t="s">
        <v>0</v>
      </c>
      <c r="H819" s="15"/>
      <c r="I819" s="14" t="s">
        <v>0</v>
      </c>
      <c r="J819" s="14"/>
      <c r="K819" s="18"/>
    </row>
    <row r="820" spans="1:11" s="5" customFormat="1" ht="15" customHeight="1" x14ac:dyDescent="0.2">
      <c r="A820" s="13"/>
      <c r="B820" s="14" t="str">
        <f>IF(A820="","",_xlfn.XLOOKUP(A820,'DISPATCH SHEET'!B$3:B$121,'DISPATCH SHEET'!C$3:C$121,""))</f>
        <v/>
      </c>
      <c r="C820" s="14" t="str">
        <f>IF(ISBLANK(A820),"",_xlfn.XLOOKUP(A820,'DISPATCH SHEET'!B$3:B$121,'DISPATCH SHEET'!#REF!,""))</f>
        <v/>
      </c>
      <c r="D820" s="14"/>
      <c r="E820" s="15"/>
      <c r="F820" s="16"/>
      <c r="G820" s="17" t="s">
        <v>0</v>
      </c>
      <c r="H820" s="15"/>
      <c r="I820" s="14" t="s">
        <v>0</v>
      </c>
      <c r="J820" s="14"/>
      <c r="K820" s="18"/>
    </row>
    <row r="821" spans="1:11" s="5" customFormat="1" ht="15" customHeight="1" x14ac:dyDescent="0.2">
      <c r="A821" s="13"/>
      <c r="B821" s="14" t="str">
        <f>IF(A821="","",_xlfn.XLOOKUP(A821,'DISPATCH SHEET'!B$3:B$121,'DISPATCH SHEET'!C$3:C$121,""))</f>
        <v/>
      </c>
      <c r="C821" s="14" t="str">
        <f>IF(ISBLANK(A821),"",_xlfn.XLOOKUP(A821,'DISPATCH SHEET'!B$3:B$121,'DISPATCH SHEET'!#REF!,""))</f>
        <v/>
      </c>
      <c r="D821" s="14"/>
      <c r="E821" s="15"/>
      <c r="F821" s="16"/>
      <c r="G821" s="17" t="s">
        <v>0</v>
      </c>
      <c r="H821" s="15"/>
      <c r="I821" s="14" t="s">
        <v>0</v>
      </c>
      <c r="J821" s="14"/>
      <c r="K821" s="18"/>
    </row>
    <row r="822" spans="1:11" s="5" customFormat="1" ht="15" customHeight="1" x14ac:dyDescent="0.2">
      <c r="A822" s="13"/>
      <c r="B822" s="14" t="str">
        <f>IF(A822="","",_xlfn.XLOOKUP(A822,'DISPATCH SHEET'!B$3:B$121,'DISPATCH SHEET'!C$3:C$121,""))</f>
        <v/>
      </c>
      <c r="C822" s="14" t="str">
        <f>IF(ISBLANK(A822),"",_xlfn.XLOOKUP(A822,'DISPATCH SHEET'!B$3:B$121,'DISPATCH SHEET'!#REF!,""))</f>
        <v/>
      </c>
      <c r="D822" s="14"/>
      <c r="E822" s="15"/>
      <c r="F822" s="16"/>
      <c r="G822" s="17" t="s">
        <v>0</v>
      </c>
      <c r="H822" s="15"/>
      <c r="I822" s="14" t="s">
        <v>0</v>
      </c>
      <c r="J822" s="14"/>
      <c r="K822" s="18"/>
    </row>
    <row r="823" spans="1:11" s="5" customFormat="1" ht="15" customHeight="1" x14ac:dyDescent="0.2">
      <c r="A823" s="13"/>
      <c r="B823" s="14" t="str">
        <f>IF(A823="","",_xlfn.XLOOKUP(A823,'DISPATCH SHEET'!B$3:B$121,'DISPATCH SHEET'!C$3:C$121,""))</f>
        <v/>
      </c>
      <c r="C823" s="14" t="str">
        <f>IF(ISBLANK(A823),"",_xlfn.XLOOKUP(A823,'DISPATCH SHEET'!B$3:B$121,'DISPATCH SHEET'!#REF!,""))</f>
        <v/>
      </c>
      <c r="D823" s="14"/>
      <c r="E823" s="15"/>
      <c r="F823" s="16"/>
      <c r="G823" s="17" t="s">
        <v>0</v>
      </c>
      <c r="H823" s="15"/>
      <c r="I823" s="14" t="s">
        <v>0</v>
      </c>
      <c r="J823" s="14"/>
      <c r="K823" s="18"/>
    </row>
    <row r="824" spans="1:11" s="5" customFormat="1" ht="15" customHeight="1" x14ac:dyDescent="0.2">
      <c r="A824" s="13"/>
      <c r="B824" s="14" t="str">
        <f>IF(A824="","",_xlfn.XLOOKUP(A824,'DISPATCH SHEET'!B$3:B$121,'DISPATCH SHEET'!C$3:C$121,""))</f>
        <v/>
      </c>
      <c r="C824" s="14" t="str">
        <f>IF(ISBLANK(A824),"",_xlfn.XLOOKUP(A824,'DISPATCH SHEET'!B$3:B$121,'DISPATCH SHEET'!#REF!,""))</f>
        <v/>
      </c>
      <c r="D824" s="14"/>
      <c r="E824" s="15"/>
      <c r="F824" s="16"/>
      <c r="G824" s="17" t="s">
        <v>0</v>
      </c>
      <c r="H824" s="15"/>
      <c r="I824" s="14" t="s">
        <v>0</v>
      </c>
      <c r="J824" s="14"/>
      <c r="K824" s="18"/>
    </row>
    <row r="825" spans="1:11" s="5" customFormat="1" ht="15" customHeight="1" x14ac:dyDescent="0.2">
      <c r="A825" s="13"/>
      <c r="B825" s="14" t="str">
        <f>IF(A825="","",_xlfn.XLOOKUP(A825,'DISPATCH SHEET'!B$3:B$121,'DISPATCH SHEET'!C$3:C$121,""))</f>
        <v/>
      </c>
      <c r="C825" s="14" t="str">
        <f>IF(ISBLANK(A825),"",_xlfn.XLOOKUP(A825,'DISPATCH SHEET'!B$3:B$121,'DISPATCH SHEET'!#REF!,""))</f>
        <v/>
      </c>
      <c r="D825" s="14"/>
      <c r="E825" s="15"/>
      <c r="F825" s="16"/>
      <c r="G825" s="17" t="s">
        <v>0</v>
      </c>
      <c r="H825" s="15"/>
      <c r="I825" s="14" t="s">
        <v>0</v>
      </c>
      <c r="J825" s="14"/>
      <c r="K825" s="18"/>
    </row>
    <row r="826" spans="1:11" s="5" customFormat="1" ht="15" customHeight="1" x14ac:dyDescent="0.2">
      <c r="A826" s="13"/>
      <c r="B826" s="14" t="str">
        <f>IF(A826="","",_xlfn.XLOOKUP(A826,'DISPATCH SHEET'!B$3:B$121,'DISPATCH SHEET'!C$3:C$121,""))</f>
        <v/>
      </c>
      <c r="C826" s="14" t="str">
        <f>IF(ISBLANK(A826),"",_xlfn.XLOOKUP(A826,'DISPATCH SHEET'!B$3:B$121,'DISPATCH SHEET'!#REF!,""))</f>
        <v/>
      </c>
      <c r="D826" s="14"/>
      <c r="E826" s="15"/>
      <c r="F826" s="16"/>
      <c r="G826" s="17" t="s">
        <v>0</v>
      </c>
      <c r="H826" s="15"/>
      <c r="I826" s="14" t="s">
        <v>0</v>
      </c>
      <c r="J826" s="14"/>
      <c r="K826" s="18"/>
    </row>
    <row r="827" spans="1:11" s="5" customFormat="1" ht="15" customHeight="1" x14ac:dyDescent="0.2">
      <c r="A827" s="13"/>
      <c r="B827" s="14" t="str">
        <f>IF(A827="","",_xlfn.XLOOKUP(A827,'DISPATCH SHEET'!B$3:B$121,'DISPATCH SHEET'!C$3:C$121,""))</f>
        <v/>
      </c>
      <c r="C827" s="14" t="str">
        <f>IF(ISBLANK(A827),"",_xlfn.XLOOKUP(A827,'DISPATCH SHEET'!B$3:B$121,'DISPATCH SHEET'!#REF!,""))</f>
        <v/>
      </c>
      <c r="D827" s="14"/>
      <c r="E827" s="15"/>
      <c r="F827" s="16"/>
      <c r="G827" s="17" t="s">
        <v>0</v>
      </c>
      <c r="H827" s="15"/>
      <c r="I827" s="14" t="s">
        <v>0</v>
      </c>
      <c r="J827" s="14"/>
      <c r="K827" s="18"/>
    </row>
    <row r="828" spans="1:11" s="5" customFormat="1" ht="15" customHeight="1" x14ac:dyDescent="0.2">
      <c r="A828" s="13"/>
      <c r="B828" s="14" t="str">
        <f>IF(A828="","",_xlfn.XLOOKUP(A828,'DISPATCH SHEET'!B$3:B$121,'DISPATCH SHEET'!C$3:C$121,""))</f>
        <v/>
      </c>
      <c r="C828" s="14" t="str">
        <f>IF(ISBLANK(A828),"",_xlfn.XLOOKUP(A828,'DISPATCH SHEET'!B$3:B$121,'DISPATCH SHEET'!#REF!,""))</f>
        <v/>
      </c>
      <c r="D828" s="14"/>
      <c r="E828" s="15"/>
      <c r="F828" s="16"/>
      <c r="G828" s="17" t="s">
        <v>0</v>
      </c>
      <c r="H828" s="15"/>
      <c r="I828" s="14" t="s">
        <v>0</v>
      </c>
      <c r="J828" s="14"/>
      <c r="K828" s="18"/>
    </row>
    <row r="829" spans="1:11" s="5" customFormat="1" ht="15" customHeight="1" x14ac:dyDescent="0.2">
      <c r="A829" s="13"/>
      <c r="B829" s="14" t="str">
        <f>IF(A829="","",_xlfn.XLOOKUP(A829,'DISPATCH SHEET'!B$3:B$121,'DISPATCH SHEET'!C$3:C$121,""))</f>
        <v/>
      </c>
      <c r="C829" s="14" t="str">
        <f>IF(ISBLANK(A829),"",_xlfn.XLOOKUP(A829,'DISPATCH SHEET'!B$3:B$121,'DISPATCH SHEET'!#REF!,""))</f>
        <v/>
      </c>
      <c r="D829" s="14"/>
      <c r="E829" s="15"/>
      <c r="F829" s="16"/>
      <c r="G829" s="17" t="s">
        <v>0</v>
      </c>
      <c r="H829" s="15"/>
      <c r="I829" s="14" t="s">
        <v>0</v>
      </c>
      <c r="J829" s="14"/>
      <c r="K829" s="18"/>
    </row>
    <row r="830" spans="1:11" s="5" customFormat="1" ht="15" customHeight="1" x14ac:dyDescent="0.2">
      <c r="A830" s="13"/>
      <c r="B830" s="14" t="str">
        <f>IF(A830="","",_xlfn.XLOOKUP(A830,'DISPATCH SHEET'!B$3:B$121,'DISPATCH SHEET'!C$3:C$121,""))</f>
        <v/>
      </c>
      <c r="C830" s="14" t="str">
        <f>IF(ISBLANK(A830),"",_xlfn.XLOOKUP(A830,'DISPATCH SHEET'!B$3:B$121,'DISPATCH SHEET'!#REF!,""))</f>
        <v/>
      </c>
      <c r="D830" s="14"/>
      <c r="E830" s="15"/>
      <c r="F830" s="16"/>
      <c r="G830" s="17" t="s">
        <v>0</v>
      </c>
      <c r="H830" s="15"/>
      <c r="I830" s="14" t="s">
        <v>0</v>
      </c>
      <c r="J830" s="14"/>
      <c r="K830" s="18"/>
    </row>
    <row r="831" spans="1:11" s="5" customFormat="1" ht="15" customHeight="1" x14ac:dyDescent="0.2">
      <c r="A831" s="13"/>
      <c r="B831" s="14" t="str">
        <f>IF(A831="","",_xlfn.XLOOKUP(A831,'DISPATCH SHEET'!B$3:B$121,'DISPATCH SHEET'!C$3:C$121,""))</f>
        <v/>
      </c>
      <c r="C831" s="14" t="str">
        <f>IF(ISBLANK(A831),"",_xlfn.XLOOKUP(A831,'DISPATCH SHEET'!B$3:B$121,'DISPATCH SHEET'!#REF!,""))</f>
        <v/>
      </c>
      <c r="D831" s="14"/>
      <c r="E831" s="15"/>
      <c r="F831" s="16"/>
      <c r="G831" s="17" t="s">
        <v>0</v>
      </c>
      <c r="H831" s="15"/>
      <c r="I831" s="14" t="s">
        <v>0</v>
      </c>
      <c r="J831" s="14"/>
      <c r="K831" s="18"/>
    </row>
    <row r="832" spans="1:11" s="5" customFormat="1" ht="15" customHeight="1" x14ac:dyDescent="0.2">
      <c r="A832" s="13"/>
      <c r="B832" s="14" t="str">
        <f>IF(A832="","",_xlfn.XLOOKUP(A832,'DISPATCH SHEET'!B$3:B$121,'DISPATCH SHEET'!C$3:C$121,""))</f>
        <v/>
      </c>
      <c r="C832" s="14" t="str">
        <f>IF(ISBLANK(A832),"",_xlfn.XLOOKUP(A832,'DISPATCH SHEET'!B$3:B$121,'DISPATCH SHEET'!#REF!,""))</f>
        <v/>
      </c>
      <c r="D832" s="14"/>
      <c r="E832" s="15"/>
      <c r="F832" s="16"/>
      <c r="G832" s="17" t="s">
        <v>0</v>
      </c>
      <c r="H832" s="15"/>
      <c r="I832" s="14" t="s">
        <v>0</v>
      </c>
      <c r="J832" s="14"/>
      <c r="K832" s="18"/>
    </row>
    <row r="833" spans="1:11" s="5" customFormat="1" ht="15" customHeight="1" x14ac:dyDescent="0.2">
      <c r="A833" s="13"/>
      <c r="B833" s="14" t="str">
        <f>IF(A833="","",_xlfn.XLOOKUP(A833,'DISPATCH SHEET'!B$3:B$121,'DISPATCH SHEET'!C$3:C$121,""))</f>
        <v/>
      </c>
      <c r="C833" s="14" t="str">
        <f>IF(ISBLANK(A833),"",_xlfn.XLOOKUP(A833,'DISPATCH SHEET'!B$3:B$121,'DISPATCH SHEET'!#REF!,""))</f>
        <v/>
      </c>
      <c r="D833" s="14"/>
      <c r="E833" s="15"/>
      <c r="F833" s="16"/>
      <c r="G833" s="17" t="s">
        <v>0</v>
      </c>
      <c r="H833" s="15"/>
      <c r="I833" s="14" t="s">
        <v>0</v>
      </c>
      <c r="J833" s="14"/>
      <c r="K833" s="18"/>
    </row>
    <row r="834" spans="1:11" s="5" customFormat="1" ht="15" customHeight="1" x14ac:dyDescent="0.2">
      <c r="A834" s="13"/>
      <c r="B834" s="14" t="str">
        <f>IF(A834="","",_xlfn.XLOOKUP(A834,'DISPATCH SHEET'!B$3:B$121,'DISPATCH SHEET'!C$3:C$121,""))</f>
        <v/>
      </c>
      <c r="C834" s="14" t="str">
        <f>IF(ISBLANK(A834),"",_xlfn.XLOOKUP(A834,'DISPATCH SHEET'!B$3:B$121,'DISPATCH SHEET'!#REF!,""))</f>
        <v/>
      </c>
      <c r="D834" s="14"/>
      <c r="E834" s="15"/>
      <c r="F834" s="16"/>
      <c r="G834" s="17" t="s">
        <v>0</v>
      </c>
      <c r="H834" s="15"/>
      <c r="I834" s="14" t="s">
        <v>0</v>
      </c>
      <c r="J834" s="14"/>
      <c r="K834" s="18"/>
    </row>
    <row r="835" spans="1:11" s="5" customFormat="1" ht="15" customHeight="1" x14ac:dyDescent="0.2">
      <c r="A835" s="13"/>
      <c r="B835" s="14" t="str">
        <f>IF(A835="","",_xlfn.XLOOKUP(A835,'DISPATCH SHEET'!B$3:B$121,'DISPATCH SHEET'!C$3:C$121,""))</f>
        <v/>
      </c>
      <c r="C835" s="14" t="str">
        <f>IF(ISBLANK(A835),"",_xlfn.XLOOKUP(A835,'DISPATCH SHEET'!B$3:B$121,'DISPATCH SHEET'!#REF!,""))</f>
        <v/>
      </c>
      <c r="D835" s="14"/>
      <c r="E835" s="15"/>
      <c r="F835" s="16"/>
      <c r="G835" s="17" t="s">
        <v>0</v>
      </c>
      <c r="H835" s="15"/>
      <c r="I835" s="14" t="s">
        <v>0</v>
      </c>
      <c r="J835" s="14"/>
      <c r="K835" s="18"/>
    </row>
    <row r="836" spans="1:11" s="5" customFormat="1" ht="15" customHeight="1" x14ac:dyDescent="0.2">
      <c r="A836" s="13"/>
      <c r="B836" s="14" t="str">
        <f>IF(A836="","",_xlfn.XLOOKUP(A836,'DISPATCH SHEET'!B$3:B$121,'DISPATCH SHEET'!C$3:C$121,""))</f>
        <v/>
      </c>
      <c r="C836" s="14" t="str">
        <f>IF(ISBLANK(A836),"",_xlfn.XLOOKUP(A836,'DISPATCH SHEET'!B$3:B$121,'DISPATCH SHEET'!#REF!,""))</f>
        <v/>
      </c>
      <c r="D836" s="14"/>
      <c r="E836" s="15"/>
      <c r="F836" s="16"/>
      <c r="G836" s="17" t="s">
        <v>0</v>
      </c>
      <c r="H836" s="15"/>
      <c r="I836" s="14" t="s">
        <v>0</v>
      </c>
      <c r="J836" s="14"/>
      <c r="K836" s="18"/>
    </row>
    <row r="837" spans="1:11" s="5" customFormat="1" ht="15" customHeight="1" x14ac:dyDescent="0.2">
      <c r="A837" s="13"/>
      <c r="B837" s="14" t="str">
        <f>IF(A837="","",_xlfn.XLOOKUP(A837,'DISPATCH SHEET'!B$3:B$121,'DISPATCH SHEET'!C$3:C$121,""))</f>
        <v/>
      </c>
      <c r="C837" s="14" t="str">
        <f>IF(ISBLANK(A837),"",_xlfn.XLOOKUP(A837,'DISPATCH SHEET'!B$3:B$121,'DISPATCH SHEET'!#REF!,""))</f>
        <v/>
      </c>
      <c r="D837" s="14"/>
      <c r="E837" s="15"/>
      <c r="F837" s="16"/>
      <c r="G837" s="17" t="s">
        <v>0</v>
      </c>
      <c r="H837" s="15"/>
      <c r="I837" s="14" t="s">
        <v>0</v>
      </c>
      <c r="J837" s="14"/>
      <c r="K837" s="18"/>
    </row>
    <row r="838" spans="1:11" s="5" customFormat="1" ht="15" customHeight="1" x14ac:dyDescent="0.2">
      <c r="A838" s="13"/>
      <c r="B838" s="14" t="str">
        <f>IF(A838="","",_xlfn.XLOOKUP(A838,'DISPATCH SHEET'!B$3:B$121,'DISPATCH SHEET'!C$3:C$121,""))</f>
        <v/>
      </c>
      <c r="C838" s="14" t="str">
        <f>IF(ISBLANK(A838),"",_xlfn.XLOOKUP(A838,'DISPATCH SHEET'!B$3:B$121,'DISPATCH SHEET'!#REF!,""))</f>
        <v/>
      </c>
      <c r="D838" s="14"/>
      <c r="E838" s="15"/>
      <c r="F838" s="16"/>
      <c r="G838" s="17" t="s">
        <v>0</v>
      </c>
      <c r="H838" s="15"/>
      <c r="I838" s="14" t="s">
        <v>0</v>
      </c>
      <c r="J838" s="14"/>
      <c r="K838" s="18"/>
    </row>
    <row r="839" spans="1:11" s="5" customFormat="1" ht="15" customHeight="1" x14ac:dyDescent="0.2">
      <c r="A839" s="13"/>
      <c r="B839" s="14" t="str">
        <f>IF(A839="","",_xlfn.XLOOKUP(A839,'DISPATCH SHEET'!B$3:B$121,'DISPATCH SHEET'!C$3:C$121,""))</f>
        <v/>
      </c>
      <c r="C839" s="14" t="str">
        <f>IF(ISBLANK(A839),"",_xlfn.XLOOKUP(A839,'DISPATCH SHEET'!B$3:B$121,'DISPATCH SHEET'!#REF!,""))</f>
        <v/>
      </c>
      <c r="D839" s="14"/>
      <c r="E839" s="15"/>
      <c r="F839" s="16"/>
      <c r="G839" s="17" t="s">
        <v>0</v>
      </c>
      <c r="H839" s="15"/>
      <c r="I839" s="14" t="s">
        <v>0</v>
      </c>
      <c r="J839" s="14"/>
      <c r="K839" s="18"/>
    </row>
    <row r="840" spans="1:11" s="5" customFormat="1" ht="15" customHeight="1" x14ac:dyDescent="0.2">
      <c r="A840" s="13"/>
      <c r="B840" s="14" t="str">
        <f>IF(A840="","",_xlfn.XLOOKUP(A840,'DISPATCH SHEET'!B$3:B$121,'DISPATCH SHEET'!C$3:C$121,""))</f>
        <v/>
      </c>
      <c r="C840" s="14" t="str">
        <f>IF(ISBLANK(A840),"",_xlfn.XLOOKUP(A840,'DISPATCH SHEET'!B$3:B$121,'DISPATCH SHEET'!#REF!,""))</f>
        <v/>
      </c>
      <c r="D840" s="14"/>
      <c r="E840" s="15"/>
      <c r="F840" s="16"/>
      <c r="G840" s="17" t="s">
        <v>0</v>
      </c>
      <c r="H840" s="15"/>
      <c r="I840" s="14" t="s">
        <v>0</v>
      </c>
      <c r="J840" s="14"/>
      <c r="K840" s="18"/>
    </row>
    <row r="841" spans="1:11" s="5" customFormat="1" ht="15" customHeight="1" x14ac:dyDescent="0.2">
      <c r="A841" s="13"/>
      <c r="B841" s="14" t="str">
        <f>IF(A841="","",_xlfn.XLOOKUP(A841,'DISPATCH SHEET'!B$3:B$121,'DISPATCH SHEET'!C$3:C$121,""))</f>
        <v/>
      </c>
      <c r="C841" s="14" t="str">
        <f>IF(ISBLANK(A841),"",_xlfn.XLOOKUP(A841,'DISPATCH SHEET'!B$3:B$121,'DISPATCH SHEET'!#REF!,""))</f>
        <v/>
      </c>
      <c r="D841" s="14"/>
      <c r="E841" s="15"/>
      <c r="F841" s="16"/>
      <c r="G841" s="17" t="s">
        <v>0</v>
      </c>
      <c r="H841" s="15"/>
      <c r="I841" s="14" t="s">
        <v>0</v>
      </c>
      <c r="J841" s="14"/>
      <c r="K841" s="18"/>
    </row>
    <row r="842" spans="1:11" s="5" customFormat="1" ht="15" customHeight="1" x14ac:dyDescent="0.2">
      <c r="A842" s="13"/>
      <c r="B842" s="14" t="str">
        <f>IF(A842="","",_xlfn.XLOOKUP(A842,'DISPATCH SHEET'!B$3:B$121,'DISPATCH SHEET'!C$3:C$121,""))</f>
        <v/>
      </c>
      <c r="C842" s="14" t="str">
        <f>IF(ISBLANK(A842),"",_xlfn.XLOOKUP(A842,'DISPATCH SHEET'!B$3:B$121,'DISPATCH SHEET'!#REF!,""))</f>
        <v/>
      </c>
      <c r="D842" s="14"/>
      <c r="E842" s="15"/>
      <c r="F842" s="16"/>
      <c r="G842" s="17" t="s">
        <v>0</v>
      </c>
      <c r="H842" s="15"/>
      <c r="I842" s="14" t="s">
        <v>0</v>
      </c>
      <c r="J842" s="14"/>
      <c r="K842" s="18"/>
    </row>
    <row r="843" spans="1:11" s="5" customFormat="1" ht="15" customHeight="1" x14ac:dyDescent="0.2">
      <c r="A843" s="13"/>
      <c r="B843" s="14" t="str">
        <f>IF(A843="","",_xlfn.XLOOKUP(A843,'DISPATCH SHEET'!B$3:B$121,'DISPATCH SHEET'!C$3:C$121,""))</f>
        <v/>
      </c>
      <c r="C843" s="14" t="str">
        <f>IF(ISBLANK(A843),"",_xlfn.XLOOKUP(A843,'DISPATCH SHEET'!B$3:B$121,'DISPATCH SHEET'!#REF!,""))</f>
        <v/>
      </c>
      <c r="D843" s="14"/>
      <c r="E843" s="15"/>
      <c r="F843" s="16"/>
      <c r="G843" s="17" t="s">
        <v>0</v>
      </c>
      <c r="H843" s="15"/>
      <c r="I843" s="14" t="s">
        <v>0</v>
      </c>
      <c r="J843" s="14"/>
      <c r="K843" s="18"/>
    </row>
    <row r="844" spans="1:11" s="5" customFormat="1" ht="15" customHeight="1" x14ac:dyDescent="0.2">
      <c r="A844" s="13"/>
      <c r="B844" s="14" t="str">
        <f>IF(A844="","",_xlfn.XLOOKUP(A844,'DISPATCH SHEET'!B$3:B$121,'DISPATCH SHEET'!C$3:C$121,""))</f>
        <v/>
      </c>
      <c r="C844" s="14" t="str">
        <f>IF(ISBLANK(A844),"",_xlfn.XLOOKUP(A844,'DISPATCH SHEET'!B$3:B$121,'DISPATCH SHEET'!#REF!,""))</f>
        <v/>
      </c>
      <c r="D844" s="14"/>
      <c r="E844" s="15"/>
      <c r="F844" s="16"/>
      <c r="G844" s="17" t="s">
        <v>0</v>
      </c>
      <c r="H844" s="15"/>
      <c r="I844" s="14" t="s">
        <v>0</v>
      </c>
      <c r="J844" s="14"/>
      <c r="K844" s="18"/>
    </row>
    <row r="845" spans="1:11" s="5" customFormat="1" ht="15" customHeight="1" x14ac:dyDescent="0.2">
      <c r="A845" s="13"/>
      <c r="B845" s="14" t="str">
        <f>IF(A845="","",_xlfn.XLOOKUP(A845,'DISPATCH SHEET'!B$3:B$121,'DISPATCH SHEET'!C$3:C$121,""))</f>
        <v/>
      </c>
      <c r="C845" s="14" t="str">
        <f>IF(ISBLANK(A845),"",_xlfn.XLOOKUP(A845,'DISPATCH SHEET'!B$3:B$121,'DISPATCH SHEET'!#REF!,""))</f>
        <v/>
      </c>
      <c r="D845" s="14"/>
      <c r="E845" s="15"/>
      <c r="F845" s="16"/>
      <c r="G845" s="17" t="s">
        <v>0</v>
      </c>
      <c r="H845" s="15"/>
      <c r="I845" s="14" t="s">
        <v>0</v>
      </c>
      <c r="J845" s="14"/>
      <c r="K845" s="18"/>
    </row>
    <row r="846" spans="1:11" s="5" customFormat="1" ht="15" customHeight="1" x14ac:dyDescent="0.2">
      <c r="A846" s="13"/>
      <c r="B846" s="14" t="str">
        <f>IF(A846="","",_xlfn.XLOOKUP(A846,'DISPATCH SHEET'!B$3:B$121,'DISPATCH SHEET'!C$3:C$121,""))</f>
        <v/>
      </c>
      <c r="C846" s="14" t="str">
        <f>IF(ISBLANK(A846),"",_xlfn.XLOOKUP(A846,'DISPATCH SHEET'!B$3:B$121,'DISPATCH SHEET'!#REF!,""))</f>
        <v/>
      </c>
      <c r="D846" s="14"/>
      <c r="E846" s="15"/>
      <c r="F846" s="16"/>
      <c r="G846" s="17" t="s">
        <v>0</v>
      </c>
      <c r="H846" s="15"/>
      <c r="I846" s="14" t="s">
        <v>0</v>
      </c>
      <c r="J846" s="14"/>
      <c r="K846" s="18"/>
    </row>
    <row r="847" spans="1:11" s="5" customFormat="1" ht="15" customHeight="1" x14ac:dyDescent="0.2">
      <c r="A847" s="13"/>
      <c r="B847" s="14" t="str">
        <f>IF(A847="","",_xlfn.XLOOKUP(A847,'DISPATCH SHEET'!B$3:B$121,'DISPATCH SHEET'!C$3:C$121,""))</f>
        <v/>
      </c>
      <c r="C847" s="14" t="str">
        <f>IF(ISBLANK(A847),"",_xlfn.XLOOKUP(A847,'DISPATCH SHEET'!B$3:B$121,'DISPATCH SHEET'!#REF!,""))</f>
        <v/>
      </c>
      <c r="D847" s="14"/>
      <c r="E847" s="15"/>
      <c r="F847" s="16"/>
      <c r="G847" s="17" t="s">
        <v>0</v>
      </c>
      <c r="H847" s="15"/>
      <c r="I847" s="14" t="s">
        <v>0</v>
      </c>
      <c r="J847" s="14"/>
      <c r="K847" s="18"/>
    </row>
    <row r="848" spans="1:11" s="5" customFormat="1" ht="15" customHeight="1" x14ac:dyDescent="0.2">
      <c r="A848" s="13"/>
      <c r="B848" s="14" t="str">
        <f>IF(A848="","",_xlfn.XLOOKUP(A848,'DISPATCH SHEET'!B$3:B$121,'DISPATCH SHEET'!C$3:C$121,""))</f>
        <v/>
      </c>
      <c r="C848" s="14" t="str">
        <f>IF(ISBLANK(A848),"",_xlfn.XLOOKUP(A848,'DISPATCH SHEET'!B$3:B$121,'DISPATCH SHEET'!#REF!,""))</f>
        <v/>
      </c>
      <c r="D848" s="14"/>
      <c r="E848" s="15"/>
      <c r="F848" s="16"/>
      <c r="G848" s="17" t="s">
        <v>0</v>
      </c>
      <c r="H848" s="15"/>
      <c r="I848" s="14" t="s">
        <v>0</v>
      </c>
      <c r="J848" s="14"/>
      <c r="K848" s="18"/>
    </row>
    <row r="849" spans="1:11" s="5" customFormat="1" ht="15" customHeight="1" x14ac:dyDescent="0.2">
      <c r="A849" s="13"/>
      <c r="B849" s="14" t="str">
        <f>IF(A849="","",_xlfn.XLOOKUP(A849,'DISPATCH SHEET'!B$3:B$121,'DISPATCH SHEET'!C$3:C$121,""))</f>
        <v/>
      </c>
      <c r="C849" s="14" t="str">
        <f>IF(ISBLANK(A849),"",_xlfn.XLOOKUP(A849,'DISPATCH SHEET'!B$3:B$121,'DISPATCH SHEET'!#REF!,""))</f>
        <v/>
      </c>
      <c r="D849" s="14"/>
      <c r="E849" s="15"/>
      <c r="F849" s="16"/>
      <c r="G849" s="17" t="s">
        <v>0</v>
      </c>
      <c r="H849" s="15"/>
      <c r="I849" s="14" t="s">
        <v>0</v>
      </c>
      <c r="J849" s="14"/>
      <c r="K849" s="18"/>
    </row>
    <row r="850" spans="1:11" s="5" customFormat="1" ht="15" customHeight="1" x14ac:dyDescent="0.2">
      <c r="A850" s="13"/>
      <c r="B850" s="14" t="str">
        <f>IF(A850="","",_xlfn.XLOOKUP(A850,'DISPATCH SHEET'!B$3:B$121,'DISPATCH SHEET'!C$3:C$121,""))</f>
        <v/>
      </c>
      <c r="C850" s="14" t="str">
        <f>IF(ISBLANK(A850),"",_xlfn.XLOOKUP(A850,'DISPATCH SHEET'!B$3:B$121,'DISPATCH SHEET'!#REF!,""))</f>
        <v/>
      </c>
      <c r="D850" s="14"/>
      <c r="E850" s="15"/>
      <c r="F850" s="16"/>
      <c r="G850" s="17" t="s">
        <v>0</v>
      </c>
      <c r="H850" s="15"/>
      <c r="I850" s="14" t="s">
        <v>0</v>
      </c>
      <c r="J850" s="14"/>
      <c r="K850" s="18"/>
    </row>
    <row r="851" spans="1:11" s="5" customFormat="1" ht="15" customHeight="1" x14ac:dyDescent="0.2">
      <c r="A851" s="13"/>
      <c r="B851" s="14" t="str">
        <f>IF(A851="","",_xlfn.XLOOKUP(A851,'DISPATCH SHEET'!B$3:B$121,'DISPATCH SHEET'!C$3:C$121,""))</f>
        <v/>
      </c>
      <c r="C851" s="14" t="str">
        <f>IF(ISBLANK(A851),"",_xlfn.XLOOKUP(A851,'DISPATCH SHEET'!B$3:B$121,'DISPATCH SHEET'!#REF!,""))</f>
        <v/>
      </c>
      <c r="D851" s="14"/>
      <c r="E851" s="15"/>
      <c r="F851" s="16"/>
      <c r="G851" s="17" t="s">
        <v>0</v>
      </c>
      <c r="H851" s="15"/>
      <c r="I851" s="14" t="s">
        <v>0</v>
      </c>
      <c r="J851" s="14"/>
      <c r="K851" s="18"/>
    </row>
    <row r="852" spans="1:11" s="5" customFormat="1" ht="15" customHeight="1" x14ac:dyDescent="0.2">
      <c r="A852" s="13"/>
      <c r="B852" s="14" t="str">
        <f>IF(A852="","",_xlfn.XLOOKUP(A852,'DISPATCH SHEET'!B$3:B$121,'DISPATCH SHEET'!C$3:C$121,""))</f>
        <v/>
      </c>
      <c r="C852" s="14" t="str">
        <f>IF(ISBLANK(A852),"",_xlfn.XLOOKUP(A852,'DISPATCH SHEET'!B$3:B$121,'DISPATCH SHEET'!#REF!,""))</f>
        <v/>
      </c>
      <c r="D852" s="14"/>
      <c r="E852" s="15"/>
      <c r="F852" s="16"/>
      <c r="G852" s="17" t="s">
        <v>0</v>
      </c>
      <c r="H852" s="15"/>
      <c r="I852" s="14" t="s">
        <v>0</v>
      </c>
      <c r="J852" s="14"/>
      <c r="K852" s="18"/>
    </row>
    <row r="853" spans="1:11" s="5" customFormat="1" ht="15" customHeight="1" x14ac:dyDescent="0.2">
      <c r="A853" s="13"/>
      <c r="B853" s="14" t="str">
        <f>IF(A853="","",_xlfn.XLOOKUP(A853,'DISPATCH SHEET'!B$3:B$121,'DISPATCH SHEET'!C$3:C$121,""))</f>
        <v/>
      </c>
      <c r="C853" s="14" t="str">
        <f>IF(ISBLANK(A853),"",_xlfn.XLOOKUP(A853,'DISPATCH SHEET'!B$3:B$121,'DISPATCH SHEET'!#REF!,""))</f>
        <v/>
      </c>
      <c r="D853" s="14"/>
      <c r="E853" s="15"/>
      <c r="F853" s="16"/>
      <c r="G853" s="17" t="s">
        <v>0</v>
      </c>
      <c r="H853" s="15"/>
      <c r="I853" s="14" t="s">
        <v>0</v>
      </c>
      <c r="J853" s="14"/>
      <c r="K853" s="18"/>
    </row>
    <row r="854" spans="1:11" s="5" customFormat="1" ht="15" customHeight="1" x14ac:dyDescent="0.2">
      <c r="A854" s="13"/>
      <c r="B854" s="14" t="str">
        <f>IF(A854="","",_xlfn.XLOOKUP(A854,'DISPATCH SHEET'!B$3:B$121,'DISPATCH SHEET'!C$3:C$121,""))</f>
        <v/>
      </c>
      <c r="C854" s="14" t="str">
        <f>IF(ISBLANK(A854),"",_xlfn.XLOOKUP(A854,'DISPATCH SHEET'!B$3:B$121,'DISPATCH SHEET'!#REF!,""))</f>
        <v/>
      </c>
      <c r="D854" s="14"/>
      <c r="E854" s="15"/>
      <c r="F854" s="16"/>
      <c r="G854" s="17" t="s">
        <v>0</v>
      </c>
      <c r="H854" s="15"/>
      <c r="I854" s="14" t="s">
        <v>0</v>
      </c>
      <c r="J854" s="14"/>
      <c r="K854" s="18"/>
    </row>
    <row r="855" spans="1:11" s="5" customFormat="1" ht="15" customHeight="1" x14ac:dyDescent="0.2">
      <c r="A855" s="13"/>
      <c r="B855" s="14" t="str">
        <f>IF(A855="","",_xlfn.XLOOKUP(A855,'DISPATCH SHEET'!B$3:B$121,'DISPATCH SHEET'!C$3:C$121,""))</f>
        <v/>
      </c>
      <c r="C855" s="14" t="str">
        <f>IF(ISBLANK(A855),"",_xlfn.XLOOKUP(A855,'DISPATCH SHEET'!B$3:B$121,'DISPATCH SHEET'!#REF!,""))</f>
        <v/>
      </c>
      <c r="D855" s="14"/>
      <c r="E855" s="15"/>
      <c r="F855" s="16"/>
      <c r="G855" s="17" t="s">
        <v>0</v>
      </c>
      <c r="H855" s="15"/>
      <c r="I855" s="14" t="s">
        <v>0</v>
      </c>
      <c r="J855" s="14"/>
      <c r="K855" s="18"/>
    </row>
    <row r="856" spans="1:11" s="5" customFormat="1" ht="15" customHeight="1" x14ac:dyDescent="0.2">
      <c r="A856" s="13"/>
      <c r="B856" s="14" t="str">
        <f>IF(A856="","",_xlfn.XLOOKUP(A856,'DISPATCH SHEET'!B$3:B$121,'DISPATCH SHEET'!C$3:C$121,""))</f>
        <v/>
      </c>
      <c r="C856" s="14" t="str">
        <f>IF(ISBLANK(A856),"",_xlfn.XLOOKUP(A856,'DISPATCH SHEET'!B$3:B$121,'DISPATCH SHEET'!#REF!,""))</f>
        <v/>
      </c>
      <c r="D856" s="14"/>
      <c r="E856" s="15"/>
      <c r="F856" s="16"/>
      <c r="G856" s="17" t="s">
        <v>0</v>
      </c>
      <c r="H856" s="15"/>
      <c r="I856" s="14" t="s">
        <v>0</v>
      </c>
      <c r="J856" s="14"/>
      <c r="K856" s="18"/>
    </row>
    <row r="857" spans="1:11" s="5" customFormat="1" ht="15" customHeight="1" x14ac:dyDescent="0.2">
      <c r="A857" s="13"/>
      <c r="B857" s="14" t="str">
        <f>IF(A857="","",_xlfn.XLOOKUP(A857,'DISPATCH SHEET'!B$3:B$121,'DISPATCH SHEET'!C$3:C$121,""))</f>
        <v/>
      </c>
      <c r="C857" s="14" t="str">
        <f>IF(ISBLANK(A857),"",_xlfn.XLOOKUP(A857,'DISPATCH SHEET'!B$3:B$121,'DISPATCH SHEET'!#REF!,""))</f>
        <v/>
      </c>
      <c r="D857" s="14"/>
      <c r="E857" s="15"/>
      <c r="F857" s="16"/>
      <c r="G857" s="17" t="s">
        <v>0</v>
      </c>
      <c r="H857" s="15"/>
      <c r="I857" s="14" t="s">
        <v>0</v>
      </c>
      <c r="J857" s="14"/>
      <c r="K857" s="18"/>
    </row>
    <row r="858" spans="1:11" s="5" customFormat="1" ht="15" customHeight="1" x14ac:dyDescent="0.2">
      <c r="A858" s="13"/>
      <c r="B858" s="14" t="str">
        <f>IF(A858="","",_xlfn.XLOOKUP(A858,'DISPATCH SHEET'!B$3:B$121,'DISPATCH SHEET'!C$3:C$121,""))</f>
        <v/>
      </c>
      <c r="C858" s="14" t="str">
        <f>IF(ISBLANK(A858),"",_xlfn.XLOOKUP(A858,'DISPATCH SHEET'!B$3:B$121,'DISPATCH SHEET'!#REF!,""))</f>
        <v/>
      </c>
      <c r="D858" s="14"/>
      <c r="E858" s="15"/>
      <c r="F858" s="16"/>
      <c r="G858" s="17" t="s">
        <v>0</v>
      </c>
      <c r="H858" s="15"/>
      <c r="I858" s="14" t="s">
        <v>0</v>
      </c>
      <c r="J858" s="14"/>
      <c r="K858" s="18"/>
    </row>
    <row r="859" spans="1:11" s="5" customFormat="1" ht="15" customHeight="1" x14ac:dyDescent="0.2">
      <c r="A859" s="13"/>
      <c r="B859" s="14" t="str">
        <f>IF(A859="","",_xlfn.XLOOKUP(A859,'DISPATCH SHEET'!B$3:B$121,'DISPATCH SHEET'!C$3:C$121,""))</f>
        <v/>
      </c>
      <c r="C859" s="14" t="str">
        <f>IF(ISBLANK(A859),"",_xlfn.XLOOKUP(A859,'DISPATCH SHEET'!B$3:B$121,'DISPATCH SHEET'!#REF!,""))</f>
        <v/>
      </c>
      <c r="D859" s="14"/>
      <c r="E859" s="15"/>
      <c r="F859" s="16"/>
      <c r="G859" s="17" t="s">
        <v>0</v>
      </c>
      <c r="H859" s="15"/>
      <c r="I859" s="14" t="s">
        <v>0</v>
      </c>
      <c r="J859" s="14"/>
      <c r="K859" s="18"/>
    </row>
    <row r="860" spans="1:11" s="5" customFormat="1" ht="15" customHeight="1" x14ac:dyDescent="0.2">
      <c r="A860" s="13"/>
      <c r="B860" s="14" t="str">
        <f>IF(A860="","",_xlfn.XLOOKUP(A860,'DISPATCH SHEET'!B$3:B$121,'DISPATCH SHEET'!C$3:C$121,""))</f>
        <v/>
      </c>
      <c r="C860" s="14" t="str">
        <f>IF(ISBLANK(A860),"",_xlfn.XLOOKUP(A860,'DISPATCH SHEET'!B$3:B$121,'DISPATCH SHEET'!#REF!,""))</f>
        <v/>
      </c>
      <c r="D860" s="14"/>
      <c r="E860" s="15"/>
      <c r="F860" s="16"/>
      <c r="G860" s="17" t="s">
        <v>0</v>
      </c>
      <c r="H860" s="15"/>
      <c r="I860" s="14" t="s">
        <v>0</v>
      </c>
      <c r="J860" s="14"/>
      <c r="K860" s="18"/>
    </row>
    <row r="861" spans="1:11" s="5" customFormat="1" ht="15" customHeight="1" x14ac:dyDescent="0.2">
      <c r="A861" s="13"/>
      <c r="B861" s="14" t="str">
        <f>IF(A861="","",_xlfn.XLOOKUP(A861,'DISPATCH SHEET'!B$3:B$121,'DISPATCH SHEET'!C$3:C$121,""))</f>
        <v/>
      </c>
      <c r="C861" s="14" t="str">
        <f>IF(ISBLANK(A861),"",_xlfn.XLOOKUP(A861,'DISPATCH SHEET'!B$3:B$121,'DISPATCH SHEET'!#REF!,""))</f>
        <v/>
      </c>
      <c r="D861" s="14"/>
      <c r="E861" s="15"/>
      <c r="F861" s="16"/>
      <c r="G861" s="17" t="s">
        <v>0</v>
      </c>
      <c r="H861" s="15"/>
      <c r="I861" s="14" t="s">
        <v>0</v>
      </c>
      <c r="J861" s="14"/>
      <c r="K861" s="18"/>
    </row>
    <row r="862" spans="1:11" s="5" customFormat="1" ht="15" customHeight="1" x14ac:dyDescent="0.2">
      <c r="A862" s="13"/>
      <c r="B862" s="14" t="str">
        <f>IF(A862="","",_xlfn.XLOOKUP(A862,'DISPATCH SHEET'!B$3:B$121,'DISPATCH SHEET'!C$3:C$121,""))</f>
        <v/>
      </c>
      <c r="C862" s="14" t="str">
        <f>IF(ISBLANK(A862),"",_xlfn.XLOOKUP(A862,'DISPATCH SHEET'!B$3:B$121,'DISPATCH SHEET'!#REF!,""))</f>
        <v/>
      </c>
      <c r="D862" s="14"/>
      <c r="E862" s="15"/>
      <c r="F862" s="16"/>
      <c r="G862" s="17" t="s">
        <v>0</v>
      </c>
      <c r="H862" s="15"/>
      <c r="I862" s="14" t="s">
        <v>0</v>
      </c>
      <c r="J862" s="14"/>
      <c r="K862" s="18"/>
    </row>
    <row r="863" spans="1:11" s="5" customFormat="1" ht="15" customHeight="1" x14ac:dyDescent="0.2">
      <c r="A863" s="13"/>
      <c r="B863" s="14" t="str">
        <f>IF(A863="","",_xlfn.XLOOKUP(A863,'DISPATCH SHEET'!B$3:B$121,'DISPATCH SHEET'!C$3:C$121,""))</f>
        <v/>
      </c>
      <c r="C863" s="14" t="str">
        <f>IF(ISBLANK(A863),"",_xlfn.XLOOKUP(A863,'DISPATCH SHEET'!B$3:B$121,'DISPATCH SHEET'!#REF!,""))</f>
        <v/>
      </c>
      <c r="D863" s="14"/>
      <c r="E863" s="15"/>
      <c r="F863" s="16"/>
      <c r="G863" s="17" t="s">
        <v>0</v>
      </c>
      <c r="H863" s="15"/>
      <c r="I863" s="14" t="s">
        <v>0</v>
      </c>
      <c r="J863" s="14"/>
      <c r="K863" s="18"/>
    </row>
    <row r="864" spans="1:11" s="5" customFormat="1" ht="15" customHeight="1" x14ac:dyDescent="0.2">
      <c r="A864" s="13"/>
      <c r="B864" s="14" t="str">
        <f>IF(A864="","",_xlfn.XLOOKUP(A864,'DISPATCH SHEET'!B$3:B$121,'DISPATCH SHEET'!C$3:C$121,""))</f>
        <v/>
      </c>
      <c r="C864" s="14" t="str">
        <f>IF(ISBLANK(A864),"",_xlfn.XLOOKUP(A864,'DISPATCH SHEET'!B$3:B$121,'DISPATCH SHEET'!#REF!,""))</f>
        <v/>
      </c>
      <c r="D864" s="14"/>
      <c r="E864" s="15"/>
      <c r="F864" s="16"/>
      <c r="G864" s="17" t="s">
        <v>0</v>
      </c>
      <c r="H864" s="15"/>
      <c r="I864" s="14" t="s">
        <v>0</v>
      </c>
      <c r="J864" s="14"/>
      <c r="K864" s="18"/>
    </row>
    <row r="865" spans="1:11" s="5" customFormat="1" ht="15" customHeight="1" x14ac:dyDescent="0.2">
      <c r="A865" s="13"/>
      <c r="B865" s="14" t="str">
        <f>IF(A865="","",_xlfn.XLOOKUP(A865,'DISPATCH SHEET'!B$3:B$121,'DISPATCH SHEET'!C$3:C$121,""))</f>
        <v/>
      </c>
      <c r="C865" s="14" t="str">
        <f>IF(ISBLANK(A865),"",_xlfn.XLOOKUP(A865,'DISPATCH SHEET'!B$3:B$121,'DISPATCH SHEET'!#REF!,""))</f>
        <v/>
      </c>
      <c r="D865" s="14"/>
      <c r="E865" s="15"/>
      <c r="F865" s="16"/>
      <c r="G865" s="17" t="s">
        <v>0</v>
      </c>
      <c r="H865" s="15"/>
      <c r="I865" s="14" t="s">
        <v>0</v>
      </c>
      <c r="J865" s="14"/>
      <c r="K865" s="18"/>
    </row>
    <row r="866" spans="1:11" s="5" customFormat="1" ht="15" customHeight="1" x14ac:dyDescent="0.2">
      <c r="A866" s="13"/>
      <c r="B866" s="14" t="str">
        <f>IF(A866="","",_xlfn.XLOOKUP(A866,'DISPATCH SHEET'!B$3:B$121,'DISPATCH SHEET'!C$3:C$121,""))</f>
        <v/>
      </c>
      <c r="C866" s="14" t="str">
        <f>IF(ISBLANK(A866),"",_xlfn.XLOOKUP(A866,'DISPATCH SHEET'!B$3:B$121,'DISPATCH SHEET'!#REF!,""))</f>
        <v/>
      </c>
      <c r="D866" s="14"/>
      <c r="E866" s="15"/>
      <c r="F866" s="16"/>
      <c r="G866" s="17" t="s">
        <v>0</v>
      </c>
      <c r="H866" s="15"/>
      <c r="I866" s="14" t="s">
        <v>0</v>
      </c>
      <c r="J866" s="14"/>
      <c r="K866" s="18"/>
    </row>
    <row r="867" spans="1:11" s="5" customFormat="1" ht="15" customHeight="1" x14ac:dyDescent="0.2">
      <c r="A867" s="13"/>
      <c r="B867" s="14" t="str">
        <f>IF(A867="","",_xlfn.XLOOKUP(A867,'DISPATCH SHEET'!B$3:B$121,'DISPATCH SHEET'!C$3:C$121,""))</f>
        <v/>
      </c>
      <c r="C867" s="14" t="str">
        <f>IF(ISBLANK(A867),"",_xlfn.XLOOKUP(A867,'DISPATCH SHEET'!B$3:B$121,'DISPATCH SHEET'!#REF!,""))</f>
        <v/>
      </c>
      <c r="D867" s="14"/>
      <c r="E867" s="15"/>
      <c r="F867" s="16"/>
      <c r="G867" s="17" t="s">
        <v>0</v>
      </c>
      <c r="H867" s="15"/>
      <c r="I867" s="14" t="s">
        <v>0</v>
      </c>
      <c r="J867" s="14"/>
      <c r="K867" s="18"/>
    </row>
    <row r="868" spans="1:11" s="5" customFormat="1" ht="15" customHeight="1" x14ac:dyDescent="0.2">
      <c r="A868" s="13"/>
      <c r="B868" s="14" t="str">
        <f>IF(A868="","",_xlfn.XLOOKUP(A868,'DISPATCH SHEET'!B$3:B$121,'DISPATCH SHEET'!C$3:C$121,""))</f>
        <v/>
      </c>
      <c r="C868" s="14" t="str">
        <f>IF(ISBLANK(A868),"",_xlfn.XLOOKUP(A868,'DISPATCH SHEET'!B$3:B$121,'DISPATCH SHEET'!#REF!,""))</f>
        <v/>
      </c>
      <c r="D868" s="14"/>
      <c r="E868" s="15"/>
      <c r="F868" s="16"/>
      <c r="G868" s="17" t="s">
        <v>0</v>
      </c>
      <c r="H868" s="15"/>
      <c r="I868" s="14" t="s">
        <v>0</v>
      </c>
      <c r="J868" s="14"/>
      <c r="K868" s="18"/>
    </row>
    <row r="869" spans="1:11" s="5" customFormat="1" ht="15" customHeight="1" x14ac:dyDescent="0.2">
      <c r="A869" s="13"/>
      <c r="B869" s="14" t="str">
        <f>IF(A869="","",_xlfn.XLOOKUP(A869,'DISPATCH SHEET'!B$3:B$121,'DISPATCH SHEET'!C$3:C$121,""))</f>
        <v/>
      </c>
      <c r="C869" s="14" t="str">
        <f>IF(ISBLANK(A869),"",_xlfn.XLOOKUP(A869,'DISPATCH SHEET'!B$3:B$121,'DISPATCH SHEET'!#REF!,""))</f>
        <v/>
      </c>
      <c r="D869" s="14"/>
      <c r="E869" s="15"/>
      <c r="F869" s="16"/>
      <c r="G869" s="17" t="s">
        <v>0</v>
      </c>
      <c r="H869" s="15"/>
      <c r="I869" s="14" t="s">
        <v>0</v>
      </c>
      <c r="J869" s="14"/>
      <c r="K869" s="18"/>
    </row>
    <row r="870" spans="1:11" s="5" customFormat="1" ht="15" customHeight="1" x14ac:dyDescent="0.2">
      <c r="A870" s="13"/>
      <c r="B870" s="14" t="str">
        <f>IF(A870="","",_xlfn.XLOOKUP(A870,'DISPATCH SHEET'!B$3:B$121,'DISPATCH SHEET'!C$3:C$121,""))</f>
        <v/>
      </c>
      <c r="C870" s="14" t="str">
        <f>IF(ISBLANK(A870),"",_xlfn.XLOOKUP(A870,'DISPATCH SHEET'!B$3:B$121,'DISPATCH SHEET'!#REF!,""))</f>
        <v/>
      </c>
      <c r="D870" s="14"/>
      <c r="E870" s="15"/>
      <c r="F870" s="16"/>
      <c r="G870" s="17" t="s">
        <v>0</v>
      </c>
      <c r="H870" s="15"/>
      <c r="I870" s="14" t="s">
        <v>0</v>
      </c>
      <c r="J870" s="14"/>
      <c r="K870" s="18"/>
    </row>
    <row r="871" spans="1:11" s="5" customFormat="1" ht="15" customHeight="1" x14ac:dyDescent="0.2">
      <c r="A871" s="13"/>
      <c r="B871" s="14" t="str">
        <f>IF(A871="","",_xlfn.XLOOKUP(A871,'DISPATCH SHEET'!B$3:B$121,'DISPATCH SHEET'!C$3:C$121,""))</f>
        <v/>
      </c>
      <c r="C871" s="14" t="str">
        <f>IF(ISBLANK(A871),"",_xlfn.XLOOKUP(A871,'DISPATCH SHEET'!B$3:B$121,'DISPATCH SHEET'!#REF!,""))</f>
        <v/>
      </c>
      <c r="D871" s="14"/>
      <c r="E871" s="15"/>
      <c r="F871" s="16"/>
      <c r="G871" s="17" t="s">
        <v>0</v>
      </c>
      <c r="H871" s="15"/>
      <c r="I871" s="14" t="s">
        <v>0</v>
      </c>
      <c r="J871" s="14"/>
      <c r="K871" s="18"/>
    </row>
    <row r="872" spans="1:11" s="5" customFormat="1" ht="15" customHeight="1" x14ac:dyDescent="0.2">
      <c r="A872" s="13"/>
      <c r="B872" s="14" t="str">
        <f>IF(A872="","",_xlfn.XLOOKUP(A872,'DISPATCH SHEET'!B$3:B$121,'DISPATCH SHEET'!C$3:C$121,""))</f>
        <v/>
      </c>
      <c r="C872" s="14" t="str">
        <f>IF(ISBLANK(A872),"",_xlfn.XLOOKUP(A872,'DISPATCH SHEET'!B$3:B$121,'DISPATCH SHEET'!#REF!,""))</f>
        <v/>
      </c>
      <c r="D872" s="14"/>
      <c r="E872" s="15"/>
      <c r="F872" s="16"/>
      <c r="G872" s="17" t="s">
        <v>0</v>
      </c>
      <c r="H872" s="15"/>
      <c r="I872" s="14" t="s">
        <v>0</v>
      </c>
      <c r="J872" s="14"/>
      <c r="K872" s="18"/>
    </row>
    <row r="873" spans="1:11" s="5" customFormat="1" ht="15" customHeight="1" x14ac:dyDescent="0.2">
      <c r="A873" s="13"/>
      <c r="B873" s="14" t="str">
        <f>IF(A873="","",_xlfn.XLOOKUP(A873,'DISPATCH SHEET'!B$3:B$121,'DISPATCH SHEET'!C$3:C$121,""))</f>
        <v/>
      </c>
      <c r="C873" s="14" t="str">
        <f>IF(ISBLANK(A873),"",_xlfn.XLOOKUP(A873,'DISPATCH SHEET'!B$3:B$121,'DISPATCH SHEET'!#REF!,""))</f>
        <v/>
      </c>
      <c r="D873" s="14"/>
      <c r="E873" s="15"/>
      <c r="F873" s="16"/>
      <c r="G873" s="17" t="s">
        <v>0</v>
      </c>
      <c r="H873" s="15"/>
      <c r="I873" s="14" t="s">
        <v>0</v>
      </c>
      <c r="J873" s="14"/>
      <c r="K873" s="18"/>
    </row>
    <row r="874" spans="1:11" s="5" customFormat="1" ht="15" customHeight="1" x14ac:dyDescent="0.2">
      <c r="A874" s="13"/>
      <c r="B874" s="14" t="str">
        <f>IF(A874="","",_xlfn.XLOOKUP(A874,'DISPATCH SHEET'!B$3:B$121,'DISPATCH SHEET'!C$3:C$121,""))</f>
        <v/>
      </c>
      <c r="C874" s="14" t="str">
        <f>IF(ISBLANK(A874),"",_xlfn.XLOOKUP(A874,'DISPATCH SHEET'!B$3:B$121,'DISPATCH SHEET'!#REF!,""))</f>
        <v/>
      </c>
      <c r="D874" s="14"/>
      <c r="E874" s="15"/>
      <c r="F874" s="16"/>
      <c r="G874" s="17" t="s">
        <v>0</v>
      </c>
      <c r="H874" s="15"/>
      <c r="I874" s="14" t="s">
        <v>0</v>
      </c>
      <c r="J874" s="14"/>
      <c r="K874" s="18"/>
    </row>
    <row r="875" spans="1:11" s="5" customFormat="1" ht="15" customHeight="1" x14ac:dyDescent="0.2">
      <c r="A875" s="13"/>
      <c r="B875" s="14" t="str">
        <f>IF(A875="","",_xlfn.XLOOKUP(A875,'DISPATCH SHEET'!B$3:B$121,'DISPATCH SHEET'!C$3:C$121,""))</f>
        <v/>
      </c>
      <c r="C875" s="14" t="str">
        <f>IF(ISBLANK(A875),"",_xlfn.XLOOKUP(A875,'DISPATCH SHEET'!B$3:B$121,'DISPATCH SHEET'!#REF!,""))</f>
        <v/>
      </c>
      <c r="D875" s="14"/>
      <c r="E875" s="15"/>
      <c r="F875" s="16"/>
      <c r="G875" s="17" t="s">
        <v>0</v>
      </c>
      <c r="H875" s="15"/>
      <c r="I875" s="14" t="s">
        <v>0</v>
      </c>
      <c r="J875" s="14"/>
      <c r="K875" s="18"/>
    </row>
    <row r="876" spans="1:11" s="5" customFormat="1" ht="15" customHeight="1" x14ac:dyDescent="0.2">
      <c r="A876" s="13"/>
      <c r="B876" s="14" t="str">
        <f>IF(A876="","",_xlfn.XLOOKUP(A876,'DISPATCH SHEET'!B$3:B$121,'DISPATCH SHEET'!C$3:C$121,""))</f>
        <v/>
      </c>
      <c r="C876" s="14" t="str">
        <f>IF(ISBLANK(A876),"",_xlfn.XLOOKUP(A876,'DISPATCH SHEET'!B$3:B$121,'DISPATCH SHEET'!#REF!,""))</f>
        <v/>
      </c>
      <c r="D876" s="14"/>
      <c r="E876" s="15"/>
      <c r="F876" s="16"/>
      <c r="G876" s="17" t="s">
        <v>0</v>
      </c>
      <c r="H876" s="15"/>
      <c r="I876" s="14" t="s">
        <v>0</v>
      </c>
      <c r="J876" s="14"/>
      <c r="K876" s="18"/>
    </row>
    <row r="877" spans="1:11" s="5" customFormat="1" ht="15" customHeight="1" x14ac:dyDescent="0.2">
      <c r="A877" s="13"/>
      <c r="B877" s="14" t="str">
        <f>IF(A877="","",_xlfn.XLOOKUP(A877,'DISPATCH SHEET'!B$3:B$121,'DISPATCH SHEET'!C$3:C$121,""))</f>
        <v/>
      </c>
      <c r="C877" s="14" t="str">
        <f>IF(ISBLANK(A877),"",_xlfn.XLOOKUP(A877,'DISPATCH SHEET'!B$3:B$121,'DISPATCH SHEET'!#REF!,""))</f>
        <v/>
      </c>
      <c r="D877" s="14"/>
      <c r="E877" s="15"/>
      <c r="F877" s="16"/>
      <c r="G877" s="17" t="s">
        <v>0</v>
      </c>
      <c r="H877" s="15"/>
      <c r="I877" s="14" t="s">
        <v>0</v>
      </c>
      <c r="J877" s="14"/>
      <c r="K877" s="18"/>
    </row>
    <row r="878" spans="1:11" s="5" customFormat="1" ht="15" customHeight="1" x14ac:dyDescent="0.2">
      <c r="A878" s="13"/>
      <c r="B878" s="14" t="str">
        <f>IF(A878="","",_xlfn.XLOOKUP(A878,'DISPATCH SHEET'!B$3:B$121,'DISPATCH SHEET'!C$3:C$121,""))</f>
        <v/>
      </c>
      <c r="C878" s="14" t="str">
        <f>IF(ISBLANK(A878),"",_xlfn.XLOOKUP(A878,'DISPATCH SHEET'!B$3:B$121,'DISPATCH SHEET'!#REF!,""))</f>
        <v/>
      </c>
      <c r="D878" s="14"/>
      <c r="E878" s="15"/>
      <c r="F878" s="16"/>
      <c r="G878" s="17" t="s">
        <v>0</v>
      </c>
      <c r="H878" s="15"/>
      <c r="I878" s="14" t="s">
        <v>0</v>
      </c>
      <c r="J878" s="14"/>
      <c r="K878" s="18"/>
    </row>
    <row r="879" spans="1:11" s="5" customFormat="1" ht="15" customHeight="1" x14ac:dyDescent="0.2">
      <c r="A879" s="13"/>
      <c r="B879" s="14" t="str">
        <f>IF(A879="","",_xlfn.XLOOKUP(A879,'DISPATCH SHEET'!B$3:B$121,'DISPATCH SHEET'!C$3:C$121,""))</f>
        <v/>
      </c>
      <c r="C879" s="14" t="str">
        <f>IF(ISBLANK(A879),"",_xlfn.XLOOKUP(A879,'DISPATCH SHEET'!B$3:B$121,'DISPATCH SHEET'!#REF!,""))</f>
        <v/>
      </c>
      <c r="D879" s="14"/>
      <c r="E879" s="15"/>
      <c r="F879" s="16"/>
      <c r="G879" s="17" t="s">
        <v>0</v>
      </c>
      <c r="H879" s="15"/>
      <c r="I879" s="14" t="s">
        <v>0</v>
      </c>
      <c r="J879" s="14"/>
      <c r="K879" s="18"/>
    </row>
    <row r="880" spans="1:11" s="5" customFormat="1" ht="15" customHeight="1" x14ac:dyDescent="0.2">
      <c r="A880" s="13"/>
      <c r="B880" s="14" t="str">
        <f>IF(A880="","",_xlfn.XLOOKUP(A880,'DISPATCH SHEET'!B$3:B$121,'DISPATCH SHEET'!C$3:C$121,""))</f>
        <v/>
      </c>
      <c r="C880" s="14" t="str">
        <f>IF(ISBLANK(A880),"",_xlfn.XLOOKUP(A880,'DISPATCH SHEET'!B$3:B$121,'DISPATCH SHEET'!#REF!,""))</f>
        <v/>
      </c>
      <c r="D880" s="14"/>
      <c r="E880" s="15"/>
      <c r="F880" s="16"/>
      <c r="G880" s="17" t="s">
        <v>0</v>
      </c>
      <c r="H880" s="15"/>
      <c r="I880" s="14" t="s">
        <v>0</v>
      </c>
      <c r="J880" s="14"/>
      <c r="K880" s="18"/>
    </row>
    <row r="881" spans="1:11" s="5" customFormat="1" ht="15" customHeight="1" x14ac:dyDescent="0.2">
      <c r="A881" s="13"/>
      <c r="B881" s="14" t="str">
        <f>IF(A881="","",_xlfn.XLOOKUP(A881,'DISPATCH SHEET'!B$3:B$121,'DISPATCH SHEET'!C$3:C$121,""))</f>
        <v/>
      </c>
      <c r="C881" s="14" t="str">
        <f>IF(ISBLANK(A881),"",_xlfn.XLOOKUP(A881,'DISPATCH SHEET'!B$3:B$121,'DISPATCH SHEET'!#REF!,""))</f>
        <v/>
      </c>
      <c r="D881" s="14"/>
      <c r="E881" s="15"/>
      <c r="F881" s="16"/>
      <c r="G881" s="17" t="s">
        <v>0</v>
      </c>
      <c r="H881" s="15"/>
      <c r="I881" s="14" t="s">
        <v>0</v>
      </c>
      <c r="J881" s="14"/>
      <c r="K881" s="18"/>
    </row>
    <row r="882" spans="1:11" s="5" customFormat="1" ht="15" customHeight="1" x14ac:dyDescent="0.2">
      <c r="A882" s="13"/>
      <c r="B882" s="14" t="str">
        <f>IF(A882="","",_xlfn.XLOOKUP(A882,'DISPATCH SHEET'!B$3:B$121,'DISPATCH SHEET'!C$3:C$121,""))</f>
        <v/>
      </c>
      <c r="C882" s="14" t="str">
        <f>IF(ISBLANK(A882),"",_xlfn.XLOOKUP(A882,'DISPATCH SHEET'!B$3:B$121,'DISPATCH SHEET'!#REF!,""))</f>
        <v/>
      </c>
      <c r="D882" s="14"/>
      <c r="E882" s="15"/>
      <c r="F882" s="16"/>
      <c r="G882" s="17" t="s">
        <v>0</v>
      </c>
      <c r="H882" s="15"/>
      <c r="I882" s="14" t="s">
        <v>0</v>
      </c>
      <c r="J882" s="14"/>
      <c r="K882" s="18"/>
    </row>
    <row r="883" spans="1:11" s="5" customFormat="1" ht="15" customHeight="1" x14ac:dyDescent="0.2">
      <c r="A883" s="13"/>
      <c r="B883" s="14" t="str">
        <f>IF(A883="","",_xlfn.XLOOKUP(A883,'DISPATCH SHEET'!B$3:B$121,'DISPATCH SHEET'!C$3:C$121,""))</f>
        <v/>
      </c>
      <c r="C883" s="14" t="str">
        <f>IF(ISBLANK(A883),"",_xlfn.XLOOKUP(A883,'DISPATCH SHEET'!B$3:B$121,'DISPATCH SHEET'!#REF!,""))</f>
        <v/>
      </c>
      <c r="D883" s="14"/>
      <c r="E883" s="15"/>
      <c r="F883" s="16"/>
      <c r="G883" s="17" t="s">
        <v>0</v>
      </c>
      <c r="H883" s="15"/>
      <c r="I883" s="14" t="s">
        <v>0</v>
      </c>
      <c r="J883" s="14"/>
      <c r="K883" s="18"/>
    </row>
    <row r="884" spans="1:11" s="5" customFormat="1" ht="15" customHeight="1" x14ac:dyDescent="0.2">
      <c r="A884" s="13"/>
      <c r="B884" s="14" t="str">
        <f>IF(A884="","",_xlfn.XLOOKUP(A884,'DISPATCH SHEET'!B$3:B$121,'DISPATCH SHEET'!C$3:C$121,""))</f>
        <v/>
      </c>
      <c r="C884" s="14" t="str">
        <f>IF(ISBLANK(A884),"",_xlfn.XLOOKUP(A884,'DISPATCH SHEET'!B$3:B$121,'DISPATCH SHEET'!#REF!,""))</f>
        <v/>
      </c>
      <c r="D884" s="14"/>
      <c r="E884" s="15"/>
      <c r="F884" s="16"/>
      <c r="G884" s="17" t="s">
        <v>0</v>
      </c>
      <c r="H884" s="15"/>
      <c r="I884" s="14" t="s">
        <v>0</v>
      </c>
      <c r="J884" s="14"/>
      <c r="K884" s="18"/>
    </row>
    <row r="885" spans="1:11" s="5" customFormat="1" ht="15" customHeight="1" x14ac:dyDescent="0.2">
      <c r="A885" s="13"/>
      <c r="B885" s="14" t="str">
        <f>IF(A885="","",_xlfn.XLOOKUP(A885,'DISPATCH SHEET'!B$3:B$121,'DISPATCH SHEET'!C$3:C$121,""))</f>
        <v/>
      </c>
      <c r="C885" s="14" t="str">
        <f>IF(ISBLANK(A885),"",_xlfn.XLOOKUP(A885,'DISPATCH SHEET'!B$3:B$121,'DISPATCH SHEET'!#REF!,""))</f>
        <v/>
      </c>
      <c r="D885" s="14"/>
      <c r="E885" s="15"/>
      <c r="F885" s="16"/>
      <c r="G885" s="17" t="s">
        <v>0</v>
      </c>
      <c r="H885" s="15"/>
      <c r="I885" s="14" t="s">
        <v>0</v>
      </c>
      <c r="J885" s="14"/>
      <c r="K885" s="18"/>
    </row>
    <row r="886" spans="1:11" s="5" customFormat="1" ht="15" customHeight="1" x14ac:dyDescent="0.2">
      <c r="A886" s="13"/>
      <c r="B886" s="14" t="str">
        <f>IF(A886="","",_xlfn.XLOOKUP(A886,'DISPATCH SHEET'!B$3:B$121,'DISPATCH SHEET'!C$3:C$121,""))</f>
        <v/>
      </c>
      <c r="C886" s="14" t="str">
        <f>IF(ISBLANK(A886),"",_xlfn.XLOOKUP(A886,'DISPATCH SHEET'!B$3:B$121,'DISPATCH SHEET'!#REF!,""))</f>
        <v/>
      </c>
      <c r="D886" s="14"/>
      <c r="E886" s="15"/>
      <c r="F886" s="16"/>
      <c r="G886" s="17" t="s">
        <v>0</v>
      </c>
      <c r="H886" s="15"/>
      <c r="I886" s="14" t="s">
        <v>0</v>
      </c>
      <c r="J886" s="14"/>
      <c r="K886" s="18"/>
    </row>
    <row r="887" spans="1:11" s="5" customFormat="1" ht="15" customHeight="1" x14ac:dyDescent="0.2">
      <c r="A887" s="13"/>
      <c r="B887" s="14" t="str">
        <f>IF(A887="","",_xlfn.XLOOKUP(A887,'DISPATCH SHEET'!B$3:B$121,'DISPATCH SHEET'!C$3:C$121,""))</f>
        <v/>
      </c>
      <c r="C887" s="14" t="str">
        <f>IF(ISBLANK(A887),"",_xlfn.XLOOKUP(A887,'DISPATCH SHEET'!B$3:B$121,'DISPATCH SHEET'!#REF!,""))</f>
        <v/>
      </c>
      <c r="D887" s="14"/>
      <c r="E887" s="15"/>
      <c r="F887" s="16"/>
      <c r="G887" s="17" t="s">
        <v>0</v>
      </c>
      <c r="H887" s="15"/>
      <c r="I887" s="14" t="s">
        <v>0</v>
      </c>
      <c r="J887" s="14"/>
      <c r="K887" s="18"/>
    </row>
    <row r="888" spans="1:11" s="5" customFormat="1" ht="15" customHeight="1" x14ac:dyDescent="0.2">
      <c r="A888" s="13"/>
      <c r="B888" s="14" t="str">
        <f>IF(A888="","",_xlfn.XLOOKUP(A888,'DISPATCH SHEET'!B$3:B$121,'DISPATCH SHEET'!C$3:C$121,""))</f>
        <v/>
      </c>
      <c r="C888" s="14" t="str">
        <f>IF(ISBLANK(A888),"",_xlfn.XLOOKUP(A888,'DISPATCH SHEET'!B$3:B$121,'DISPATCH SHEET'!#REF!,""))</f>
        <v/>
      </c>
      <c r="D888" s="14"/>
      <c r="E888" s="15"/>
      <c r="F888" s="16"/>
      <c r="G888" s="17" t="s">
        <v>0</v>
      </c>
      <c r="H888" s="15"/>
      <c r="I888" s="14" t="s">
        <v>0</v>
      </c>
      <c r="J888" s="14"/>
      <c r="K888" s="18"/>
    </row>
    <row r="889" spans="1:11" s="5" customFormat="1" ht="15" customHeight="1" x14ac:dyDescent="0.2">
      <c r="A889" s="13"/>
      <c r="B889" s="14" t="str">
        <f>IF(A889="","",_xlfn.XLOOKUP(A889,'DISPATCH SHEET'!B$3:B$121,'DISPATCH SHEET'!C$3:C$121,""))</f>
        <v/>
      </c>
      <c r="C889" s="14" t="str">
        <f>IF(ISBLANK(A889),"",_xlfn.XLOOKUP(A889,'DISPATCH SHEET'!B$3:B$121,'DISPATCH SHEET'!#REF!,""))</f>
        <v/>
      </c>
      <c r="D889" s="14"/>
      <c r="E889" s="15"/>
      <c r="F889" s="16"/>
      <c r="G889" s="17" t="s">
        <v>0</v>
      </c>
      <c r="H889" s="15"/>
      <c r="I889" s="14" t="s">
        <v>0</v>
      </c>
      <c r="J889" s="14"/>
      <c r="K889" s="18"/>
    </row>
    <row r="890" spans="1:11" s="5" customFormat="1" ht="15" customHeight="1" x14ac:dyDescent="0.2">
      <c r="A890" s="13"/>
      <c r="B890" s="14" t="str">
        <f>IF(A890="","",_xlfn.XLOOKUP(A890,'DISPATCH SHEET'!B$3:B$121,'DISPATCH SHEET'!C$3:C$121,""))</f>
        <v/>
      </c>
      <c r="C890" s="14" t="str">
        <f>IF(ISBLANK(A890),"",_xlfn.XLOOKUP(A890,'DISPATCH SHEET'!B$3:B$121,'DISPATCH SHEET'!#REF!,""))</f>
        <v/>
      </c>
      <c r="D890" s="14"/>
      <c r="E890" s="15"/>
      <c r="F890" s="16"/>
      <c r="G890" s="17" t="s">
        <v>0</v>
      </c>
      <c r="H890" s="15"/>
      <c r="I890" s="14" t="s">
        <v>0</v>
      </c>
      <c r="J890" s="14"/>
      <c r="K890" s="18"/>
    </row>
    <row r="891" spans="1:11" s="5" customFormat="1" ht="15" customHeight="1" x14ac:dyDescent="0.2">
      <c r="A891" s="13"/>
      <c r="B891" s="14" t="str">
        <f>IF(A891="","",_xlfn.XLOOKUP(A891,'DISPATCH SHEET'!B$3:B$121,'DISPATCH SHEET'!C$3:C$121,""))</f>
        <v/>
      </c>
      <c r="C891" s="14" t="str">
        <f>IF(ISBLANK(A891),"",_xlfn.XLOOKUP(A891,'DISPATCH SHEET'!B$3:B$121,'DISPATCH SHEET'!#REF!,""))</f>
        <v/>
      </c>
      <c r="D891" s="14"/>
      <c r="E891" s="15"/>
      <c r="F891" s="16"/>
      <c r="G891" s="17" t="s">
        <v>0</v>
      </c>
      <c r="H891" s="15"/>
      <c r="I891" s="14" t="s">
        <v>0</v>
      </c>
      <c r="J891" s="14"/>
      <c r="K891" s="18"/>
    </row>
    <row r="892" spans="1:11" s="5" customFormat="1" ht="15" customHeight="1" x14ac:dyDescent="0.2">
      <c r="A892" s="13"/>
      <c r="B892" s="14" t="str">
        <f>IF(A892="","",_xlfn.XLOOKUP(A892,'DISPATCH SHEET'!B$3:B$121,'DISPATCH SHEET'!C$3:C$121,""))</f>
        <v/>
      </c>
      <c r="C892" s="14" t="str">
        <f>IF(ISBLANK(A892),"",_xlfn.XLOOKUP(A892,'DISPATCH SHEET'!B$3:B$121,'DISPATCH SHEET'!#REF!,""))</f>
        <v/>
      </c>
      <c r="D892" s="14"/>
      <c r="E892" s="15"/>
      <c r="F892" s="16"/>
      <c r="G892" s="17" t="s">
        <v>0</v>
      </c>
      <c r="H892" s="15"/>
      <c r="I892" s="14" t="s">
        <v>0</v>
      </c>
      <c r="J892" s="14"/>
      <c r="K892" s="18"/>
    </row>
    <row r="893" spans="1:11" s="5" customFormat="1" ht="15" customHeight="1" x14ac:dyDescent="0.2">
      <c r="A893" s="13"/>
      <c r="B893" s="14" t="str">
        <f>IF(A893="","",_xlfn.XLOOKUP(A893,'DISPATCH SHEET'!B$3:B$121,'DISPATCH SHEET'!C$3:C$121,""))</f>
        <v/>
      </c>
      <c r="C893" s="14" t="str">
        <f>IF(ISBLANK(A893),"",_xlfn.XLOOKUP(A893,'DISPATCH SHEET'!B$3:B$121,'DISPATCH SHEET'!#REF!,""))</f>
        <v/>
      </c>
      <c r="D893" s="14"/>
      <c r="E893" s="15"/>
      <c r="F893" s="16"/>
      <c r="G893" s="17" t="s">
        <v>0</v>
      </c>
      <c r="H893" s="15"/>
      <c r="I893" s="14" t="s">
        <v>0</v>
      </c>
      <c r="J893" s="14"/>
      <c r="K893" s="18"/>
    </row>
    <row r="894" spans="1:11" s="5" customFormat="1" ht="15" customHeight="1" x14ac:dyDescent="0.2">
      <c r="A894" s="13"/>
      <c r="B894" s="14" t="str">
        <f>IF(A894="","",_xlfn.XLOOKUP(A894,'DISPATCH SHEET'!B$3:B$121,'DISPATCH SHEET'!C$3:C$121,""))</f>
        <v/>
      </c>
      <c r="C894" s="14" t="str">
        <f>IF(ISBLANK(A894),"",_xlfn.XLOOKUP(A894,'DISPATCH SHEET'!B$3:B$121,'DISPATCH SHEET'!#REF!,""))</f>
        <v/>
      </c>
      <c r="D894" s="14"/>
      <c r="E894" s="15"/>
      <c r="F894" s="16"/>
      <c r="G894" s="17" t="s">
        <v>0</v>
      </c>
      <c r="H894" s="15"/>
      <c r="I894" s="14" t="s">
        <v>0</v>
      </c>
      <c r="J894" s="14"/>
      <c r="K894" s="18"/>
    </row>
    <row r="895" spans="1:11" s="5" customFormat="1" ht="15" customHeight="1" x14ac:dyDescent="0.2">
      <c r="A895" s="13"/>
      <c r="B895" s="14" t="str">
        <f>IF(A895="","",_xlfn.XLOOKUP(A895,'DISPATCH SHEET'!B$3:B$121,'DISPATCH SHEET'!C$3:C$121,""))</f>
        <v/>
      </c>
      <c r="C895" s="14" t="str">
        <f>IF(ISBLANK(A895),"",_xlfn.XLOOKUP(A895,'DISPATCH SHEET'!B$3:B$121,'DISPATCH SHEET'!#REF!,""))</f>
        <v/>
      </c>
      <c r="D895" s="14"/>
      <c r="E895" s="15"/>
      <c r="F895" s="16"/>
      <c r="G895" s="17" t="s">
        <v>0</v>
      </c>
      <c r="H895" s="15"/>
      <c r="I895" s="14" t="s">
        <v>0</v>
      </c>
      <c r="J895" s="14"/>
      <c r="K895" s="18"/>
    </row>
    <row r="896" spans="1:11" s="5" customFormat="1" ht="15" customHeight="1" x14ac:dyDescent="0.2">
      <c r="A896" s="13"/>
      <c r="B896" s="14" t="str">
        <f>IF(A896="","",_xlfn.XLOOKUP(A896,'DISPATCH SHEET'!B$3:B$121,'DISPATCH SHEET'!C$3:C$121,""))</f>
        <v/>
      </c>
      <c r="C896" s="14" t="str">
        <f>IF(ISBLANK(A896),"",_xlfn.XLOOKUP(A896,'DISPATCH SHEET'!B$3:B$121,'DISPATCH SHEET'!#REF!,""))</f>
        <v/>
      </c>
      <c r="D896" s="14"/>
      <c r="E896" s="15"/>
      <c r="F896" s="16"/>
      <c r="G896" s="17" t="s">
        <v>0</v>
      </c>
      <c r="H896" s="15"/>
      <c r="I896" s="14" t="s">
        <v>0</v>
      </c>
      <c r="J896" s="14"/>
      <c r="K896" s="18"/>
    </row>
    <row r="897" spans="1:11" s="5" customFormat="1" ht="15" customHeight="1" x14ac:dyDescent="0.2">
      <c r="A897" s="13"/>
      <c r="B897" s="14" t="str">
        <f>IF(A897="","",_xlfn.XLOOKUP(A897,'DISPATCH SHEET'!B$3:B$121,'DISPATCH SHEET'!C$3:C$121,""))</f>
        <v/>
      </c>
      <c r="C897" s="14" t="str">
        <f>IF(ISBLANK(A897),"",_xlfn.XLOOKUP(A897,'DISPATCH SHEET'!B$3:B$121,'DISPATCH SHEET'!#REF!,""))</f>
        <v/>
      </c>
      <c r="D897" s="14"/>
      <c r="E897" s="15"/>
      <c r="F897" s="16"/>
      <c r="G897" s="17" t="s">
        <v>0</v>
      </c>
      <c r="H897" s="15"/>
      <c r="I897" s="14" t="s">
        <v>0</v>
      </c>
      <c r="J897" s="14"/>
      <c r="K897" s="18"/>
    </row>
    <row r="898" spans="1:11" s="5" customFormat="1" ht="15" customHeight="1" x14ac:dyDescent="0.2">
      <c r="A898" s="13"/>
      <c r="B898" s="14" t="str">
        <f>IF(A898="","",_xlfn.XLOOKUP(A898,'DISPATCH SHEET'!B$3:B$121,'DISPATCH SHEET'!C$3:C$121,""))</f>
        <v/>
      </c>
      <c r="C898" s="14" t="str">
        <f>IF(ISBLANK(A898),"",_xlfn.XLOOKUP(A898,'DISPATCH SHEET'!B$3:B$121,'DISPATCH SHEET'!#REF!,""))</f>
        <v/>
      </c>
      <c r="D898" s="14"/>
      <c r="E898" s="15"/>
      <c r="F898" s="16"/>
      <c r="G898" s="17" t="s">
        <v>0</v>
      </c>
      <c r="H898" s="15"/>
      <c r="I898" s="14" t="s">
        <v>0</v>
      </c>
      <c r="J898" s="14"/>
      <c r="K898" s="18"/>
    </row>
    <row r="899" spans="1:11" s="5" customFormat="1" ht="15" customHeight="1" x14ac:dyDescent="0.2">
      <c r="A899" s="13"/>
      <c r="B899" s="14" t="str">
        <f>IF(A899="","",_xlfn.XLOOKUP(A899,'DISPATCH SHEET'!B$3:B$121,'DISPATCH SHEET'!C$3:C$121,""))</f>
        <v/>
      </c>
      <c r="C899" s="14" t="str">
        <f>IF(ISBLANK(A899),"",_xlfn.XLOOKUP(A899,'DISPATCH SHEET'!B$3:B$121,'DISPATCH SHEET'!#REF!,""))</f>
        <v/>
      </c>
      <c r="D899" s="14"/>
      <c r="E899" s="15"/>
      <c r="F899" s="16"/>
      <c r="G899" s="17" t="s">
        <v>0</v>
      </c>
      <c r="H899" s="15"/>
      <c r="I899" s="14" t="s">
        <v>0</v>
      </c>
      <c r="J899" s="14"/>
      <c r="K899" s="18"/>
    </row>
    <row r="900" spans="1:11" s="5" customFormat="1" ht="15" customHeight="1" x14ac:dyDescent="0.2">
      <c r="A900" s="13"/>
      <c r="B900" s="14" t="str">
        <f>IF(A900="","",_xlfn.XLOOKUP(A900,'DISPATCH SHEET'!B$3:B$121,'DISPATCH SHEET'!C$3:C$121,""))</f>
        <v/>
      </c>
      <c r="C900" s="14" t="str">
        <f>IF(ISBLANK(A900),"",_xlfn.XLOOKUP(A900,'DISPATCH SHEET'!B$3:B$121,'DISPATCH SHEET'!#REF!,""))</f>
        <v/>
      </c>
      <c r="D900" s="14"/>
      <c r="E900" s="15"/>
      <c r="F900" s="16"/>
      <c r="G900" s="17" t="s">
        <v>0</v>
      </c>
      <c r="H900" s="15"/>
      <c r="I900" s="14" t="s">
        <v>0</v>
      </c>
      <c r="J900" s="14"/>
      <c r="K900" s="18"/>
    </row>
    <row r="901" spans="1:11" s="5" customFormat="1" ht="15" customHeight="1" x14ac:dyDescent="0.2">
      <c r="A901" s="13"/>
      <c r="B901" s="14" t="str">
        <f>IF(A901="","",_xlfn.XLOOKUP(A901,'DISPATCH SHEET'!B$3:B$121,'DISPATCH SHEET'!C$3:C$121,""))</f>
        <v/>
      </c>
      <c r="C901" s="14" t="str">
        <f>IF(ISBLANK(A901),"",_xlfn.XLOOKUP(A901,'DISPATCH SHEET'!B$3:B$121,'DISPATCH SHEET'!#REF!,""))</f>
        <v/>
      </c>
      <c r="D901" s="14"/>
      <c r="E901" s="15"/>
      <c r="F901" s="16"/>
      <c r="G901" s="17" t="s">
        <v>0</v>
      </c>
      <c r="H901" s="15"/>
      <c r="I901" s="14" t="s">
        <v>0</v>
      </c>
      <c r="J901" s="14"/>
      <c r="K901" s="18"/>
    </row>
    <row r="902" spans="1:11" s="5" customFormat="1" ht="15" customHeight="1" x14ac:dyDescent="0.2">
      <c r="A902" s="13"/>
      <c r="B902" s="14" t="str">
        <f>IF(A902="","",_xlfn.XLOOKUP(A902,'DISPATCH SHEET'!B$3:B$121,'DISPATCH SHEET'!C$3:C$121,""))</f>
        <v/>
      </c>
      <c r="C902" s="14" t="str">
        <f>IF(ISBLANK(A902),"",_xlfn.XLOOKUP(A902,'DISPATCH SHEET'!B$3:B$121,'DISPATCH SHEET'!#REF!,""))</f>
        <v/>
      </c>
      <c r="D902" s="14"/>
      <c r="E902" s="15"/>
      <c r="F902" s="16"/>
      <c r="G902" s="17" t="s">
        <v>0</v>
      </c>
      <c r="H902" s="15"/>
      <c r="I902" s="14" t="s">
        <v>0</v>
      </c>
      <c r="J902" s="14"/>
      <c r="K902" s="18"/>
    </row>
    <row r="903" spans="1:11" s="5" customFormat="1" ht="15" customHeight="1" x14ac:dyDescent="0.2">
      <c r="A903" s="13"/>
      <c r="B903" s="14" t="str">
        <f>IF(A903="","",_xlfn.XLOOKUP(A903,'DISPATCH SHEET'!B$3:B$121,'DISPATCH SHEET'!C$3:C$121,""))</f>
        <v/>
      </c>
      <c r="C903" s="14" t="str">
        <f>IF(ISBLANK(A903),"",_xlfn.XLOOKUP(A903,'DISPATCH SHEET'!B$3:B$121,'DISPATCH SHEET'!#REF!,""))</f>
        <v/>
      </c>
      <c r="D903" s="14"/>
      <c r="E903" s="15"/>
      <c r="F903" s="16"/>
      <c r="G903" s="17" t="s">
        <v>0</v>
      </c>
      <c r="H903" s="15"/>
      <c r="I903" s="14" t="s">
        <v>0</v>
      </c>
      <c r="J903" s="14"/>
      <c r="K903" s="18"/>
    </row>
    <row r="904" spans="1:11" s="5" customFormat="1" ht="15" customHeight="1" x14ac:dyDescent="0.2">
      <c r="A904" s="13"/>
      <c r="B904" s="14" t="str">
        <f>IF(A904="","",_xlfn.XLOOKUP(A904,'DISPATCH SHEET'!B$3:B$121,'DISPATCH SHEET'!C$3:C$121,""))</f>
        <v/>
      </c>
      <c r="C904" s="14" t="str">
        <f>IF(ISBLANK(A904),"",_xlfn.XLOOKUP(A904,'DISPATCH SHEET'!B$3:B$121,'DISPATCH SHEET'!#REF!,""))</f>
        <v/>
      </c>
      <c r="D904" s="14"/>
      <c r="E904" s="15"/>
      <c r="F904" s="16"/>
      <c r="G904" s="17" t="s">
        <v>0</v>
      </c>
      <c r="H904" s="15"/>
      <c r="I904" s="14" t="s">
        <v>0</v>
      </c>
      <c r="J904" s="14"/>
      <c r="K904" s="18"/>
    </row>
    <row r="905" spans="1:11" s="5" customFormat="1" ht="15" customHeight="1" x14ac:dyDescent="0.2">
      <c r="A905" s="13"/>
      <c r="B905" s="14" t="str">
        <f>IF(A905="","",_xlfn.XLOOKUP(A905,'DISPATCH SHEET'!B$3:B$121,'DISPATCH SHEET'!C$3:C$121,""))</f>
        <v/>
      </c>
      <c r="C905" s="14" t="str">
        <f>IF(ISBLANK(A905),"",_xlfn.XLOOKUP(A905,'DISPATCH SHEET'!B$3:B$121,'DISPATCH SHEET'!#REF!,""))</f>
        <v/>
      </c>
      <c r="D905" s="14"/>
      <c r="E905" s="15"/>
      <c r="F905" s="16"/>
      <c r="G905" s="17" t="s">
        <v>0</v>
      </c>
      <c r="H905" s="15"/>
      <c r="I905" s="14" t="s">
        <v>0</v>
      </c>
      <c r="J905" s="14"/>
      <c r="K905" s="18"/>
    </row>
    <row r="906" spans="1:11" s="5" customFormat="1" ht="15" customHeight="1" x14ac:dyDescent="0.2">
      <c r="A906" s="13"/>
      <c r="B906" s="14" t="str">
        <f>IF(A906="","",_xlfn.XLOOKUP(A906,'DISPATCH SHEET'!B$3:B$121,'DISPATCH SHEET'!C$3:C$121,""))</f>
        <v/>
      </c>
      <c r="C906" s="14" t="str">
        <f>IF(ISBLANK(A906),"",_xlfn.XLOOKUP(A906,'DISPATCH SHEET'!B$3:B$121,'DISPATCH SHEET'!#REF!,""))</f>
        <v/>
      </c>
      <c r="D906" s="14"/>
      <c r="E906" s="15"/>
      <c r="F906" s="16"/>
      <c r="G906" s="17" t="s">
        <v>0</v>
      </c>
      <c r="H906" s="15"/>
      <c r="I906" s="14" t="s">
        <v>0</v>
      </c>
      <c r="J906" s="14"/>
      <c r="K906" s="18"/>
    </row>
    <row r="907" spans="1:11" s="5" customFormat="1" ht="15" customHeight="1" x14ac:dyDescent="0.2">
      <c r="A907" s="13"/>
      <c r="B907" s="14" t="str">
        <f>IF(A907="","",_xlfn.XLOOKUP(A907,'DISPATCH SHEET'!B$3:B$121,'DISPATCH SHEET'!C$3:C$121,""))</f>
        <v/>
      </c>
      <c r="C907" s="14" t="str">
        <f>IF(ISBLANK(A907),"",_xlfn.XLOOKUP(A907,'DISPATCH SHEET'!B$3:B$121,'DISPATCH SHEET'!#REF!,""))</f>
        <v/>
      </c>
      <c r="D907" s="14"/>
      <c r="E907" s="15"/>
      <c r="F907" s="16"/>
      <c r="G907" s="17" t="s">
        <v>0</v>
      </c>
      <c r="H907" s="15"/>
      <c r="I907" s="14" t="s">
        <v>0</v>
      </c>
      <c r="J907" s="14"/>
      <c r="K907" s="18"/>
    </row>
    <row r="908" spans="1:11" s="5" customFormat="1" ht="15" customHeight="1" x14ac:dyDescent="0.2">
      <c r="A908" s="13"/>
      <c r="B908" s="14" t="str">
        <f>IF(A908="","",_xlfn.XLOOKUP(A908,'DISPATCH SHEET'!B$3:B$121,'DISPATCH SHEET'!C$3:C$121,""))</f>
        <v/>
      </c>
      <c r="C908" s="14" t="str">
        <f>IF(ISBLANK(A908),"",_xlfn.XLOOKUP(A908,'DISPATCH SHEET'!B$3:B$121,'DISPATCH SHEET'!#REF!,""))</f>
        <v/>
      </c>
      <c r="D908" s="14"/>
      <c r="E908" s="15"/>
      <c r="F908" s="16"/>
      <c r="G908" s="17" t="s">
        <v>0</v>
      </c>
      <c r="H908" s="15"/>
      <c r="I908" s="14" t="s">
        <v>0</v>
      </c>
      <c r="J908" s="14"/>
      <c r="K908" s="18"/>
    </row>
    <row r="909" spans="1:11" s="5" customFormat="1" ht="15" customHeight="1" x14ac:dyDescent="0.2">
      <c r="A909" s="13"/>
      <c r="B909" s="14" t="str">
        <f>IF(A909="","",_xlfn.XLOOKUP(A909,'DISPATCH SHEET'!B$3:B$121,'DISPATCH SHEET'!C$3:C$121,""))</f>
        <v/>
      </c>
      <c r="C909" s="14" t="str">
        <f>IF(ISBLANK(A909),"",_xlfn.XLOOKUP(A909,'DISPATCH SHEET'!B$3:B$121,'DISPATCH SHEET'!#REF!,""))</f>
        <v/>
      </c>
      <c r="D909" s="14"/>
      <c r="E909" s="15"/>
      <c r="F909" s="16"/>
      <c r="G909" s="17" t="s">
        <v>0</v>
      </c>
      <c r="H909" s="15"/>
      <c r="I909" s="14" t="s">
        <v>0</v>
      </c>
      <c r="J909" s="14"/>
      <c r="K909" s="18"/>
    </row>
    <row r="910" spans="1:11" s="5" customFormat="1" ht="15" customHeight="1" x14ac:dyDescent="0.2">
      <c r="A910" s="13"/>
      <c r="B910" s="14" t="str">
        <f>IF(A910="","",_xlfn.XLOOKUP(A910,'DISPATCH SHEET'!B$3:B$121,'DISPATCH SHEET'!C$3:C$121,""))</f>
        <v/>
      </c>
      <c r="C910" s="14" t="str">
        <f>IF(ISBLANK(A910),"",_xlfn.XLOOKUP(A910,'DISPATCH SHEET'!B$3:B$121,'DISPATCH SHEET'!#REF!,""))</f>
        <v/>
      </c>
      <c r="D910" s="14"/>
      <c r="E910" s="15"/>
      <c r="F910" s="16"/>
      <c r="G910" s="17" t="s">
        <v>0</v>
      </c>
      <c r="H910" s="15"/>
      <c r="I910" s="14" t="s">
        <v>0</v>
      </c>
      <c r="J910" s="14"/>
      <c r="K910" s="18"/>
    </row>
    <row r="911" spans="1:11" s="5" customFormat="1" ht="15" customHeight="1" x14ac:dyDescent="0.2">
      <c r="A911" s="13"/>
      <c r="B911" s="14" t="str">
        <f>IF(A911="","",_xlfn.XLOOKUP(A911,'DISPATCH SHEET'!B$3:B$121,'DISPATCH SHEET'!C$3:C$121,""))</f>
        <v/>
      </c>
      <c r="C911" s="14" t="str">
        <f>IF(ISBLANK(A911),"",_xlfn.XLOOKUP(A911,'DISPATCH SHEET'!B$3:B$121,'DISPATCH SHEET'!#REF!,""))</f>
        <v/>
      </c>
      <c r="D911" s="14"/>
      <c r="E911" s="15"/>
      <c r="F911" s="16"/>
      <c r="G911" s="17" t="s">
        <v>0</v>
      </c>
      <c r="H911" s="15"/>
      <c r="I911" s="14" t="s">
        <v>0</v>
      </c>
      <c r="J911" s="14"/>
      <c r="K911" s="18"/>
    </row>
    <row r="912" spans="1:11" s="5" customFormat="1" ht="15" customHeight="1" x14ac:dyDescent="0.2">
      <c r="A912" s="13"/>
      <c r="B912" s="14" t="str">
        <f>IF(A912="","",_xlfn.XLOOKUP(A912,'DISPATCH SHEET'!B$3:B$121,'DISPATCH SHEET'!C$3:C$121,""))</f>
        <v/>
      </c>
      <c r="C912" s="14" t="str">
        <f>IF(ISBLANK(A912),"",_xlfn.XLOOKUP(A912,'DISPATCH SHEET'!B$3:B$121,'DISPATCH SHEET'!#REF!,""))</f>
        <v/>
      </c>
      <c r="D912" s="14"/>
      <c r="E912" s="15"/>
      <c r="F912" s="16"/>
      <c r="G912" s="17" t="s">
        <v>0</v>
      </c>
      <c r="H912" s="15"/>
      <c r="I912" s="14" t="s">
        <v>0</v>
      </c>
      <c r="J912" s="14"/>
      <c r="K912" s="18"/>
    </row>
    <row r="913" spans="1:11" s="5" customFormat="1" ht="15" customHeight="1" x14ac:dyDescent="0.2">
      <c r="A913" s="13"/>
      <c r="B913" s="14" t="str">
        <f>IF(A913="","",_xlfn.XLOOKUP(A913,'DISPATCH SHEET'!B$3:B$121,'DISPATCH SHEET'!C$3:C$121,""))</f>
        <v/>
      </c>
      <c r="C913" s="14" t="str">
        <f>IF(ISBLANK(A913),"",_xlfn.XLOOKUP(A913,'DISPATCH SHEET'!B$3:B$121,'DISPATCH SHEET'!#REF!,""))</f>
        <v/>
      </c>
      <c r="D913" s="14"/>
      <c r="E913" s="15"/>
      <c r="F913" s="16"/>
      <c r="G913" s="17" t="s">
        <v>0</v>
      </c>
      <c r="H913" s="15"/>
      <c r="I913" s="14" t="s">
        <v>0</v>
      </c>
      <c r="J913" s="14"/>
      <c r="K913" s="18"/>
    </row>
    <row r="914" spans="1:11" s="5" customFormat="1" ht="15" customHeight="1" x14ac:dyDescent="0.2">
      <c r="A914" s="13"/>
      <c r="B914" s="14" t="str">
        <f>IF(A914="","",_xlfn.XLOOKUP(A914,'DISPATCH SHEET'!B$3:B$121,'DISPATCH SHEET'!C$3:C$121,""))</f>
        <v/>
      </c>
      <c r="C914" s="14" t="str">
        <f>IF(ISBLANK(A914),"",_xlfn.XLOOKUP(A914,'DISPATCH SHEET'!B$3:B$121,'DISPATCH SHEET'!#REF!,""))</f>
        <v/>
      </c>
      <c r="D914" s="14"/>
      <c r="E914" s="15"/>
      <c r="F914" s="16"/>
      <c r="G914" s="17" t="s">
        <v>0</v>
      </c>
      <c r="H914" s="15"/>
      <c r="I914" s="14" t="s">
        <v>0</v>
      </c>
      <c r="J914" s="14"/>
      <c r="K914" s="18"/>
    </row>
    <row r="915" spans="1:11" s="5" customFormat="1" ht="15" customHeight="1" x14ac:dyDescent="0.2">
      <c r="A915" s="13"/>
      <c r="B915" s="14" t="str">
        <f>IF(A915="","",_xlfn.XLOOKUP(A915,'DISPATCH SHEET'!B$3:B$121,'DISPATCH SHEET'!C$3:C$121,""))</f>
        <v/>
      </c>
      <c r="C915" s="14" t="str">
        <f>IF(ISBLANK(A915),"",_xlfn.XLOOKUP(A915,'DISPATCH SHEET'!B$3:B$121,'DISPATCH SHEET'!#REF!,""))</f>
        <v/>
      </c>
      <c r="D915" s="14"/>
      <c r="E915" s="15"/>
      <c r="F915" s="16"/>
      <c r="G915" s="17" t="s">
        <v>0</v>
      </c>
      <c r="H915" s="15"/>
      <c r="I915" s="14" t="s">
        <v>0</v>
      </c>
      <c r="J915" s="14"/>
      <c r="K915" s="18"/>
    </row>
    <row r="916" spans="1:11" s="5" customFormat="1" ht="15" customHeight="1" x14ac:dyDescent="0.2">
      <c r="A916" s="13"/>
      <c r="B916" s="14" t="str">
        <f>IF(A916="","",_xlfn.XLOOKUP(A916,'DISPATCH SHEET'!B$3:B$121,'DISPATCH SHEET'!C$3:C$121,""))</f>
        <v/>
      </c>
      <c r="C916" s="14" t="str">
        <f>IF(ISBLANK(A916),"",_xlfn.XLOOKUP(A916,'DISPATCH SHEET'!B$3:B$121,'DISPATCH SHEET'!#REF!,""))</f>
        <v/>
      </c>
      <c r="D916" s="14"/>
      <c r="E916" s="15"/>
      <c r="F916" s="16"/>
      <c r="G916" s="17" t="s">
        <v>0</v>
      </c>
      <c r="H916" s="15"/>
      <c r="I916" s="14" t="s">
        <v>0</v>
      </c>
      <c r="J916" s="14"/>
      <c r="K916" s="18"/>
    </row>
    <row r="917" spans="1:11" s="5" customFormat="1" ht="15" customHeight="1" x14ac:dyDescent="0.2">
      <c r="A917" s="13"/>
      <c r="B917" s="14" t="str">
        <f>IF(A917="","",_xlfn.XLOOKUP(A917,'DISPATCH SHEET'!B$3:B$121,'DISPATCH SHEET'!C$3:C$121,""))</f>
        <v/>
      </c>
      <c r="C917" s="14" t="str">
        <f>IF(ISBLANK(A917),"",_xlfn.XLOOKUP(A917,'DISPATCH SHEET'!B$3:B$121,'DISPATCH SHEET'!#REF!,""))</f>
        <v/>
      </c>
      <c r="D917" s="14"/>
      <c r="E917" s="15"/>
      <c r="F917" s="16"/>
      <c r="G917" s="17" t="s">
        <v>0</v>
      </c>
      <c r="H917" s="15"/>
      <c r="I917" s="14" t="s">
        <v>0</v>
      </c>
      <c r="J917" s="14"/>
      <c r="K917" s="18"/>
    </row>
    <row r="918" spans="1:11" s="5" customFormat="1" ht="15" customHeight="1" x14ac:dyDescent="0.2">
      <c r="A918" s="13"/>
      <c r="B918" s="14" t="str">
        <f>IF(A918="","",_xlfn.XLOOKUP(A918,'DISPATCH SHEET'!B$3:B$121,'DISPATCH SHEET'!C$3:C$121,""))</f>
        <v/>
      </c>
      <c r="C918" s="14" t="str">
        <f>IF(ISBLANK(A918),"",_xlfn.XLOOKUP(A918,'DISPATCH SHEET'!B$3:B$121,'DISPATCH SHEET'!#REF!,""))</f>
        <v/>
      </c>
      <c r="D918" s="14"/>
      <c r="E918" s="15"/>
      <c r="F918" s="16"/>
      <c r="G918" s="17" t="s">
        <v>0</v>
      </c>
      <c r="H918" s="15"/>
      <c r="I918" s="14" t="s">
        <v>0</v>
      </c>
      <c r="J918" s="14"/>
      <c r="K918" s="18"/>
    </row>
    <row r="919" spans="1:11" s="5" customFormat="1" ht="15" customHeight="1" x14ac:dyDescent="0.2">
      <c r="A919" s="13"/>
      <c r="B919" s="14" t="str">
        <f>IF(A919="","",_xlfn.XLOOKUP(A919,'DISPATCH SHEET'!B$3:B$121,'DISPATCH SHEET'!C$3:C$121,""))</f>
        <v/>
      </c>
      <c r="C919" s="14" t="str">
        <f>IF(ISBLANK(A919),"",_xlfn.XLOOKUP(A919,'DISPATCH SHEET'!B$3:B$121,'DISPATCH SHEET'!#REF!,""))</f>
        <v/>
      </c>
      <c r="D919" s="14"/>
      <c r="E919" s="15"/>
      <c r="F919" s="16"/>
      <c r="G919" s="17" t="s">
        <v>0</v>
      </c>
      <c r="H919" s="15"/>
      <c r="I919" s="14" t="s">
        <v>0</v>
      </c>
      <c r="J919" s="14"/>
      <c r="K919" s="18"/>
    </row>
    <row r="920" spans="1:11" s="5" customFormat="1" ht="15" customHeight="1" x14ac:dyDescent="0.2">
      <c r="A920" s="13"/>
      <c r="B920" s="14" t="str">
        <f>IF(A920="","",_xlfn.XLOOKUP(A920,'DISPATCH SHEET'!B$3:B$121,'DISPATCH SHEET'!C$3:C$121,""))</f>
        <v/>
      </c>
      <c r="C920" s="14" t="str">
        <f>IF(ISBLANK(A920),"",_xlfn.XLOOKUP(A920,'DISPATCH SHEET'!B$3:B$121,'DISPATCH SHEET'!#REF!,""))</f>
        <v/>
      </c>
      <c r="D920" s="14"/>
      <c r="E920" s="15"/>
      <c r="F920" s="16"/>
      <c r="G920" s="17" t="s">
        <v>0</v>
      </c>
      <c r="H920" s="15"/>
      <c r="I920" s="14" t="s">
        <v>0</v>
      </c>
      <c r="J920" s="14"/>
      <c r="K920" s="18"/>
    </row>
    <row r="921" spans="1:11" s="5" customFormat="1" ht="15" customHeight="1" x14ac:dyDescent="0.2">
      <c r="A921" s="13"/>
      <c r="B921" s="14" t="str">
        <f>IF(A921="","",_xlfn.XLOOKUP(A921,'DISPATCH SHEET'!B$3:B$121,'DISPATCH SHEET'!C$3:C$121,""))</f>
        <v/>
      </c>
      <c r="C921" s="14" t="str">
        <f>IF(ISBLANK(A921),"",_xlfn.XLOOKUP(A921,'DISPATCH SHEET'!B$3:B$121,'DISPATCH SHEET'!#REF!,""))</f>
        <v/>
      </c>
      <c r="D921" s="14"/>
      <c r="E921" s="15"/>
      <c r="F921" s="16"/>
      <c r="G921" s="17" t="s">
        <v>0</v>
      </c>
      <c r="H921" s="15"/>
      <c r="I921" s="14" t="s">
        <v>0</v>
      </c>
      <c r="J921" s="14"/>
      <c r="K921" s="18"/>
    </row>
    <row r="922" spans="1:11" s="5" customFormat="1" ht="15" customHeight="1" x14ac:dyDescent="0.2">
      <c r="A922" s="13"/>
      <c r="B922" s="14" t="str">
        <f>IF(A922="","",_xlfn.XLOOKUP(A922,'DISPATCH SHEET'!B$3:B$121,'DISPATCH SHEET'!C$3:C$121,""))</f>
        <v/>
      </c>
      <c r="C922" s="14" t="str">
        <f>IF(ISBLANK(A922),"",_xlfn.XLOOKUP(A922,'DISPATCH SHEET'!B$3:B$121,'DISPATCH SHEET'!#REF!,""))</f>
        <v/>
      </c>
      <c r="D922" s="14"/>
      <c r="E922" s="15"/>
      <c r="F922" s="16"/>
      <c r="G922" s="17" t="s">
        <v>0</v>
      </c>
      <c r="H922" s="15"/>
      <c r="I922" s="14" t="s">
        <v>0</v>
      </c>
      <c r="J922" s="14"/>
      <c r="K922" s="18"/>
    </row>
    <row r="923" spans="1:11" s="5" customFormat="1" ht="15" customHeight="1" x14ac:dyDescent="0.2">
      <c r="A923" s="13"/>
      <c r="B923" s="14" t="str">
        <f>IF(A923="","",_xlfn.XLOOKUP(A923,'DISPATCH SHEET'!B$3:B$121,'DISPATCH SHEET'!C$3:C$121,""))</f>
        <v/>
      </c>
      <c r="C923" s="14" t="str">
        <f>IF(ISBLANK(A923),"",_xlfn.XLOOKUP(A923,'DISPATCH SHEET'!B$3:B$121,'DISPATCH SHEET'!#REF!,""))</f>
        <v/>
      </c>
      <c r="D923" s="14"/>
      <c r="E923" s="15"/>
      <c r="F923" s="16"/>
      <c r="G923" s="17" t="s">
        <v>0</v>
      </c>
      <c r="H923" s="15"/>
      <c r="I923" s="14" t="s">
        <v>0</v>
      </c>
      <c r="J923" s="14"/>
      <c r="K923" s="18"/>
    </row>
    <row r="924" spans="1:11" s="5" customFormat="1" ht="15" customHeight="1" x14ac:dyDescent="0.2">
      <c r="A924" s="13"/>
      <c r="B924" s="14" t="str">
        <f>IF(A924="","",_xlfn.XLOOKUP(A924,'DISPATCH SHEET'!B$3:B$121,'DISPATCH SHEET'!C$3:C$121,""))</f>
        <v/>
      </c>
      <c r="C924" s="14" t="str">
        <f>IF(ISBLANK(A924),"",_xlfn.XLOOKUP(A924,'DISPATCH SHEET'!B$3:B$121,'DISPATCH SHEET'!#REF!,""))</f>
        <v/>
      </c>
      <c r="D924" s="14"/>
      <c r="E924" s="15"/>
      <c r="F924" s="16"/>
      <c r="G924" s="17" t="s">
        <v>0</v>
      </c>
      <c r="H924" s="15"/>
      <c r="I924" s="14" t="s">
        <v>0</v>
      </c>
      <c r="J924" s="14"/>
      <c r="K924" s="18"/>
    </row>
    <row r="925" spans="1:11" s="5" customFormat="1" ht="15" customHeight="1" x14ac:dyDescent="0.2">
      <c r="A925" s="13"/>
      <c r="B925" s="14" t="str">
        <f>IF(A925="","",_xlfn.XLOOKUP(A925,'DISPATCH SHEET'!B$3:B$121,'DISPATCH SHEET'!C$3:C$121,""))</f>
        <v/>
      </c>
      <c r="C925" s="14" t="str">
        <f>IF(ISBLANK(A925),"",_xlfn.XLOOKUP(A925,'DISPATCH SHEET'!B$3:B$121,'DISPATCH SHEET'!#REF!,""))</f>
        <v/>
      </c>
      <c r="D925" s="14"/>
      <c r="E925" s="15"/>
      <c r="F925" s="16"/>
      <c r="G925" s="17" t="s">
        <v>0</v>
      </c>
      <c r="H925" s="15"/>
      <c r="I925" s="14" t="s">
        <v>0</v>
      </c>
      <c r="J925" s="14"/>
      <c r="K925" s="18"/>
    </row>
    <row r="926" spans="1:11" s="5" customFormat="1" ht="15" customHeight="1" x14ac:dyDescent="0.2">
      <c r="A926" s="13"/>
      <c r="B926" s="14" t="str">
        <f>IF(A926="","",_xlfn.XLOOKUP(A926,'DISPATCH SHEET'!B$3:B$121,'DISPATCH SHEET'!C$3:C$121,""))</f>
        <v/>
      </c>
      <c r="C926" s="14" t="str">
        <f>IF(ISBLANK(A926),"",_xlfn.XLOOKUP(A926,'DISPATCH SHEET'!B$3:B$121,'DISPATCH SHEET'!#REF!,""))</f>
        <v/>
      </c>
      <c r="D926" s="14"/>
      <c r="E926" s="15"/>
      <c r="F926" s="16"/>
      <c r="G926" s="17" t="s">
        <v>0</v>
      </c>
      <c r="H926" s="15"/>
      <c r="I926" s="14" t="s">
        <v>0</v>
      </c>
      <c r="J926" s="14"/>
      <c r="K926" s="18"/>
    </row>
    <row r="927" spans="1:11" s="5" customFormat="1" ht="15" customHeight="1" x14ac:dyDescent="0.2">
      <c r="A927" s="13"/>
      <c r="B927" s="14" t="str">
        <f>IF(A927="","",_xlfn.XLOOKUP(A927,'DISPATCH SHEET'!B$3:B$121,'DISPATCH SHEET'!C$3:C$121,""))</f>
        <v/>
      </c>
      <c r="C927" s="14" t="str">
        <f>IF(ISBLANK(A927),"",_xlfn.XLOOKUP(A927,'DISPATCH SHEET'!B$3:B$121,'DISPATCH SHEET'!#REF!,""))</f>
        <v/>
      </c>
      <c r="D927" s="14"/>
      <c r="E927" s="15"/>
      <c r="F927" s="16"/>
      <c r="G927" s="17" t="s">
        <v>0</v>
      </c>
      <c r="H927" s="15"/>
      <c r="I927" s="14" t="s">
        <v>0</v>
      </c>
      <c r="J927" s="14"/>
      <c r="K927" s="18"/>
    </row>
    <row r="928" spans="1:11" s="5" customFormat="1" ht="15" customHeight="1" x14ac:dyDescent="0.2">
      <c r="A928" s="13"/>
      <c r="B928" s="14" t="str">
        <f>IF(A928="","",_xlfn.XLOOKUP(A928,'DISPATCH SHEET'!B$3:B$121,'DISPATCH SHEET'!C$3:C$121,""))</f>
        <v/>
      </c>
      <c r="C928" s="14" t="str">
        <f>IF(ISBLANK(A928),"",_xlfn.XLOOKUP(A928,'DISPATCH SHEET'!B$3:B$121,'DISPATCH SHEET'!#REF!,""))</f>
        <v/>
      </c>
      <c r="D928" s="14"/>
      <c r="E928" s="15"/>
      <c r="F928" s="16"/>
      <c r="G928" s="17" t="s">
        <v>0</v>
      </c>
      <c r="H928" s="15"/>
      <c r="I928" s="14" t="s">
        <v>0</v>
      </c>
      <c r="J928" s="14"/>
      <c r="K928" s="18"/>
    </row>
    <row r="929" spans="1:11" s="5" customFormat="1" ht="15" customHeight="1" x14ac:dyDescent="0.2">
      <c r="A929" s="13"/>
      <c r="B929" s="14" t="str">
        <f>IF(A929="","",_xlfn.XLOOKUP(A929,'DISPATCH SHEET'!B$3:B$121,'DISPATCH SHEET'!C$3:C$121,""))</f>
        <v/>
      </c>
      <c r="C929" s="14" t="str">
        <f>IF(ISBLANK(A929),"",_xlfn.XLOOKUP(A929,'DISPATCH SHEET'!B$3:B$121,'DISPATCH SHEET'!#REF!,""))</f>
        <v/>
      </c>
      <c r="D929" s="14"/>
      <c r="E929" s="15"/>
      <c r="F929" s="16"/>
      <c r="G929" s="17" t="s">
        <v>0</v>
      </c>
      <c r="H929" s="15"/>
      <c r="I929" s="14" t="s">
        <v>0</v>
      </c>
      <c r="J929" s="14"/>
      <c r="K929" s="18"/>
    </row>
    <row r="930" spans="1:11" s="5" customFormat="1" ht="15" customHeight="1" x14ac:dyDescent="0.2">
      <c r="A930" s="13"/>
      <c r="B930" s="14" t="str">
        <f>IF(A930="","",_xlfn.XLOOKUP(A930,'DISPATCH SHEET'!B$3:B$121,'DISPATCH SHEET'!C$3:C$121,""))</f>
        <v/>
      </c>
      <c r="C930" s="14" t="str">
        <f>IF(ISBLANK(A930),"",_xlfn.XLOOKUP(A930,'DISPATCH SHEET'!B$3:B$121,'DISPATCH SHEET'!#REF!,""))</f>
        <v/>
      </c>
      <c r="D930" s="14"/>
      <c r="E930" s="15"/>
      <c r="F930" s="16"/>
      <c r="G930" s="17" t="s">
        <v>0</v>
      </c>
      <c r="H930" s="15"/>
      <c r="I930" s="14" t="s">
        <v>0</v>
      </c>
      <c r="J930" s="14"/>
      <c r="K930" s="18"/>
    </row>
    <row r="931" spans="1:11" s="5" customFormat="1" ht="15" customHeight="1" x14ac:dyDescent="0.2">
      <c r="A931" s="13"/>
      <c r="B931" s="14" t="str">
        <f>IF(A931="","",_xlfn.XLOOKUP(A931,'DISPATCH SHEET'!B$3:B$121,'DISPATCH SHEET'!C$3:C$121,""))</f>
        <v/>
      </c>
      <c r="C931" s="14" t="str">
        <f>IF(ISBLANK(A931),"",_xlfn.XLOOKUP(A931,'DISPATCH SHEET'!B$3:B$121,'DISPATCH SHEET'!#REF!,""))</f>
        <v/>
      </c>
      <c r="D931" s="14"/>
      <c r="E931" s="15"/>
      <c r="F931" s="16"/>
      <c r="G931" s="17" t="s">
        <v>0</v>
      </c>
      <c r="H931" s="15"/>
      <c r="I931" s="14" t="s">
        <v>0</v>
      </c>
      <c r="J931" s="14"/>
      <c r="K931" s="18"/>
    </row>
    <row r="932" spans="1:11" s="5" customFormat="1" ht="15" customHeight="1" x14ac:dyDescent="0.2">
      <c r="A932" s="13"/>
      <c r="B932" s="14" t="str">
        <f>IF(A932="","",_xlfn.XLOOKUP(A932,'DISPATCH SHEET'!B$3:B$121,'DISPATCH SHEET'!C$3:C$121,""))</f>
        <v/>
      </c>
      <c r="C932" s="14" t="str">
        <f>IF(ISBLANK(A932),"",_xlfn.XLOOKUP(A932,'DISPATCH SHEET'!B$3:B$121,'DISPATCH SHEET'!#REF!,""))</f>
        <v/>
      </c>
      <c r="D932" s="14"/>
      <c r="E932" s="15"/>
      <c r="F932" s="16"/>
      <c r="G932" s="17" t="s">
        <v>0</v>
      </c>
      <c r="H932" s="15"/>
      <c r="I932" s="14" t="s">
        <v>0</v>
      </c>
      <c r="J932" s="14"/>
      <c r="K932" s="18"/>
    </row>
    <row r="933" spans="1:11" s="5" customFormat="1" ht="15" customHeight="1" x14ac:dyDescent="0.2">
      <c r="A933" s="13"/>
      <c r="B933" s="14" t="str">
        <f>IF(A933="","",_xlfn.XLOOKUP(A933,'DISPATCH SHEET'!B$3:B$121,'DISPATCH SHEET'!C$3:C$121,""))</f>
        <v/>
      </c>
      <c r="C933" s="14" t="str">
        <f>IF(ISBLANK(A933),"",_xlfn.XLOOKUP(A933,'DISPATCH SHEET'!B$3:B$121,'DISPATCH SHEET'!#REF!,""))</f>
        <v/>
      </c>
      <c r="D933" s="14"/>
      <c r="E933" s="15"/>
      <c r="F933" s="16"/>
      <c r="G933" s="17" t="s">
        <v>0</v>
      </c>
      <c r="H933" s="15"/>
      <c r="I933" s="14" t="s">
        <v>0</v>
      </c>
      <c r="J933" s="14"/>
      <c r="K933" s="18"/>
    </row>
    <row r="934" spans="1:11" s="5" customFormat="1" ht="15" customHeight="1" x14ac:dyDescent="0.2">
      <c r="A934" s="13"/>
      <c r="B934" s="14" t="str">
        <f>IF(A934="","",_xlfn.XLOOKUP(A934,'DISPATCH SHEET'!B$3:B$121,'DISPATCH SHEET'!C$3:C$121,""))</f>
        <v/>
      </c>
      <c r="C934" s="14" t="str">
        <f>IF(ISBLANK(A934),"",_xlfn.XLOOKUP(A934,'DISPATCH SHEET'!B$3:B$121,'DISPATCH SHEET'!#REF!,""))</f>
        <v/>
      </c>
      <c r="D934" s="14"/>
      <c r="E934" s="15"/>
      <c r="F934" s="16"/>
      <c r="G934" s="17" t="s">
        <v>0</v>
      </c>
      <c r="H934" s="15"/>
      <c r="I934" s="14" t="s">
        <v>0</v>
      </c>
      <c r="J934" s="14"/>
      <c r="K934" s="18"/>
    </row>
    <row r="935" spans="1:11" s="5" customFormat="1" ht="15" customHeight="1" x14ac:dyDescent="0.2">
      <c r="A935" s="13"/>
      <c r="B935" s="14" t="str">
        <f>IF(A935="","",_xlfn.XLOOKUP(A935,'DISPATCH SHEET'!B$3:B$121,'DISPATCH SHEET'!C$3:C$121,""))</f>
        <v/>
      </c>
      <c r="C935" s="14" t="str">
        <f>IF(ISBLANK(A935),"",_xlfn.XLOOKUP(A935,'DISPATCH SHEET'!B$3:B$121,'DISPATCH SHEET'!#REF!,""))</f>
        <v/>
      </c>
      <c r="D935" s="14"/>
      <c r="E935" s="15"/>
      <c r="F935" s="16"/>
      <c r="G935" s="17" t="s">
        <v>0</v>
      </c>
      <c r="H935" s="15"/>
      <c r="I935" s="14" t="s">
        <v>0</v>
      </c>
      <c r="J935" s="14"/>
      <c r="K935" s="18"/>
    </row>
    <row r="936" spans="1:11" s="5" customFormat="1" ht="15" customHeight="1" x14ac:dyDescent="0.2">
      <c r="A936" s="13"/>
      <c r="B936" s="14" t="str">
        <f>IF(A936="","",_xlfn.XLOOKUP(A936,'DISPATCH SHEET'!B$3:B$121,'DISPATCH SHEET'!C$3:C$121,""))</f>
        <v/>
      </c>
      <c r="C936" s="14" t="str">
        <f>IF(ISBLANK(A936),"",_xlfn.XLOOKUP(A936,'DISPATCH SHEET'!B$3:B$121,'DISPATCH SHEET'!#REF!,""))</f>
        <v/>
      </c>
      <c r="D936" s="14"/>
      <c r="E936" s="15"/>
      <c r="F936" s="16"/>
      <c r="G936" s="17" t="s">
        <v>0</v>
      </c>
      <c r="H936" s="15"/>
      <c r="I936" s="14" t="s">
        <v>0</v>
      </c>
      <c r="J936" s="14"/>
      <c r="K936" s="18"/>
    </row>
    <row r="937" spans="1:11" s="5" customFormat="1" ht="15" customHeight="1" x14ac:dyDescent="0.2">
      <c r="A937" s="13"/>
      <c r="B937" s="14" t="str">
        <f>IF(A937="","",_xlfn.XLOOKUP(A937,'DISPATCH SHEET'!B$3:B$121,'DISPATCH SHEET'!C$3:C$121,""))</f>
        <v/>
      </c>
      <c r="C937" s="14" t="str">
        <f>IF(ISBLANK(A937),"",_xlfn.XLOOKUP(A937,'DISPATCH SHEET'!B$3:B$121,'DISPATCH SHEET'!#REF!,""))</f>
        <v/>
      </c>
      <c r="D937" s="14"/>
      <c r="E937" s="15"/>
      <c r="F937" s="16"/>
      <c r="G937" s="17" t="s">
        <v>0</v>
      </c>
      <c r="H937" s="15"/>
      <c r="I937" s="14" t="s">
        <v>0</v>
      </c>
      <c r="J937" s="14"/>
      <c r="K937" s="18"/>
    </row>
    <row r="938" spans="1:11" s="5" customFormat="1" ht="15" customHeight="1" x14ac:dyDescent="0.2">
      <c r="A938" s="13"/>
      <c r="B938" s="14" t="str">
        <f>IF(A938="","",_xlfn.XLOOKUP(A938,'DISPATCH SHEET'!B$3:B$121,'DISPATCH SHEET'!C$3:C$121,""))</f>
        <v/>
      </c>
      <c r="C938" s="14" t="str">
        <f>IF(ISBLANK(A938),"",_xlfn.XLOOKUP(A938,'DISPATCH SHEET'!B$3:B$121,'DISPATCH SHEET'!#REF!,""))</f>
        <v/>
      </c>
      <c r="D938" s="14"/>
      <c r="E938" s="15"/>
      <c r="F938" s="16"/>
      <c r="G938" s="17" t="s">
        <v>0</v>
      </c>
      <c r="H938" s="15"/>
      <c r="I938" s="14" t="s">
        <v>0</v>
      </c>
      <c r="J938" s="14"/>
      <c r="K938" s="18"/>
    </row>
    <row r="939" spans="1:11" s="5" customFormat="1" ht="15" customHeight="1" x14ac:dyDescent="0.2">
      <c r="A939" s="13"/>
      <c r="B939" s="14" t="str">
        <f>IF(A939="","",_xlfn.XLOOKUP(A939,'DISPATCH SHEET'!B$3:B$121,'DISPATCH SHEET'!C$3:C$121,""))</f>
        <v/>
      </c>
      <c r="C939" s="14" t="str">
        <f>IF(ISBLANK(A939),"",_xlfn.XLOOKUP(A939,'DISPATCH SHEET'!B$3:B$121,'DISPATCH SHEET'!#REF!,""))</f>
        <v/>
      </c>
      <c r="D939" s="14"/>
      <c r="E939" s="15"/>
      <c r="F939" s="16"/>
      <c r="G939" s="17" t="s">
        <v>0</v>
      </c>
      <c r="H939" s="15"/>
      <c r="I939" s="14" t="s">
        <v>0</v>
      </c>
      <c r="J939" s="14"/>
      <c r="K939" s="18"/>
    </row>
    <row r="940" spans="1:11" s="5" customFormat="1" ht="15" customHeight="1" x14ac:dyDescent="0.2">
      <c r="A940" s="13"/>
      <c r="B940" s="14" t="str">
        <f>IF(A940="","",_xlfn.XLOOKUP(A940,'DISPATCH SHEET'!B$3:B$121,'DISPATCH SHEET'!C$3:C$121,""))</f>
        <v/>
      </c>
      <c r="C940" s="14" t="str">
        <f>IF(ISBLANK(A940),"",_xlfn.XLOOKUP(A940,'DISPATCH SHEET'!B$3:B$121,'DISPATCH SHEET'!#REF!,""))</f>
        <v/>
      </c>
      <c r="D940" s="14"/>
      <c r="E940" s="15"/>
      <c r="F940" s="16"/>
      <c r="G940" s="17" t="s">
        <v>0</v>
      </c>
      <c r="H940" s="15"/>
      <c r="I940" s="14" t="s">
        <v>0</v>
      </c>
      <c r="J940" s="14"/>
      <c r="K940" s="18"/>
    </row>
    <row r="941" spans="1:11" s="5" customFormat="1" ht="15" customHeight="1" x14ac:dyDescent="0.2">
      <c r="A941" s="13"/>
      <c r="B941" s="14" t="str">
        <f>IF(A941="","",_xlfn.XLOOKUP(A941,'DISPATCH SHEET'!B$3:B$121,'DISPATCH SHEET'!C$3:C$121,""))</f>
        <v/>
      </c>
      <c r="C941" s="14" t="str">
        <f>IF(ISBLANK(A941),"",_xlfn.XLOOKUP(A941,'DISPATCH SHEET'!B$3:B$121,'DISPATCH SHEET'!#REF!,""))</f>
        <v/>
      </c>
      <c r="D941" s="14"/>
      <c r="E941" s="15"/>
      <c r="F941" s="16"/>
      <c r="G941" s="17" t="s">
        <v>0</v>
      </c>
      <c r="H941" s="15"/>
      <c r="I941" s="14" t="s">
        <v>0</v>
      </c>
      <c r="J941" s="14"/>
      <c r="K941" s="18"/>
    </row>
    <row r="942" spans="1:11" s="5" customFormat="1" ht="15" customHeight="1" x14ac:dyDescent="0.2">
      <c r="A942" s="13"/>
      <c r="B942" s="14" t="str">
        <f>IF(A942="","",_xlfn.XLOOKUP(A942,'DISPATCH SHEET'!B$3:B$121,'DISPATCH SHEET'!C$3:C$121,""))</f>
        <v/>
      </c>
      <c r="C942" s="14" t="str">
        <f>IF(ISBLANK(A942),"",_xlfn.XLOOKUP(A942,'DISPATCH SHEET'!B$3:B$121,'DISPATCH SHEET'!#REF!,""))</f>
        <v/>
      </c>
      <c r="D942" s="14"/>
      <c r="E942" s="15"/>
      <c r="F942" s="16"/>
      <c r="G942" s="17" t="s">
        <v>0</v>
      </c>
      <c r="H942" s="15"/>
      <c r="I942" s="14" t="s">
        <v>0</v>
      </c>
      <c r="J942" s="14"/>
      <c r="K942" s="18"/>
    </row>
    <row r="943" spans="1:11" s="5" customFormat="1" ht="15" customHeight="1" x14ac:dyDescent="0.2">
      <c r="A943" s="13"/>
      <c r="B943" s="14" t="str">
        <f>IF(A943="","",_xlfn.XLOOKUP(A943,'DISPATCH SHEET'!B$3:B$121,'DISPATCH SHEET'!C$3:C$121,""))</f>
        <v/>
      </c>
      <c r="C943" s="14" t="str">
        <f>IF(ISBLANK(A943),"",_xlfn.XLOOKUP(A943,'DISPATCH SHEET'!B$3:B$121,'DISPATCH SHEET'!#REF!,""))</f>
        <v/>
      </c>
      <c r="D943" s="14"/>
      <c r="E943" s="15"/>
      <c r="F943" s="16"/>
      <c r="G943" s="17" t="s">
        <v>0</v>
      </c>
      <c r="H943" s="15"/>
      <c r="I943" s="14" t="s">
        <v>0</v>
      </c>
      <c r="J943" s="14"/>
      <c r="K943" s="18"/>
    </row>
    <row r="944" spans="1:11" s="5" customFormat="1" ht="15" customHeight="1" x14ac:dyDescent="0.2">
      <c r="A944" s="13"/>
      <c r="B944" s="14" t="str">
        <f>IF(A944="","",_xlfn.XLOOKUP(A944,'DISPATCH SHEET'!B$3:B$121,'DISPATCH SHEET'!C$3:C$121,""))</f>
        <v/>
      </c>
      <c r="C944" s="14" t="str">
        <f>IF(ISBLANK(A944),"",_xlfn.XLOOKUP(A944,'DISPATCH SHEET'!B$3:B$121,'DISPATCH SHEET'!#REF!,""))</f>
        <v/>
      </c>
      <c r="D944" s="14"/>
      <c r="E944" s="15"/>
      <c r="F944" s="16"/>
      <c r="G944" s="17" t="s">
        <v>0</v>
      </c>
      <c r="H944" s="15"/>
      <c r="I944" s="14" t="s">
        <v>0</v>
      </c>
      <c r="J944" s="14"/>
      <c r="K944" s="18"/>
    </row>
    <row r="945" spans="1:11" s="5" customFormat="1" ht="15" customHeight="1" x14ac:dyDescent="0.2">
      <c r="A945" s="13"/>
      <c r="B945" s="14" t="str">
        <f>IF(A945="","",_xlfn.XLOOKUP(A945,'DISPATCH SHEET'!B$3:B$121,'DISPATCH SHEET'!C$3:C$121,""))</f>
        <v/>
      </c>
      <c r="C945" s="14" t="str">
        <f>IF(ISBLANK(A945),"",_xlfn.XLOOKUP(A945,'DISPATCH SHEET'!B$3:B$121,'DISPATCH SHEET'!#REF!,""))</f>
        <v/>
      </c>
      <c r="D945" s="14"/>
      <c r="E945" s="15"/>
      <c r="F945" s="16"/>
      <c r="G945" s="17" t="s">
        <v>0</v>
      </c>
      <c r="H945" s="15"/>
      <c r="I945" s="14" t="s">
        <v>0</v>
      </c>
      <c r="J945" s="14"/>
      <c r="K945" s="18"/>
    </row>
    <row r="946" spans="1:11" s="5" customFormat="1" ht="15" customHeight="1" x14ac:dyDescent="0.2">
      <c r="A946" s="13"/>
      <c r="B946" s="14" t="str">
        <f>IF(A946="","",_xlfn.XLOOKUP(A946,'DISPATCH SHEET'!B$3:B$121,'DISPATCH SHEET'!C$3:C$121,""))</f>
        <v/>
      </c>
      <c r="C946" s="14" t="str">
        <f>IF(ISBLANK(A946),"",_xlfn.XLOOKUP(A946,'DISPATCH SHEET'!C$3:C$121,'DISPATCH SHEET'!#REF!,""))</f>
        <v/>
      </c>
      <c r="D946" s="14"/>
      <c r="E946" s="15"/>
      <c r="F946" s="16"/>
      <c r="G946" s="17" t="s">
        <v>0</v>
      </c>
      <c r="H946" s="15"/>
      <c r="I946" s="14" t="s">
        <v>0</v>
      </c>
      <c r="J946" s="14"/>
      <c r="K946" s="18"/>
    </row>
    <row r="947" spans="1:11" s="5" customFormat="1" ht="15" customHeight="1" x14ac:dyDescent="0.2">
      <c r="A947" s="13"/>
      <c r="B947" s="14" t="str">
        <f>IF(A947="","",_xlfn.XLOOKUP(A947,'DISPATCH SHEET'!B$3:B$121,'DISPATCH SHEET'!C$3:C$121,""))</f>
        <v/>
      </c>
      <c r="C947" s="14" t="str">
        <f>IF(ISBLANK(A947),"",_xlfn.XLOOKUP(A947,'DISPATCH SHEET'!C$3:C$121,'DISPATCH SHEET'!#REF!,""))</f>
        <v/>
      </c>
      <c r="D947" s="14"/>
      <c r="E947" s="15"/>
      <c r="F947" s="16"/>
      <c r="G947" s="17" t="s">
        <v>0</v>
      </c>
      <c r="H947" s="15"/>
      <c r="I947" s="14" t="s">
        <v>0</v>
      </c>
      <c r="J947" s="14"/>
      <c r="K947" s="18"/>
    </row>
    <row r="948" spans="1:11" s="5" customFormat="1" ht="15" customHeight="1" x14ac:dyDescent="0.2">
      <c r="A948" s="13"/>
      <c r="B948" s="14" t="str">
        <f>IF(A948="","",_xlfn.XLOOKUP(A948,'DISPATCH SHEET'!B$3:B$121,'DISPATCH SHEET'!C$3:C$121,""))</f>
        <v/>
      </c>
      <c r="C948" s="14" t="str">
        <f>IF(ISBLANK(A948),"",_xlfn.XLOOKUP(A948,'DISPATCH SHEET'!C$3:C$121,'DISPATCH SHEET'!#REF!,""))</f>
        <v/>
      </c>
      <c r="D948" s="14"/>
      <c r="E948" s="15"/>
      <c r="F948" s="16"/>
      <c r="G948" s="17" t="s">
        <v>0</v>
      </c>
      <c r="H948" s="15"/>
      <c r="I948" s="14" t="s">
        <v>0</v>
      </c>
      <c r="J948" s="14"/>
      <c r="K948" s="18"/>
    </row>
    <row r="949" spans="1:11" s="5" customFormat="1" ht="15" customHeight="1" x14ac:dyDescent="0.2">
      <c r="A949" s="13"/>
      <c r="B949" s="14" t="str">
        <f>IF(A949="","",_xlfn.XLOOKUP(A949,'DISPATCH SHEET'!B$3:B$121,'DISPATCH SHEET'!C$3:C$121,""))</f>
        <v/>
      </c>
      <c r="C949" s="14" t="str">
        <f>IF(ISBLANK(A949),"",_xlfn.XLOOKUP(A949,'DISPATCH SHEET'!C$3:C$121,'DISPATCH SHEET'!#REF!,""))</f>
        <v/>
      </c>
      <c r="D949" s="14"/>
      <c r="E949" s="15"/>
      <c r="F949" s="16"/>
      <c r="G949" s="17" t="s">
        <v>0</v>
      </c>
      <c r="H949" s="15"/>
      <c r="I949" s="14" t="s">
        <v>0</v>
      </c>
      <c r="J949" s="14"/>
      <c r="K949" s="18"/>
    </row>
    <row r="950" spans="1:11" s="5" customFormat="1" ht="15" customHeight="1" x14ac:dyDescent="0.2">
      <c r="A950" s="13"/>
      <c r="B950" s="14" t="str">
        <f>IF(A950="","",_xlfn.XLOOKUP(A950,'DISPATCH SHEET'!B$3:B$121,'DISPATCH SHEET'!C$3:C$121,""))</f>
        <v/>
      </c>
      <c r="C950" s="14" t="str">
        <f>IF(ISBLANK(A950),"",_xlfn.XLOOKUP(A950,'DISPATCH SHEET'!C$3:C$121,'DISPATCH SHEET'!#REF!,""))</f>
        <v/>
      </c>
      <c r="D950" s="14"/>
      <c r="E950" s="15"/>
      <c r="F950" s="16"/>
      <c r="G950" s="17" t="s">
        <v>0</v>
      </c>
      <c r="H950" s="15"/>
      <c r="I950" s="14" t="s">
        <v>0</v>
      </c>
      <c r="J950" s="14"/>
      <c r="K950" s="18"/>
    </row>
    <row r="951" spans="1:11" s="5" customFormat="1" ht="15" customHeight="1" x14ac:dyDescent="0.2">
      <c r="A951" s="13"/>
      <c r="B951" s="14" t="str">
        <f>IF(A951="","",_xlfn.XLOOKUP(A951,'DISPATCH SHEET'!B$3:B$121,'DISPATCH SHEET'!C$3:C$121,""))</f>
        <v/>
      </c>
      <c r="C951" s="14" t="str">
        <f>IF(ISBLANK(A951),"",_xlfn.XLOOKUP(A951,'DISPATCH SHEET'!C$3:C$121,'DISPATCH SHEET'!#REF!,""))</f>
        <v/>
      </c>
      <c r="D951" s="14"/>
      <c r="E951" s="15"/>
      <c r="F951" s="16"/>
      <c r="G951" s="17" t="s">
        <v>0</v>
      </c>
      <c r="H951" s="15"/>
      <c r="I951" s="14" t="s">
        <v>0</v>
      </c>
      <c r="J951" s="14"/>
      <c r="K951" s="18"/>
    </row>
    <row r="952" spans="1:11" s="5" customFormat="1" ht="15" customHeight="1" x14ac:dyDescent="0.2">
      <c r="A952" s="13"/>
      <c r="B952" s="14" t="str">
        <f>IF(A952="","",_xlfn.XLOOKUP(A952,'DISPATCH SHEET'!B$3:B$121,'DISPATCH SHEET'!C$3:C$121,""))</f>
        <v/>
      </c>
      <c r="C952" s="14" t="str">
        <f>IF(ISBLANK(A952),"",_xlfn.XLOOKUP(A952,'DISPATCH SHEET'!C$3:C$121,'DISPATCH SHEET'!#REF!,""))</f>
        <v/>
      </c>
      <c r="D952" s="14"/>
      <c r="E952" s="15"/>
      <c r="F952" s="16"/>
      <c r="G952" s="17" t="s">
        <v>0</v>
      </c>
      <c r="H952" s="15"/>
      <c r="I952" s="14" t="s">
        <v>0</v>
      </c>
      <c r="J952" s="14"/>
      <c r="K952" s="18"/>
    </row>
    <row r="953" spans="1:11" s="5" customFormat="1" ht="15" customHeight="1" x14ac:dyDescent="0.2">
      <c r="A953" s="13"/>
      <c r="B953" s="14" t="str">
        <f>IF(A953="","",_xlfn.XLOOKUP(A953,'DISPATCH SHEET'!B$3:B$121,'DISPATCH SHEET'!C$3:C$121,""))</f>
        <v/>
      </c>
      <c r="C953" s="14" t="str">
        <f>IF(ISBLANK(A953),"",_xlfn.XLOOKUP(A953,'DISPATCH SHEET'!C$3:C$121,'DISPATCH SHEET'!#REF!,""))</f>
        <v/>
      </c>
      <c r="D953" s="14"/>
      <c r="E953" s="15"/>
      <c r="F953" s="16"/>
      <c r="G953" s="17" t="s">
        <v>0</v>
      </c>
      <c r="H953" s="15"/>
      <c r="I953" s="14" t="s">
        <v>0</v>
      </c>
      <c r="J953" s="14"/>
      <c r="K953" s="18"/>
    </row>
    <row r="954" spans="1:11" s="5" customFormat="1" ht="15" customHeight="1" x14ac:dyDescent="0.2">
      <c r="A954" s="13"/>
      <c r="B954" s="14" t="str">
        <f>IF(A954="","",_xlfn.XLOOKUP(A954,'DISPATCH SHEET'!B$3:B$121,'DISPATCH SHEET'!C$3:C$121,""))</f>
        <v/>
      </c>
      <c r="C954" s="14" t="str">
        <f>IF(ISBLANK(A954),"",_xlfn.XLOOKUP(A954,'DISPATCH SHEET'!C$3:C$121,'DISPATCH SHEET'!#REF!,""))</f>
        <v/>
      </c>
      <c r="D954" s="14"/>
      <c r="E954" s="15"/>
      <c r="F954" s="16"/>
      <c r="G954" s="17" t="s">
        <v>0</v>
      </c>
      <c r="H954" s="15"/>
      <c r="I954" s="14" t="s">
        <v>0</v>
      </c>
      <c r="J954" s="14"/>
      <c r="K954" s="18"/>
    </row>
    <row r="955" spans="1:11" s="5" customFormat="1" ht="15" customHeight="1" x14ac:dyDescent="0.2">
      <c r="A955" s="13"/>
      <c r="B955" s="14" t="str">
        <f>IF(A955="","",_xlfn.XLOOKUP(A955,'DISPATCH SHEET'!B$3:B$121,'DISPATCH SHEET'!C$3:C$121,""))</f>
        <v/>
      </c>
      <c r="C955" s="14" t="str">
        <f>IF(ISBLANK(A955),"",_xlfn.XLOOKUP(A955,'DISPATCH SHEET'!C$3:C$121,'DISPATCH SHEET'!#REF!,""))</f>
        <v/>
      </c>
      <c r="D955" s="14"/>
      <c r="E955" s="15"/>
      <c r="F955" s="16"/>
      <c r="G955" s="17" t="s">
        <v>0</v>
      </c>
      <c r="H955" s="15"/>
      <c r="I955" s="14" t="s">
        <v>0</v>
      </c>
      <c r="J955" s="14"/>
      <c r="K955" s="18"/>
    </row>
    <row r="956" spans="1:11" s="5" customFormat="1" ht="15" customHeight="1" x14ac:dyDescent="0.2">
      <c r="A956" s="13"/>
      <c r="B956" s="14" t="str">
        <f>IF(A956="","",_xlfn.XLOOKUP(A956,'DISPATCH SHEET'!B$3:B$121,'DISPATCH SHEET'!C$3:C$121,""))</f>
        <v/>
      </c>
      <c r="C956" s="14" t="str">
        <f>IF(ISBLANK(A956),"",_xlfn.XLOOKUP(A956,'DISPATCH SHEET'!C$3:C$121,'DISPATCH SHEET'!#REF!,""))</f>
        <v/>
      </c>
      <c r="D956" s="14"/>
      <c r="E956" s="15"/>
      <c r="F956" s="16"/>
      <c r="G956" s="17" t="s">
        <v>0</v>
      </c>
      <c r="H956" s="15"/>
      <c r="I956" s="14" t="s">
        <v>0</v>
      </c>
      <c r="J956" s="14"/>
      <c r="K956" s="18"/>
    </row>
    <row r="957" spans="1:11" s="5" customFormat="1" ht="15" customHeight="1" x14ac:dyDescent="0.2">
      <c r="A957" s="13"/>
      <c r="B957" s="14" t="str">
        <f>IF(A957="","",_xlfn.XLOOKUP(A957,'DISPATCH SHEET'!B$3:B$121,'DISPATCH SHEET'!C$3:C$121,""))</f>
        <v/>
      </c>
      <c r="C957" s="14" t="str">
        <f>IF(ISBLANK(A957),"",_xlfn.XLOOKUP(A957,'DISPATCH SHEET'!C$3:C$121,'DISPATCH SHEET'!#REF!,""))</f>
        <v/>
      </c>
      <c r="D957" s="14"/>
      <c r="E957" s="15"/>
      <c r="F957" s="16"/>
      <c r="G957" s="17" t="s">
        <v>0</v>
      </c>
      <c r="H957" s="15"/>
      <c r="I957" s="14" t="s">
        <v>0</v>
      </c>
      <c r="J957" s="14"/>
      <c r="K957" s="18"/>
    </row>
    <row r="958" spans="1:11" s="5" customFormat="1" ht="15" customHeight="1" x14ac:dyDescent="0.2">
      <c r="A958" s="13"/>
      <c r="B958" s="14" t="str">
        <f>IF(A958="","",_xlfn.XLOOKUP(A958,'DISPATCH SHEET'!B$3:B$121,'DISPATCH SHEET'!C$3:C$121,""))</f>
        <v/>
      </c>
      <c r="C958" s="14" t="str">
        <f>IF(ISBLANK(A958),"",_xlfn.XLOOKUP(A958,'DISPATCH SHEET'!C$3:C$121,'DISPATCH SHEET'!#REF!,""))</f>
        <v/>
      </c>
      <c r="D958" s="14"/>
      <c r="E958" s="15"/>
      <c r="F958" s="16"/>
      <c r="G958" s="17" t="s">
        <v>0</v>
      </c>
      <c r="H958" s="15"/>
      <c r="I958" s="14" t="s">
        <v>0</v>
      </c>
      <c r="J958" s="14"/>
      <c r="K958" s="18"/>
    </row>
    <row r="959" spans="1:11" s="5" customFormat="1" ht="15" customHeight="1" x14ac:dyDescent="0.2">
      <c r="A959" s="13"/>
      <c r="B959" s="14" t="str">
        <f>IF(A959="","",_xlfn.XLOOKUP(A959,'DISPATCH SHEET'!B$3:B$121,'DISPATCH SHEET'!C$3:C$121,""))</f>
        <v/>
      </c>
      <c r="C959" s="14" t="str">
        <f>IF(ISBLANK(A959),"",_xlfn.XLOOKUP(A959,'DISPATCH SHEET'!C$3:C$121,'DISPATCH SHEET'!#REF!,""))</f>
        <v/>
      </c>
      <c r="D959" s="14"/>
      <c r="E959" s="15"/>
      <c r="F959" s="16"/>
      <c r="G959" s="17" t="s">
        <v>0</v>
      </c>
      <c r="H959" s="15"/>
      <c r="I959" s="14" t="s">
        <v>0</v>
      </c>
      <c r="J959" s="14"/>
      <c r="K959" s="18"/>
    </row>
    <row r="960" spans="1:11" s="5" customFormat="1" ht="15" customHeight="1" x14ac:dyDescent="0.2">
      <c r="A960" s="13"/>
      <c r="B960" s="14" t="str">
        <f>IF(A960="","",_xlfn.XLOOKUP(A960,'DISPATCH SHEET'!B$3:B$121,'DISPATCH SHEET'!C$3:C$121,""))</f>
        <v/>
      </c>
      <c r="C960" s="14" t="str">
        <f>IF(ISBLANK(A960),"",_xlfn.XLOOKUP(A960,'DISPATCH SHEET'!C$3:C$121,'DISPATCH SHEET'!#REF!,""))</f>
        <v/>
      </c>
      <c r="D960" s="14"/>
      <c r="E960" s="15"/>
      <c r="F960" s="16"/>
      <c r="G960" s="17" t="s">
        <v>0</v>
      </c>
      <c r="H960" s="15"/>
      <c r="I960" s="14" t="s">
        <v>0</v>
      </c>
      <c r="J960" s="14"/>
      <c r="K960" s="18"/>
    </row>
    <row r="961" spans="1:11" s="5" customFormat="1" ht="15" customHeight="1" x14ac:dyDescent="0.2">
      <c r="A961" s="13"/>
      <c r="B961" s="14" t="str">
        <f>IF(A961="","",_xlfn.XLOOKUP(A961,'DISPATCH SHEET'!B$3:B$121,'DISPATCH SHEET'!C$3:C$121,""))</f>
        <v/>
      </c>
      <c r="C961" s="14" t="str">
        <f>IF(ISBLANK(A961),"",_xlfn.XLOOKUP(A961,'DISPATCH SHEET'!C$3:C$121,'DISPATCH SHEET'!#REF!,""))</f>
        <v/>
      </c>
      <c r="D961" s="14"/>
      <c r="E961" s="15"/>
      <c r="F961" s="16"/>
      <c r="G961" s="17" t="s">
        <v>0</v>
      </c>
      <c r="H961" s="15"/>
      <c r="I961" s="14" t="s">
        <v>0</v>
      </c>
      <c r="J961" s="14"/>
      <c r="K961" s="18"/>
    </row>
    <row r="962" spans="1:11" s="5" customFormat="1" ht="15" customHeight="1" x14ac:dyDescent="0.2">
      <c r="A962" s="13"/>
      <c r="B962" s="14" t="str">
        <f>IF(A962="","",_xlfn.XLOOKUP(A962,'DISPATCH SHEET'!B$3:B$121,'DISPATCH SHEET'!C$3:C$121,""))</f>
        <v/>
      </c>
      <c r="C962" s="14" t="str">
        <f>IF(ISBLANK(A962),"",_xlfn.XLOOKUP(A962,'DISPATCH SHEET'!C$3:C$121,'DISPATCH SHEET'!#REF!,""))</f>
        <v/>
      </c>
      <c r="D962" s="14"/>
      <c r="E962" s="15"/>
      <c r="F962" s="16"/>
      <c r="G962" s="17" t="s">
        <v>0</v>
      </c>
      <c r="H962" s="15"/>
      <c r="I962" s="14" t="s">
        <v>0</v>
      </c>
      <c r="J962" s="14"/>
      <c r="K962" s="18"/>
    </row>
    <row r="963" spans="1:11" s="5" customFormat="1" ht="15" customHeight="1" x14ac:dyDescent="0.2">
      <c r="A963" s="13"/>
      <c r="B963" s="14" t="str">
        <f>IF(A963="","",_xlfn.XLOOKUP(A963,'DISPATCH SHEET'!B$3:B$121,'DISPATCH SHEET'!C$3:C$121,""))</f>
        <v/>
      </c>
      <c r="C963" s="14" t="str">
        <f>IF(ISBLANK(A963),"",_xlfn.XLOOKUP(A963,'DISPATCH SHEET'!C$3:C$121,'DISPATCH SHEET'!#REF!,""))</f>
        <v/>
      </c>
      <c r="D963" s="14"/>
      <c r="E963" s="15"/>
      <c r="F963" s="16"/>
      <c r="G963" s="17" t="s">
        <v>0</v>
      </c>
      <c r="H963" s="15"/>
      <c r="I963" s="14" t="s">
        <v>0</v>
      </c>
      <c r="J963" s="14"/>
      <c r="K963" s="18"/>
    </row>
    <row r="964" spans="1:11" s="5" customFormat="1" ht="15" customHeight="1" x14ac:dyDescent="0.2">
      <c r="A964" s="13"/>
      <c r="B964" s="14" t="str">
        <f>IF(A964="","",_xlfn.XLOOKUP(A964,'DISPATCH SHEET'!B$3:B$121,'DISPATCH SHEET'!C$3:C$121,""))</f>
        <v/>
      </c>
      <c r="C964" s="14" t="str">
        <f>IF(ISBLANK(A964),"",_xlfn.XLOOKUP(A964,'DISPATCH SHEET'!C$3:C$121,'DISPATCH SHEET'!#REF!,""))</f>
        <v/>
      </c>
      <c r="D964" s="14"/>
      <c r="E964" s="15"/>
      <c r="F964" s="16"/>
      <c r="G964" s="17" t="s">
        <v>0</v>
      </c>
      <c r="H964" s="15"/>
      <c r="I964" s="14" t="s">
        <v>0</v>
      </c>
      <c r="J964" s="14"/>
      <c r="K964" s="18"/>
    </row>
    <row r="965" spans="1:11" s="5" customFormat="1" ht="15" customHeight="1" x14ac:dyDescent="0.2">
      <c r="A965" s="13"/>
      <c r="B965" s="14" t="str">
        <f>IF(A965="","",_xlfn.XLOOKUP(A965,'DISPATCH SHEET'!B$3:B$121,'DISPATCH SHEET'!C$3:C$121,""))</f>
        <v/>
      </c>
      <c r="C965" s="14" t="str">
        <f>IF(ISBLANK(A965),"",_xlfn.XLOOKUP(A965,'DISPATCH SHEET'!C$3:C$121,'DISPATCH SHEET'!#REF!,""))</f>
        <v/>
      </c>
      <c r="D965" s="14"/>
      <c r="E965" s="15"/>
      <c r="F965" s="16"/>
      <c r="G965" s="17" t="s">
        <v>0</v>
      </c>
      <c r="H965" s="15"/>
      <c r="I965" s="14" t="s">
        <v>0</v>
      </c>
      <c r="J965" s="14"/>
      <c r="K965" s="18"/>
    </row>
    <row r="966" spans="1:11" s="5" customFormat="1" ht="15" customHeight="1" x14ac:dyDescent="0.2">
      <c r="A966" s="13"/>
      <c r="B966" s="14" t="str">
        <f>IF(A966="","",_xlfn.XLOOKUP(A966,'DISPATCH SHEET'!B$3:B$121,'DISPATCH SHEET'!C$3:C$121,""))</f>
        <v/>
      </c>
      <c r="C966" s="14" t="str">
        <f>IF(ISBLANK(A966),"",_xlfn.XLOOKUP(A966,'DISPATCH SHEET'!C$3:C$121,'DISPATCH SHEET'!#REF!,""))</f>
        <v/>
      </c>
      <c r="D966" s="14"/>
      <c r="E966" s="15"/>
      <c r="F966" s="16"/>
      <c r="G966" s="17" t="s">
        <v>0</v>
      </c>
      <c r="H966" s="15"/>
      <c r="I966" s="14" t="s">
        <v>0</v>
      </c>
      <c r="J966" s="14"/>
      <c r="K966" s="18"/>
    </row>
    <row r="967" spans="1:11" s="5" customFormat="1" ht="15" customHeight="1" x14ac:dyDescent="0.2">
      <c r="A967" s="13"/>
      <c r="B967" s="14" t="str">
        <f>IF(A967="","",_xlfn.XLOOKUP(A967,'DISPATCH SHEET'!B$3:B$121,'DISPATCH SHEET'!C$3:C$121,""))</f>
        <v/>
      </c>
      <c r="C967" s="14" t="str">
        <f>IF(ISBLANK(A967),"",_xlfn.XLOOKUP(A967,'DISPATCH SHEET'!C$3:C$121,'DISPATCH SHEET'!#REF!,""))</f>
        <v/>
      </c>
      <c r="D967" s="14"/>
      <c r="E967" s="15"/>
      <c r="F967" s="16"/>
      <c r="G967" s="17" t="s">
        <v>0</v>
      </c>
      <c r="H967" s="15"/>
      <c r="I967" s="14" t="s">
        <v>0</v>
      </c>
      <c r="J967" s="14"/>
      <c r="K967" s="18"/>
    </row>
    <row r="968" spans="1:11" s="5" customFormat="1" ht="15" customHeight="1" x14ac:dyDescent="0.2">
      <c r="A968" s="13"/>
      <c r="B968" s="14" t="str">
        <f>IF(A968="","",_xlfn.XLOOKUP(A968,'DISPATCH SHEET'!B$3:B$121,'DISPATCH SHEET'!C$3:C$121,""))</f>
        <v/>
      </c>
      <c r="C968" s="14" t="str">
        <f>IF(ISBLANK(A968),"",_xlfn.XLOOKUP(A968,'DISPATCH SHEET'!C$3:C$121,'DISPATCH SHEET'!#REF!,""))</f>
        <v/>
      </c>
      <c r="D968" s="14"/>
      <c r="E968" s="15"/>
      <c r="F968" s="16"/>
      <c r="G968" s="17" t="s">
        <v>0</v>
      </c>
      <c r="H968" s="15"/>
      <c r="I968" s="14" t="s">
        <v>0</v>
      </c>
      <c r="J968" s="14"/>
      <c r="K968" s="18"/>
    </row>
    <row r="969" spans="1:11" s="5" customFormat="1" ht="15" customHeight="1" x14ac:dyDescent="0.2">
      <c r="A969" s="13"/>
      <c r="B969" s="14" t="str">
        <f>IF(A969="","",_xlfn.XLOOKUP(A969,'DISPATCH SHEET'!B$3:B$121,'DISPATCH SHEET'!C$3:C$121,""))</f>
        <v/>
      </c>
      <c r="C969" s="14" t="str">
        <f>IF(ISBLANK(A969),"",_xlfn.XLOOKUP(A969,'DISPATCH SHEET'!C$3:C$121,'DISPATCH SHEET'!#REF!,""))</f>
        <v/>
      </c>
      <c r="D969" s="14"/>
      <c r="E969" s="15"/>
      <c r="F969" s="16"/>
      <c r="G969" s="17" t="s">
        <v>0</v>
      </c>
      <c r="H969" s="15"/>
      <c r="I969" s="14" t="s">
        <v>0</v>
      </c>
      <c r="J969" s="14"/>
      <c r="K969" s="18"/>
    </row>
    <row r="970" spans="1:11" s="5" customFormat="1" ht="15" customHeight="1" x14ac:dyDescent="0.2">
      <c r="A970" s="13"/>
      <c r="B970" s="14" t="str">
        <f>IF(A970="","",_xlfn.XLOOKUP(A970,'DISPATCH SHEET'!B$3:B$121,'DISPATCH SHEET'!C$3:C$121,""))</f>
        <v/>
      </c>
      <c r="C970" s="14" t="str">
        <f>IF(ISBLANK(A970),"",_xlfn.XLOOKUP(A970,'DISPATCH SHEET'!C$3:C$121,'DISPATCH SHEET'!#REF!,""))</f>
        <v/>
      </c>
      <c r="D970" s="14"/>
      <c r="E970" s="15"/>
      <c r="F970" s="16"/>
      <c r="G970" s="17" t="s">
        <v>0</v>
      </c>
      <c r="H970" s="15"/>
      <c r="I970" s="14" t="s">
        <v>0</v>
      </c>
      <c r="J970" s="14"/>
      <c r="K970" s="18"/>
    </row>
    <row r="971" spans="1:11" s="5" customFormat="1" ht="15" customHeight="1" x14ac:dyDescent="0.2">
      <c r="A971" s="13"/>
      <c r="B971" s="14" t="str">
        <f>IF(A971="","",_xlfn.XLOOKUP(A971,'DISPATCH SHEET'!B$3:B$121,'DISPATCH SHEET'!C$3:C$121,""))</f>
        <v/>
      </c>
      <c r="C971" s="14" t="str">
        <f>IF(ISBLANK(A971),"",_xlfn.XLOOKUP(A971,'DISPATCH SHEET'!C$3:C$121,'DISPATCH SHEET'!#REF!,""))</f>
        <v/>
      </c>
      <c r="D971" s="14"/>
      <c r="E971" s="15"/>
      <c r="F971" s="16"/>
      <c r="G971" s="17" t="s">
        <v>0</v>
      </c>
      <c r="H971" s="15"/>
      <c r="I971" s="14" t="s">
        <v>0</v>
      </c>
      <c r="J971" s="14"/>
      <c r="K971" s="18"/>
    </row>
    <row r="972" spans="1:11" s="5" customFormat="1" ht="15" customHeight="1" x14ac:dyDescent="0.2">
      <c r="A972" s="13"/>
      <c r="B972" s="14" t="str">
        <f>IF(A972="","",_xlfn.XLOOKUP(A972,'DISPATCH SHEET'!B$3:B$121,'DISPATCH SHEET'!C$3:C$121,""))</f>
        <v/>
      </c>
      <c r="C972" s="14" t="str">
        <f>IF(ISBLANK(A972),"",_xlfn.XLOOKUP(A972,'DISPATCH SHEET'!C$3:C$121,'DISPATCH SHEET'!#REF!,""))</f>
        <v/>
      </c>
      <c r="D972" s="14"/>
      <c r="E972" s="15"/>
      <c r="F972" s="16"/>
      <c r="G972" s="17" t="s">
        <v>0</v>
      </c>
      <c r="H972" s="15"/>
      <c r="I972" s="14" t="s">
        <v>0</v>
      </c>
      <c r="J972" s="14"/>
      <c r="K972" s="18"/>
    </row>
    <row r="973" spans="1:11" s="5" customFormat="1" ht="15" customHeight="1" x14ac:dyDescent="0.2">
      <c r="A973" s="13"/>
      <c r="B973" s="14" t="str">
        <f>IF(A973="","",_xlfn.XLOOKUP(A973,'DISPATCH SHEET'!B$3:B$121,'DISPATCH SHEET'!C$3:C$121,""))</f>
        <v/>
      </c>
      <c r="C973" s="14" t="str">
        <f>IF(ISBLANK(A973),"",_xlfn.XLOOKUP(A973,'DISPATCH SHEET'!C$3:C$121,'DISPATCH SHEET'!#REF!,""))</f>
        <v/>
      </c>
      <c r="D973" s="14"/>
      <c r="E973" s="15"/>
      <c r="F973" s="16"/>
      <c r="G973" s="17" t="s">
        <v>0</v>
      </c>
      <c r="H973" s="15"/>
      <c r="I973" s="14" t="s">
        <v>0</v>
      </c>
      <c r="J973" s="14"/>
      <c r="K973" s="18"/>
    </row>
    <row r="974" spans="1:11" s="5" customFormat="1" ht="15" customHeight="1" x14ac:dyDescent="0.2">
      <c r="A974" s="13"/>
      <c r="B974" s="14" t="str">
        <f>IF(A974="","",_xlfn.XLOOKUP(A974,'DISPATCH SHEET'!B$3:B$121,'DISPATCH SHEET'!C$3:C$121,""))</f>
        <v/>
      </c>
      <c r="C974" s="14" t="str">
        <f>IF(ISBLANK(A974),"",_xlfn.XLOOKUP(A974,'DISPATCH SHEET'!C$3:C$121,'DISPATCH SHEET'!#REF!,""))</f>
        <v/>
      </c>
      <c r="D974" s="14"/>
      <c r="E974" s="15"/>
      <c r="F974" s="16"/>
      <c r="G974" s="17" t="s">
        <v>0</v>
      </c>
      <c r="H974" s="15"/>
      <c r="I974" s="14" t="s">
        <v>0</v>
      </c>
      <c r="J974" s="14"/>
      <c r="K974" s="18"/>
    </row>
    <row r="975" spans="1:11" s="5" customFormat="1" ht="15" customHeight="1" x14ac:dyDescent="0.2">
      <c r="A975" s="13"/>
      <c r="B975" s="14" t="str">
        <f>IF(A975="","",_xlfn.XLOOKUP(A975,'DISPATCH SHEET'!B$3:B$121,'DISPATCH SHEET'!C$3:C$121,""))</f>
        <v/>
      </c>
      <c r="C975" s="14" t="str">
        <f>IF(ISBLANK(A975),"",_xlfn.XLOOKUP(A975,'DISPATCH SHEET'!C$3:C$121,'DISPATCH SHEET'!#REF!,""))</f>
        <v/>
      </c>
      <c r="D975" s="14"/>
      <c r="E975" s="15"/>
      <c r="F975" s="16"/>
      <c r="G975" s="17" t="s">
        <v>0</v>
      </c>
      <c r="H975" s="15"/>
      <c r="I975" s="14" t="s">
        <v>0</v>
      </c>
      <c r="J975" s="14"/>
      <c r="K975" s="18"/>
    </row>
    <row r="976" spans="1:11" s="5" customFormat="1" ht="15" customHeight="1" x14ac:dyDescent="0.2">
      <c r="A976" s="13"/>
      <c r="B976" s="14" t="str">
        <f>IF(A976="","",_xlfn.XLOOKUP(A976,'DISPATCH SHEET'!B$3:B$121,'DISPATCH SHEET'!C$3:C$121,""))</f>
        <v/>
      </c>
      <c r="C976" s="14" t="str">
        <f>IF(ISBLANK(A976),"",_xlfn.XLOOKUP(A976,'DISPATCH SHEET'!C$3:C$121,'DISPATCH SHEET'!#REF!,""))</f>
        <v/>
      </c>
      <c r="D976" s="14"/>
      <c r="E976" s="15"/>
      <c r="F976" s="16"/>
      <c r="G976" s="17" t="s">
        <v>0</v>
      </c>
      <c r="H976" s="15"/>
      <c r="I976" s="14" t="s">
        <v>0</v>
      </c>
      <c r="J976" s="14"/>
      <c r="K976" s="18"/>
    </row>
    <row r="977" spans="1:11" s="5" customFormat="1" ht="15" customHeight="1" x14ac:dyDescent="0.2">
      <c r="A977" s="13"/>
      <c r="B977" s="14" t="str">
        <f>IF(A977="","",_xlfn.XLOOKUP(A977,'DISPATCH SHEET'!B$3:B$121,'DISPATCH SHEET'!C$3:C$121,""))</f>
        <v/>
      </c>
      <c r="C977" s="14" t="str">
        <f>IF(ISBLANK(A977),"",_xlfn.XLOOKUP(A977,'DISPATCH SHEET'!C$3:C$121,'DISPATCH SHEET'!#REF!,""))</f>
        <v/>
      </c>
      <c r="D977" s="14"/>
      <c r="E977" s="15"/>
      <c r="F977" s="16"/>
      <c r="G977" s="17" t="s">
        <v>0</v>
      </c>
      <c r="H977" s="15"/>
      <c r="I977" s="14" t="s">
        <v>0</v>
      </c>
      <c r="J977" s="14"/>
      <c r="K977" s="18"/>
    </row>
    <row r="978" spans="1:11" s="5" customFormat="1" ht="15" customHeight="1" x14ac:dyDescent="0.2">
      <c r="A978" s="13"/>
      <c r="B978" s="14" t="str">
        <f>IF(A978="","",_xlfn.XLOOKUP(A978,'DISPATCH SHEET'!B$3:B$121,'DISPATCH SHEET'!C$3:C$121,""))</f>
        <v/>
      </c>
      <c r="C978" s="14" t="str">
        <f>IF(ISBLANK(A978),"",_xlfn.XLOOKUP(A978,'DISPATCH SHEET'!C$3:C$121,'DISPATCH SHEET'!#REF!,""))</f>
        <v/>
      </c>
      <c r="D978" s="14"/>
      <c r="E978" s="15"/>
      <c r="F978" s="16"/>
      <c r="G978" s="17" t="s">
        <v>0</v>
      </c>
      <c r="H978" s="15"/>
      <c r="I978" s="14" t="s">
        <v>0</v>
      </c>
      <c r="J978" s="14"/>
      <c r="K978" s="18"/>
    </row>
    <row r="979" spans="1:11" s="5" customFormat="1" ht="15" customHeight="1" x14ac:dyDescent="0.2">
      <c r="A979" s="13"/>
      <c r="B979" s="14" t="str">
        <f>IF(A979="","",_xlfn.XLOOKUP(A979,'DISPATCH SHEET'!B$3:B$121,'DISPATCH SHEET'!C$3:C$121,""))</f>
        <v/>
      </c>
      <c r="C979" s="14" t="str">
        <f>IF(ISBLANK(A979),"",_xlfn.XLOOKUP(A979,'DISPATCH SHEET'!C$3:C$121,'DISPATCH SHEET'!#REF!,""))</f>
        <v/>
      </c>
      <c r="D979" s="14"/>
      <c r="E979" s="15"/>
      <c r="F979" s="16"/>
      <c r="G979" s="17" t="s">
        <v>0</v>
      </c>
      <c r="H979" s="15"/>
      <c r="I979" s="14" t="s">
        <v>0</v>
      </c>
      <c r="J979" s="14"/>
      <c r="K979" s="18"/>
    </row>
    <row r="980" spans="1:11" s="5" customFormat="1" ht="15" customHeight="1" x14ac:dyDescent="0.2">
      <c r="A980" s="13"/>
      <c r="B980" s="14" t="str">
        <f>IF(A980="","",_xlfn.XLOOKUP(A980,'DISPATCH SHEET'!B$3:B$121,'DISPATCH SHEET'!C$3:C$121,""))</f>
        <v/>
      </c>
      <c r="C980" s="14" t="str">
        <f>IF(ISBLANK(A980),"",_xlfn.XLOOKUP(A980,'DISPATCH SHEET'!C$3:C$121,'DISPATCH SHEET'!#REF!,""))</f>
        <v/>
      </c>
      <c r="D980" s="14"/>
      <c r="E980" s="15"/>
      <c r="F980" s="16"/>
      <c r="G980" s="17" t="s">
        <v>0</v>
      </c>
      <c r="H980" s="15"/>
      <c r="I980" s="14" t="s">
        <v>0</v>
      </c>
      <c r="J980" s="14"/>
      <c r="K980" s="18"/>
    </row>
    <row r="981" spans="1:11" s="5" customFormat="1" ht="15" customHeight="1" x14ac:dyDescent="0.2">
      <c r="A981" s="13"/>
      <c r="B981" s="14" t="str">
        <f>IF(A981="","",_xlfn.XLOOKUP(A981,'DISPATCH SHEET'!B$3:B$121,'DISPATCH SHEET'!C$3:C$121,""))</f>
        <v/>
      </c>
      <c r="C981" s="14" t="str">
        <f>IF(ISBLANK(A981),"",_xlfn.XLOOKUP(A981,'DISPATCH SHEET'!C$3:C$121,'DISPATCH SHEET'!#REF!,""))</f>
        <v/>
      </c>
      <c r="D981" s="14"/>
      <c r="E981" s="15"/>
      <c r="F981" s="16"/>
      <c r="G981" s="17" t="s">
        <v>0</v>
      </c>
      <c r="H981" s="15"/>
      <c r="I981" s="14" t="s">
        <v>0</v>
      </c>
      <c r="J981" s="14"/>
      <c r="K981" s="18"/>
    </row>
    <row r="982" spans="1:11" s="5" customFormat="1" ht="15" customHeight="1" x14ac:dyDescent="0.2">
      <c r="A982" s="13"/>
      <c r="B982" s="14" t="str">
        <f>IF(A982="","",_xlfn.XLOOKUP(A982,'DISPATCH SHEET'!B$3:B$121,'DISPATCH SHEET'!C$3:C$121,""))</f>
        <v/>
      </c>
      <c r="C982" s="14" t="str">
        <f>IF(ISBLANK(A982),"",_xlfn.XLOOKUP(A982,'DISPATCH SHEET'!C$3:C$121,'DISPATCH SHEET'!#REF!,""))</f>
        <v/>
      </c>
      <c r="D982" s="14"/>
      <c r="E982" s="15"/>
      <c r="F982" s="16"/>
      <c r="G982" s="17" t="s">
        <v>0</v>
      </c>
      <c r="H982" s="15"/>
      <c r="I982" s="14" t="s">
        <v>0</v>
      </c>
      <c r="J982" s="14"/>
      <c r="K982" s="18"/>
    </row>
    <row r="983" spans="1:11" s="5" customFormat="1" ht="15" customHeight="1" x14ac:dyDescent="0.2">
      <c r="A983" s="13"/>
      <c r="B983" s="14" t="str">
        <f>IF(A983="","",_xlfn.XLOOKUP(A983,'DISPATCH SHEET'!B$3:B$121,'DISPATCH SHEET'!C$3:C$121,""))</f>
        <v/>
      </c>
      <c r="C983" s="14" t="str">
        <f>IF(ISBLANK(A983),"",_xlfn.XLOOKUP(A983,'DISPATCH SHEET'!C$3:C$121,'DISPATCH SHEET'!#REF!,""))</f>
        <v/>
      </c>
      <c r="D983" s="14"/>
      <c r="E983" s="15"/>
      <c r="F983" s="16"/>
      <c r="G983" s="17" t="s">
        <v>0</v>
      </c>
      <c r="H983" s="15"/>
      <c r="I983" s="14" t="s">
        <v>0</v>
      </c>
      <c r="J983" s="14"/>
      <c r="K983" s="18"/>
    </row>
    <row r="984" spans="1:11" s="5" customFormat="1" ht="15" customHeight="1" x14ac:dyDescent="0.2">
      <c r="A984" s="13"/>
      <c r="B984" s="14" t="str">
        <f>IF(A984="","",_xlfn.XLOOKUP(A984,'DISPATCH SHEET'!B$3:B$121,'DISPATCH SHEET'!C$3:C$121,""))</f>
        <v/>
      </c>
      <c r="C984" s="14" t="str">
        <f>IF(ISBLANK(A984),"",_xlfn.XLOOKUP(A984,'DISPATCH SHEET'!C$3:C$121,'DISPATCH SHEET'!#REF!,""))</f>
        <v/>
      </c>
      <c r="D984" s="14"/>
      <c r="E984" s="15"/>
      <c r="F984" s="16"/>
      <c r="G984" s="17" t="s">
        <v>0</v>
      </c>
      <c r="H984" s="15"/>
      <c r="I984" s="14" t="s">
        <v>0</v>
      </c>
      <c r="J984" s="14"/>
      <c r="K984" s="18"/>
    </row>
    <row r="985" spans="1:11" s="5" customFormat="1" ht="15" customHeight="1" x14ac:dyDescent="0.2">
      <c r="A985" s="13"/>
      <c r="B985" s="14" t="str">
        <f>IF(A985="","",_xlfn.XLOOKUP(A985,'DISPATCH SHEET'!B$3:B$121,'DISPATCH SHEET'!C$3:C$121,""))</f>
        <v/>
      </c>
      <c r="C985" s="14" t="str">
        <f>IF(ISBLANK(A985),"",_xlfn.XLOOKUP(A985,'DISPATCH SHEET'!C$3:C$121,'DISPATCH SHEET'!#REF!,""))</f>
        <v/>
      </c>
      <c r="D985" s="14"/>
      <c r="E985" s="15"/>
      <c r="F985" s="16"/>
      <c r="G985" s="17" t="s">
        <v>0</v>
      </c>
      <c r="H985" s="15"/>
      <c r="I985" s="14" t="s">
        <v>0</v>
      </c>
      <c r="J985" s="14"/>
      <c r="K985" s="18"/>
    </row>
    <row r="986" spans="1:11" s="5" customFormat="1" ht="15" customHeight="1" x14ac:dyDescent="0.2">
      <c r="A986" s="13"/>
      <c r="B986" s="14" t="str">
        <f>IF(A986="","",_xlfn.XLOOKUP(A986,'DISPATCH SHEET'!B$3:B$121,'DISPATCH SHEET'!C$3:C$121,""))</f>
        <v/>
      </c>
      <c r="C986" s="14" t="str">
        <f>IF(ISBLANK(A986),"",_xlfn.XLOOKUP(A986,'DISPATCH SHEET'!C$3:C$121,'DISPATCH SHEET'!#REF!,""))</f>
        <v/>
      </c>
      <c r="D986" s="14"/>
      <c r="E986" s="15"/>
      <c r="F986" s="16"/>
      <c r="G986" s="17" t="s">
        <v>0</v>
      </c>
      <c r="H986" s="15"/>
      <c r="I986" s="14" t="s">
        <v>0</v>
      </c>
      <c r="J986" s="14"/>
      <c r="K986" s="18"/>
    </row>
    <row r="987" spans="1:11" s="5" customFormat="1" ht="15" customHeight="1" x14ac:dyDescent="0.2">
      <c r="A987" s="13"/>
      <c r="B987" s="14" t="str">
        <f>IF(A987="","",_xlfn.XLOOKUP(A987,'DISPATCH SHEET'!B$3:B$121,'DISPATCH SHEET'!C$3:C$121,""))</f>
        <v/>
      </c>
      <c r="C987" s="14" t="str">
        <f>IF(ISBLANK(A987),"",_xlfn.XLOOKUP(A987,'DISPATCH SHEET'!C$3:C$121,'DISPATCH SHEET'!#REF!,""))</f>
        <v/>
      </c>
      <c r="D987" s="14"/>
      <c r="E987" s="15"/>
      <c r="F987" s="16"/>
      <c r="G987" s="17" t="s">
        <v>0</v>
      </c>
      <c r="H987" s="15"/>
      <c r="I987" s="14" t="s">
        <v>0</v>
      </c>
      <c r="J987" s="14"/>
      <c r="K987" s="18"/>
    </row>
    <row r="988" spans="1:11" s="5" customFormat="1" ht="15" customHeight="1" x14ac:dyDescent="0.2">
      <c r="A988" s="13"/>
      <c r="B988" s="14" t="str">
        <f>IF(A988="","",_xlfn.XLOOKUP(A988,'DISPATCH SHEET'!B$3:B$121,'DISPATCH SHEET'!C$3:C$121,""))</f>
        <v/>
      </c>
      <c r="C988" s="14" t="str">
        <f>IF(ISBLANK(A988),"",_xlfn.XLOOKUP(A988,'DISPATCH SHEET'!C$3:C$121,'DISPATCH SHEET'!#REF!,""))</f>
        <v/>
      </c>
      <c r="D988" s="14"/>
      <c r="E988" s="15"/>
      <c r="F988" s="16"/>
      <c r="G988" s="17" t="s">
        <v>0</v>
      </c>
      <c r="H988" s="15"/>
      <c r="I988" s="14" t="s">
        <v>0</v>
      </c>
      <c r="J988" s="14"/>
      <c r="K988" s="18"/>
    </row>
    <row r="989" spans="1:11" s="5" customFormat="1" ht="15" customHeight="1" x14ac:dyDescent="0.2">
      <c r="A989" s="13"/>
      <c r="B989" s="14" t="str">
        <f>IF(A989="","",_xlfn.XLOOKUP(A989,'DISPATCH SHEET'!B$3:B$121,'DISPATCH SHEET'!C$3:C$121,""))</f>
        <v/>
      </c>
      <c r="C989" s="14" t="str">
        <f>IF(ISBLANK(A989),"",_xlfn.XLOOKUP(A989,'DISPATCH SHEET'!C$3:C$121,'DISPATCH SHEET'!#REF!,""))</f>
        <v/>
      </c>
      <c r="D989" s="14"/>
      <c r="E989" s="15"/>
      <c r="F989" s="16"/>
      <c r="G989" s="17" t="s">
        <v>0</v>
      </c>
      <c r="H989" s="15"/>
      <c r="I989" s="14" t="s">
        <v>0</v>
      </c>
      <c r="J989" s="14"/>
      <c r="K989" s="18"/>
    </row>
    <row r="990" spans="1:11" s="5" customFormat="1" ht="15" customHeight="1" x14ac:dyDescent="0.2">
      <c r="A990" s="13"/>
      <c r="B990" s="14" t="str">
        <f>IF(A990="","",_xlfn.XLOOKUP(A990,'DISPATCH SHEET'!B$3:B$121,'DISPATCH SHEET'!C$3:C$121,""))</f>
        <v/>
      </c>
      <c r="C990" s="14" t="str">
        <f>IF(ISBLANK(A990),"",_xlfn.XLOOKUP(A990,'DISPATCH SHEET'!C$3:C$121,'DISPATCH SHEET'!#REF!,""))</f>
        <v/>
      </c>
      <c r="D990" s="14"/>
      <c r="E990" s="15"/>
      <c r="F990" s="16"/>
      <c r="G990" s="17" t="s">
        <v>0</v>
      </c>
      <c r="H990" s="15"/>
      <c r="I990" s="14" t="s">
        <v>0</v>
      </c>
      <c r="J990" s="14"/>
      <c r="K990" s="18"/>
    </row>
    <row r="991" spans="1:11" s="5" customFormat="1" ht="15" customHeight="1" x14ac:dyDescent="0.2">
      <c r="A991" s="13"/>
      <c r="B991" s="14" t="str">
        <f>IF(A991="","",_xlfn.XLOOKUP(A991,'DISPATCH SHEET'!B$3:B$121,'DISPATCH SHEET'!C$3:C$121,""))</f>
        <v/>
      </c>
      <c r="C991" s="14" t="str">
        <f>IF(ISBLANK(A991),"",_xlfn.XLOOKUP(A991,'DISPATCH SHEET'!C$3:C$121,'DISPATCH SHEET'!#REF!,""))</f>
        <v/>
      </c>
      <c r="D991" s="14"/>
      <c r="E991" s="15"/>
      <c r="F991" s="16"/>
      <c r="G991" s="17" t="s">
        <v>0</v>
      </c>
      <c r="H991" s="15"/>
      <c r="I991" s="14" t="s">
        <v>0</v>
      </c>
      <c r="J991" s="14"/>
      <c r="K991" s="18"/>
    </row>
    <row r="992" spans="1:11" s="5" customFormat="1" ht="15" customHeight="1" x14ac:dyDescent="0.2">
      <c r="A992" s="13"/>
      <c r="B992" s="14" t="str">
        <f>IF(A992="","",_xlfn.XLOOKUP(A992,'DISPATCH SHEET'!B$3:B$121,'DISPATCH SHEET'!C$3:C$121,""))</f>
        <v/>
      </c>
      <c r="C992" s="14" t="str">
        <f>IF(ISBLANK(A992),"",_xlfn.XLOOKUP(A992,'DISPATCH SHEET'!C$3:C$121,'DISPATCH SHEET'!#REF!,""))</f>
        <v/>
      </c>
      <c r="D992" s="14"/>
      <c r="E992" s="15"/>
      <c r="F992" s="16"/>
      <c r="G992" s="17" t="s">
        <v>0</v>
      </c>
      <c r="H992" s="15"/>
      <c r="I992" s="14" t="s">
        <v>0</v>
      </c>
      <c r="J992" s="14"/>
      <c r="K992" s="18"/>
    </row>
    <row r="993" spans="1:11" s="5" customFormat="1" ht="15" customHeight="1" x14ac:dyDescent="0.2">
      <c r="A993" s="13"/>
      <c r="B993" s="14" t="str">
        <f>IF(A993="","",_xlfn.XLOOKUP(A993,'DISPATCH SHEET'!B$3:B$121,'DISPATCH SHEET'!C$3:C$121,""))</f>
        <v/>
      </c>
      <c r="C993" s="14" t="str">
        <f>IF(ISBLANK(A993),"",_xlfn.XLOOKUP(A993,'DISPATCH SHEET'!C$3:C$121,'DISPATCH SHEET'!#REF!,""))</f>
        <v/>
      </c>
      <c r="D993" s="14"/>
      <c r="E993" s="15"/>
      <c r="F993" s="16"/>
      <c r="G993" s="17" t="s">
        <v>0</v>
      </c>
      <c r="H993" s="15"/>
      <c r="I993" s="14" t="s">
        <v>0</v>
      </c>
      <c r="J993" s="14"/>
      <c r="K993" s="18"/>
    </row>
    <row r="994" spans="1:11" s="5" customFormat="1" ht="15" customHeight="1" x14ac:dyDescent="0.2">
      <c r="A994" s="13"/>
      <c r="B994" s="14" t="str">
        <f>IF(A994="","",_xlfn.XLOOKUP(A994,'DISPATCH SHEET'!B$3:B$121,'DISPATCH SHEET'!C$3:C$121,""))</f>
        <v/>
      </c>
      <c r="C994" s="14" t="str">
        <f>IF(ISBLANK(A994),"",_xlfn.XLOOKUP(A994,'DISPATCH SHEET'!C$3:C$121,'DISPATCH SHEET'!#REF!,""))</f>
        <v/>
      </c>
      <c r="D994" s="14"/>
      <c r="E994" s="15"/>
      <c r="F994" s="16"/>
      <c r="G994" s="17" t="s">
        <v>0</v>
      </c>
      <c r="H994" s="15"/>
      <c r="I994" s="14" t="s">
        <v>0</v>
      </c>
      <c r="J994" s="14"/>
      <c r="K994" s="18"/>
    </row>
    <row r="995" spans="1:11" s="5" customFormat="1" ht="15" customHeight="1" x14ac:dyDescent="0.2">
      <c r="A995" s="13"/>
      <c r="B995" s="14" t="str">
        <f>IF(A995="","",_xlfn.XLOOKUP(A995,'DISPATCH SHEET'!B$3:B$121,'DISPATCH SHEET'!C$3:C$121,""))</f>
        <v/>
      </c>
      <c r="C995" s="14" t="str">
        <f>IF(ISBLANK(A995),"",_xlfn.XLOOKUP(A995,'DISPATCH SHEET'!C$3:C$121,'DISPATCH SHEET'!#REF!,""))</f>
        <v/>
      </c>
      <c r="D995" s="14"/>
      <c r="E995" s="15"/>
      <c r="F995" s="16"/>
      <c r="G995" s="17" t="s">
        <v>0</v>
      </c>
      <c r="H995" s="15"/>
      <c r="I995" s="14" t="s">
        <v>0</v>
      </c>
      <c r="J995" s="14"/>
      <c r="K995" s="18"/>
    </row>
    <row r="996" spans="1:11" s="5" customFormat="1" ht="15" customHeight="1" x14ac:dyDescent="0.2">
      <c r="A996" s="13"/>
      <c r="B996" s="14" t="str">
        <f>IF(A996="","",_xlfn.XLOOKUP(A996,'DISPATCH SHEET'!B$3:B$121,'DISPATCH SHEET'!C$3:C$121,""))</f>
        <v/>
      </c>
      <c r="C996" s="14" t="str">
        <f>IF(ISBLANK(A996),"",_xlfn.XLOOKUP(A996,'DISPATCH SHEET'!C$3:C$121,'DISPATCH SHEET'!#REF!,""))</f>
        <v/>
      </c>
      <c r="D996" s="14"/>
      <c r="E996" s="15"/>
      <c r="F996" s="16"/>
      <c r="G996" s="17" t="s">
        <v>0</v>
      </c>
      <c r="H996" s="15"/>
      <c r="I996" s="14" t="s">
        <v>0</v>
      </c>
      <c r="J996" s="14"/>
      <c r="K996" s="18"/>
    </row>
    <row r="997" spans="1:11" s="5" customFormat="1" ht="15" customHeight="1" x14ac:dyDescent="0.2">
      <c r="A997" s="13"/>
      <c r="B997" s="14" t="str">
        <f>IF(A997="","",_xlfn.XLOOKUP(A997,'DISPATCH SHEET'!B$3:B$121,'DISPATCH SHEET'!C$3:C$121,""))</f>
        <v/>
      </c>
      <c r="C997" s="14" t="str">
        <f>IF(ISBLANK(A997),"",_xlfn.XLOOKUP(A997,'DISPATCH SHEET'!C$3:C$121,'DISPATCH SHEET'!#REF!,""))</f>
        <v/>
      </c>
      <c r="D997" s="14"/>
      <c r="E997" s="15"/>
      <c r="F997" s="16"/>
      <c r="G997" s="17" t="s">
        <v>0</v>
      </c>
      <c r="H997" s="15"/>
      <c r="I997" s="14" t="s">
        <v>0</v>
      </c>
      <c r="J997" s="14"/>
      <c r="K997" s="18"/>
    </row>
    <row r="998" spans="1:11" s="5" customFormat="1" ht="15" customHeight="1" x14ac:dyDescent="0.2">
      <c r="A998" s="13"/>
      <c r="B998" s="14" t="str">
        <f>IF(A998="","",_xlfn.XLOOKUP(A998,'DISPATCH SHEET'!B$3:B$121,'DISPATCH SHEET'!C$3:C$121,""))</f>
        <v/>
      </c>
      <c r="C998" s="14" t="str">
        <f>IF(ISBLANK(A998),"",_xlfn.XLOOKUP(A998,'DISPATCH SHEET'!C$3:C$121,'DISPATCH SHEET'!#REF!,""))</f>
        <v/>
      </c>
      <c r="D998" s="14"/>
      <c r="E998" s="15"/>
      <c r="F998" s="16"/>
      <c r="G998" s="17" t="s">
        <v>0</v>
      </c>
      <c r="H998" s="15"/>
      <c r="I998" s="14" t="s">
        <v>0</v>
      </c>
      <c r="J998" s="14"/>
      <c r="K998" s="18"/>
    </row>
    <row r="999" spans="1:11" s="5" customFormat="1" ht="15" customHeight="1" x14ac:dyDescent="0.2">
      <c r="A999" s="13"/>
      <c r="B999" s="14" t="str">
        <f>IF(A999="","",_xlfn.XLOOKUP(A999,'DISPATCH SHEET'!B$3:B$121,'DISPATCH SHEET'!C$3:C$121,""))</f>
        <v/>
      </c>
      <c r="C999" s="14" t="str">
        <f>IF(ISBLANK(A999),"",_xlfn.XLOOKUP(A999,'DISPATCH SHEET'!C$3:C$121,'DISPATCH SHEET'!#REF!,""))</f>
        <v/>
      </c>
      <c r="D999" s="14"/>
      <c r="E999" s="15"/>
      <c r="F999" s="16"/>
      <c r="G999" s="17" t="s">
        <v>0</v>
      </c>
      <c r="H999" s="15"/>
      <c r="I999" s="14" t="s">
        <v>0</v>
      </c>
      <c r="J999" s="14"/>
      <c r="K999" s="18"/>
    </row>
    <row r="1000" spans="1:11" s="5" customFormat="1" ht="15" customHeight="1" x14ac:dyDescent="0.2">
      <c r="A1000" s="13"/>
      <c r="B1000" s="14" t="str">
        <f>IF(A1000="","",_xlfn.XLOOKUP(A1000,'DISPATCH SHEET'!B$3:B$121,'DISPATCH SHEET'!C$3:C$121,""))</f>
        <v/>
      </c>
      <c r="C1000" s="14" t="str">
        <f>IF(ISBLANK(A1000),"",_xlfn.XLOOKUP(A1000,'DISPATCH SHEET'!C$3:C$121,'DISPATCH SHEET'!#REF!,""))</f>
        <v/>
      </c>
      <c r="D1000" s="14"/>
      <c r="E1000" s="15"/>
      <c r="F1000" s="16"/>
      <c r="G1000" s="17" t="s">
        <v>0</v>
      </c>
      <c r="H1000" s="15"/>
      <c r="I1000" s="14" t="s">
        <v>0</v>
      </c>
      <c r="J1000" s="14"/>
      <c r="K1000" s="18"/>
    </row>
    <row r="1001" spans="1:11" s="5" customFormat="1" ht="15" customHeight="1" x14ac:dyDescent="0.2">
      <c r="A1001" s="13"/>
      <c r="B1001" s="14" t="str">
        <f>IF(A1001="","",_xlfn.XLOOKUP(A1001,'DISPATCH SHEET'!B$3:B$121,'DISPATCH SHEET'!C$3:C$121,""))</f>
        <v/>
      </c>
      <c r="C1001" s="14" t="str">
        <f>IF(ISBLANK(A1001),"",_xlfn.XLOOKUP(A1001,'DISPATCH SHEET'!C$3:C$121,'DISPATCH SHEET'!#REF!,""))</f>
        <v/>
      </c>
      <c r="D1001" s="14"/>
      <c r="E1001" s="15"/>
      <c r="F1001" s="16"/>
      <c r="G1001" s="17" t="s">
        <v>0</v>
      </c>
      <c r="H1001" s="15"/>
      <c r="I1001" s="14" t="s">
        <v>0</v>
      </c>
      <c r="J1001" s="14"/>
      <c r="K1001" s="18"/>
    </row>
    <row r="1002" spans="1:11" s="5" customFormat="1" ht="15" customHeight="1" x14ac:dyDescent="0.2">
      <c r="A1002" s="13"/>
      <c r="B1002" s="14" t="str">
        <f>IF(A1002="","",_xlfn.XLOOKUP(A1002,'DISPATCH SHEET'!B$3:B$121,'DISPATCH SHEET'!C$3:C$121,""))</f>
        <v/>
      </c>
      <c r="C1002" s="14" t="str">
        <f>IF(ISBLANK(A1002),"",_xlfn.XLOOKUP(A1002,'DISPATCH SHEET'!C$3:C$121,'DISPATCH SHEET'!#REF!,""))</f>
        <v/>
      </c>
      <c r="D1002" s="14"/>
      <c r="E1002" s="15"/>
      <c r="F1002" s="16"/>
      <c r="G1002" s="17" t="s">
        <v>0</v>
      </c>
      <c r="H1002" s="15"/>
      <c r="I1002" s="14" t="s">
        <v>0</v>
      </c>
      <c r="J1002" s="14"/>
      <c r="K1002" s="18"/>
    </row>
    <row r="1003" spans="1:11" s="5" customFormat="1" ht="15" customHeight="1" x14ac:dyDescent="0.2">
      <c r="A1003" s="13"/>
      <c r="B1003" s="14" t="str">
        <f>IF(A1003="","",_xlfn.XLOOKUP(A1003,'DISPATCH SHEET'!B$3:B$121,'DISPATCH SHEET'!C$3:C$121,""))</f>
        <v/>
      </c>
      <c r="C1003" s="14" t="str">
        <f>IF(ISBLANK(A1003),"",_xlfn.XLOOKUP(A1003,'DISPATCH SHEET'!C$3:C$121,'DISPATCH SHEET'!#REF!,""))</f>
        <v/>
      </c>
      <c r="D1003" s="14"/>
      <c r="E1003" s="15"/>
      <c r="F1003" s="16"/>
      <c r="G1003" s="17" t="s">
        <v>0</v>
      </c>
      <c r="H1003" s="15"/>
      <c r="I1003" s="14" t="s">
        <v>0</v>
      </c>
      <c r="J1003" s="14"/>
      <c r="K1003" s="18"/>
    </row>
    <row r="1004" spans="1:11" s="5" customFormat="1" ht="15" customHeight="1" x14ac:dyDescent="0.2">
      <c r="A1004" s="13"/>
      <c r="B1004" s="14" t="str">
        <f>IF(A1004="","",_xlfn.XLOOKUP(A1004,'DISPATCH SHEET'!B$3:B$121,'DISPATCH SHEET'!C$3:C$121,""))</f>
        <v/>
      </c>
      <c r="C1004" s="14" t="str">
        <f>IF(ISBLANK(A1004),"",_xlfn.XLOOKUP(A1004,'DISPATCH SHEET'!C$3:C$121,'DISPATCH SHEET'!#REF!,""))</f>
        <v/>
      </c>
      <c r="D1004" s="14"/>
      <c r="E1004" s="15"/>
      <c r="F1004" s="16"/>
      <c r="G1004" s="17" t="s">
        <v>0</v>
      </c>
      <c r="H1004" s="15"/>
      <c r="I1004" s="14" t="s">
        <v>0</v>
      </c>
      <c r="J1004" s="14"/>
      <c r="K1004" s="18"/>
    </row>
    <row r="1005" spans="1:11" s="5" customFormat="1" ht="15" customHeight="1" x14ac:dyDescent="0.2">
      <c r="A1005" s="13"/>
      <c r="B1005" s="14" t="str">
        <f>IF(A1005="","",_xlfn.XLOOKUP(A1005,'DISPATCH SHEET'!B$3:B$121,'DISPATCH SHEET'!C$3:C$121,""))</f>
        <v/>
      </c>
      <c r="C1005" s="14" t="str">
        <f>IF(ISBLANK(A1005),"",_xlfn.XLOOKUP(A1005,'DISPATCH SHEET'!C$3:C$121,'DISPATCH SHEET'!#REF!,""))</f>
        <v/>
      </c>
      <c r="D1005" s="14"/>
      <c r="E1005" s="15"/>
      <c r="F1005" s="16"/>
      <c r="G1005" s="17" t="s">
        <v>0</v>
      </c>
      <c r="H1005" s="15"/>
      <c r="I1005" s="14" t="s">
        <v>0</v>
      </c>
      <c r="J1005" s="14"/>
      <c r="K1005" s="18"/>
    </row>
    <row r="1006" spans="1:11" s="5" customFormat="1" ht="15" customHeight="1" x14ac:dyDescent="0.2">
      <c r="A1006" s="13"/>
      <c r="B1006" s="14" t="str">
        <f>IF(A1006="","",_xlfn.XLOOKUP(A1006,'DISPATCH SHEET'!B$3:B$121,'DISPATCH SHEET'!C$3:C$121,""))</f>
        <v/>
      </c>
      <c r="C1006" s="14" t="str">
        <f>IF(ISBLANK(A1006),"",_xlfn.XLOOKUP(A1006,'DISPATCH SHEET'!C$3:C$121,'DISPATCH SHEET'!#REF!,""))</f>
        <v/>
      </c>
      <c r="D1006" s="14"/>
      <c r="E1006" s="15"/>
      <c r="F1006" s="16"/>
      <c r="G1006" s="17" t="s">
        <v>0</v>
      </c>
      <c r="H1006" s="15"/>
      <c r="I1006" s="14" t="s">
        <v>0</v>
      </c>
      <c r="J1006" s="14"/>
      <c r="K1006" s="18"/>
    </row>
    <row r="1007" spans="1:11" s="5" customFormat="1" ht="15" customHeight="1" x14ac:dyDescent="0.2">
      <c r="A1007" s="13"/>
      <c r="B1007" s="14" t="str">
        <f>IF(A1007="","",_xlfn.XLOOKUP(A1007,'DISPATCH SHEET'!B$3:B$121,'DISPATCH SHEET'!C$3:C$121,""))</f>
        <v/>
      </c>
      <c r="C1007" s="14" t="str">
        <f>IF(ISBLANK(A1007),"",_xlfn.XLOOKUP(A1007,'DISPATCH SHEET'!C$3:C$121,'DISPATCH SHEET'!#REF!,""))</f>
        <v/>
      </c>
      <c r="D1007" s="14"/>
      <c r="E1007" s="15"/>
      <c r="F1007" s="16"/>
      <c r="G1007" s="17" t="s">
        <v>0</v>
      </c>
      <c r="H1007" s="15"/>
      <c r="I1007" s="14" t="s">
        <v>0</v>
      </c>
      <c r="J1007" s="14"/>
      <c r="K1007" s="18"/>
    </row>
    <row r="1008" spans="1:11" s="5" customFormat="1" ht="15" customHeight="1" x14ac:dyDescent="0.2">
      <c r="A1008" s="13"/>
      <c r="B1008" s="14" t="str">
        <f>IF(A1008="","",_xlfn.XLOOKUP(A1008,'DISPATCH SHEET'!B$3:B$121,'DISPATCH SHEET'!C$3:C$121,""))</f>
        <v/>
      </c>
      <c r="C1008" s="14" t="str">
        <f>IF(ISBLANK(A1008),"",_xlfn.XLOOKUP(A1008,'DISPATCH SHEET'!C$3:C$121,'DISPATCH SHEET'!#REF!,""))</f>
        <v/>
      </c>
      <c r="D1008" s="14"/>
      <c r="E1008" s="15"/>
      <c r="F1008" s="16"/>
      <c r="G1008" s="17" t="s">
        <v>0</v>
      </c>
      <c r="H1008" s="15"/>
      <c r="I1008" s="14" t="s">
        <v>0</v>
      </c>
      <c r="J1008" s="14"/>
      <c r="K1008" s="18"/>
    </row>
    <row r="1009" spans="1:11" s="5" customFormat="1" ht="15" customHeight="1" x14ac:dyDescent="0.2">
      <c r="A1009" s="13"/>
      <c r="B1009" s="14" t="str">
        <f>IF(A1009="","",_xlfn.XLOOKUP(A1009,'DISPATCH SHEET'!B$3:B$121,'DISPATCH SHEET'!C$3:C$121,""))</f>
        <v/>
      </c>
      <c r="C1009" s="14" t="str">
        <f>IF(ISBLANK(A1009),"",_xlfn.XLOOKUP(A1009,'DISPATCH SHEET'!C$3:C$121,'DISPATCH SHEET'!#REF!,""))</f>
        <v/>
      </c>
      <c r="D1009" s="14"/>
      <c r="E1009" s="15"/>
      <c r="F1009" s="16"/>
      <c r="G1009" s="17" t="s">
        <v>0</v>
      </c>
      <c r="H1009" s="15"/>
      <c r="I1009" s="14" t="s">
        <v>0</v>
      </c>
      <c r="J1009" s="14"/>
      <c r="K1009" s="18"/>
    </row>
    <row r="1010" spans="1:11" s="5" customFormat="1" ht="15" customHeight="1" x14ac:dyDescent="0.2">
      <c r="A1010" s="13"/>
      <c r="B1010" s="14" t="str">
        <f>IF(A1010="","",_xlfn.XLOOKUP(A1010,'DISPATCH SHEET'!B$3:B$121,'DISPATCH SHEET'!C$3:C$121,""))</f>
        <v/>
      </c>
      <c r="C1010" s="14" t="str">
        <f>IF(ISBLANK(A1010),"",_xlfn.XLOOKUP(A1010,'DISPATCH SHEET'!C$3:C$121,'DISPATCH SHEET'!#REF!,""))</f>
        <v/>
      </c>
      <c r="D1010" s="14"/>
      <c r="E1010" s="15"/>
      <c r="F1010" s="16"/>
      <c r="G1010" s="17" t="s">
        <v>0</v>
      </c>
      <c r="H1010" s="15"/>
      <c r="I1010" s="14" t="s">
        <v>0</v>
      </c>
      <c r="J1010" s="14"/>
      <c r="K1010" s="18"/>
    </row>
    <row r="1011" spans="1:11" s="5" customFormat="1" ht="15" customHeight="1" x14ac:dyDescent="0.2">
      <c r="A1011" s="13"/>
      <c r="B1011" s="14" t="str">
        <f>IF(A1011="","",_xlfn.XLOOKUP(A1011,'DISPATCH SHEET'!B$3:B$121,'DISPATCH SHEET'!C$3:C$121,""))</f>
        <v/>
      </c>
      <c r="C1011" s="14" t="str">
        <f>IF(ISBLANK(A1011),"",_xlfn.XLOOKUP(A1011,'DISPATCH SHEET'!C$3:C$121,'DISPATCH SHEET'!#REF!,""))</f>
        <v/>
      </c>
      <c r="D1011" s="14"/>
      <c r="E1011" s="15"/>
      <c r="F1011" s="16"/>
      <c r="G1011" s="17" t="s">
        <v>0</v>
      </c>
      <c r="H1011" s="15"/>
      <c r="I1011" s="14" t="s">
        <v>0</v>
      </c>
      <c r="J1011" s="14"/>
      <c r="K1011" s="18"/>
    </row>
    <row r="1012" spans="1:11" s="5" customFormat="1" ht="15" customHeight="1" x14ac:dyDescent="0.2">
      <c r="A1012" s="13"/>
      <c r="B1012" s="14" t="str">
        <f>IF(A1012="","",_xlfn.XLOOKUP(A1012,'DISPATCH SHEET'!B$3:B$121,'DISPATCH SHEET'!C$3:C$121,""))</f>
        <v/>
      </c>
      <c r="C1012" s="14" t="str">
        <f>IF(ISBLANK(A1012),"",_xlfn.XLOOKUP(A1012,'DISPATCH SHEET'!C$3:C$121,'DISPATCH SHEET'!#REF!,""))</f>
        <v/>
      </c>
      <c r="D1012" s="14"/>
      <c r="E1012" s="15"/>
      <c r="F1012" s="16"/>
      <c r="G1012" s="17" t="s">
        <v>0</v>
      </c>
      <c r="H1012" s="15"/>
      <c r="I1012" s="14" t="s">
        <v>0</v>
      </c>
      <c r="J1012" s="14"/>
      <c r="K1012" s="18"/>
    </row>
    <row r="1013" spans="1:11" s="5" customFormat="1" ht="15" customHeight="1" x14ac:dyDescent="0.2">
      <c r="A1013" s="13"/>
      <c r="B1013" s="14" t="str">
        <f>IF(A1013="","",_xlfn.XLOOKUP(A1013,'DISPATCH SHEET'!B$3:B$121,'DISPATCH SHEET'!C$3:C$121,""))</f>
        <v/>
      </c>
      <c r="C1013" s="14" t="str">
        <f>IF(ISBLANK(A1013),"",_xlfn.XLOOKUP(A1013,'DISPATCH SHEET'!C$3:C$121,'DISPATCH SHEET'!#REF!,""))</f>
        <v/>
      </c>
      <c r="D1013" s="14"/>
      <c r="E1013" s="15"/>
      <c r="F1013" s="16"/>
      <c r="G1013" s="17" t="s">
        <v>0</v>
      </c>
      <c r="H1013" s="15"/>
      <c r="I1013" s="14" t="s">
        <v>0</v>
      </c>
      <c r="J1013" s="14"/>
      <c r="K1013" s="18"/>
    </row>
    <row r="1014" spans="1:11" s="5" customFormat="1" ht="15" customHeight="1" x14ac:dyDescent="0.2">
      <c r="A1014" s="13"/>
      <c r="B1014" s="14" t="str">
        <f>IF(A1014="","",_xlfn.XLOOKUP(A1014,'DISPATCH SHEET'!B$3:B$121,'DISPATCH SHEET'!C$3:C$121,""))</f>
        <v/>
      </c>
      <c r="C1014" s="14" t="str">
        <f>IF(ISBLANK(A1014),"",_xlfn.XLOOKUP(A1014,'DISPATCH SHEET'!C$3:C$121,'DISPATCH SHEET'!#REF!,""))</f>
        <v/>
      </c>
      <c r="D1014" s="14"/>
      <c r="E1014" s="15"/>
      <c r="F1014" s="16"/>
      <c r="G1014" s="17" t="s">
        <v>0</v>
      </c>
      <c r="H1014" s="15"/>
      <c r="I1014" s="14" t="s">
        <v>0</v>
      </c>
      <c r="J1014" s="14"/>
      <c r="K1014" s="18"/>
    </row>
    <row r="1015" spans="1:11" s="5" customFormat="1" ht="15" customHeight="1" x14ac:dyDescent="0.2">
      <c r="A1015" s="13"/>
      <c r="B1015" s="14" t="str">
        <f>IF(A1015="","",_xlfn.XLOOKUP(A1015,'DISPATCH SHEET'!B$3:B$121,'DISPATCH SHEET'!C$3:C$121,""))</f>
        <v/>
      </c>
      <c r="C1015" s="14" t="str">
        <f>IF(ISBLANK(A1015),"",_xlfn.XLOOKUP(A1015,'DISPATCH SHEET'!C$3:C$121,'DISPATCH SHEET'!#REF!,""))</f>
        <v/>
      </c>
      <c r="D1015" s="14"/>
      <c r="E1015" s="15"/>
      <c r="F1015" s="16"/>
      <c r="G1015" s="17" t="s">
        <v>0</v>
      </c>
      <c r="H1015" s="15"/>
      <c r="I1015" s="14" t="s">
        <v>0</v>
      </c>
      <c r="J1015" s="14"/>
      <c r="K1015" s="18"/>
    </row>
    <row r="1016" spans="1:11" s="5" customFormat="1" ht="15" customHeight="1" x14ac:dyDescent="0.2">
      <c r="A1016" s="13"/>
      <c r="B1016" s="14" t="str">
        <f>IF(A1016="","",_xlfn.XLOOKUP(A1016,'DISPATCH SHEET'!B$3:B$121,'DISPATCH SHEET'!C$3:C$121,""))</f>
        <v/>
      </c>
      <c r="C1016" s="14" t="str">
        <f>IF(ISBLANK(A1016),"",_xlfn.XLOOKUP(A1016,'DISPATCH SHEET'!C$3:C$121,'DISPATCH SHEET'!#REF!,""))</f>
        <v/>
      </c>
      <c r="D1016" s="14"/>
      <c r="E1016" s="15"/>
      <c r="F1016" s="16"/>
      <c r="G1016" s="17" t="s">
        <v>0</v>
      </c>
      <c r="H1016" s="15"/>
      <c r="I1016" s="14" t="s">
        <v>0</v>
      </c>
      <c r="J1016" s="14"/>
      <c r="K1016" s="18"/>
    </row>
    <row r="1017" spans="1:11" s="5" customFormat="1" ht="15" customHeight="1" x14ac:dyDescent="0.2">
      <c r="A1017" s="13"/>
      <c r="B1017" s="14" t="str">
        <f>IF(A1017="","",_xlfn.XLOOKUP(A1017,'DISPATCH SHEET'!B$3:B$121,'DISPATCH SHEET'!C$3:C$121,""))</f>
        <v/>
      </c>
      <c r="C1017" s="14" t="str">
        <f>IF(ISBLANK(A1017),"",_xlfn.XLOOKUP(A1017,'DISPATCH SHEET'!C$3:C$121,'DISPATCH SHEET'!#REF!,""))</f>
        <v/>
      </c>
      <c r="D1017" s="14"/>
      <c r="E1017" s="15"/>
      <c r="F1017" s="16"/>
      <c r="G1017" s="17" t="s">
        <v>0</v>
      </c>
      <c r="H1017" s="15"/>
      <c r="I1017" s="14" t="s">
        <v>0</v>
      </c>
      <c r="J1017" s="14"/>
      <c r="K1017" s="18"/>
    </row>
    <row r="1018" spans="1:11" s="5" customFormat="1" ht="15" customHeight="1" x14ac:dyDescent="0.2">
      <c r="A1018" s="13"/>
      <c r="B1018" s="14" t="str">
        <f>IF(A1018="","",_xlfn.XLOOKUP(A1018,'DISPATCH SHEET'!B$3:B$121,'DISPATCH SHEET'!C$3:C$121,""))</f>
        <v/>
      </c>
      <c r="C1018" s="14" t="str">
        <f>IF(ISBLANK(A1018),"",_xlfn.XLOOKUP(A1018,'DISPATCH SHEET'!C$3:C$121,'DISPATCH SHEET'!#REF!,""))</f>
        <v/>
      </c>
      <c r="D1018" s="14"/>
      <c r="E1018" s="15"/>
      <c r="F1018" s="16"/>
      <c r="G1018" s="17" t="s">
        <v>0</v>
      </c>
      <c r="H1018" s="15"/>
      <c r="I1018" s="14" t="s">
        <v>0</v>
      </c>
      <c r="J1018" s="14"/>
      <c r="K1018" s="18"/>
    </row>
    <row r="1019" spans="1:11" s="5" customFormat="1" ht="15" customHeight="1" x14ac:dyDescent="0.2">
      <c r="A1019" s="13"/>
      <c r="B1019" s="14" t="str">
        <f>IF(A1019="","",_xlfn.XLOOKUP(A1019,'DISPATCH SHEET'!B$3:B$121,'DISPATCH SHEET'!C$3:C$121,""))</f>
        <v/>
      </c>
      <c r="C1019" s="14" t="str">
        <f>IF(ISBLANK(A1019),"",_xlfn.XLOOKUP(A1019,'DISPATCH SHEET'!C$3:C$121,'DISPATCH SHEET'!#REF!,""))</f>
        <v/>
      </c>
      <c r="D1019" s="14"/>
      <c r="E1019" s="15"/>
      <c r="F1019" s="16"/>
      <c r="G1019" s="17" t="s">
        <v>0</v>
      </c>
      <c r="H1019" s="15"/>
      <c r="I1019" s="14" t="s">
        <v>0</v>
      </c>
      <c r="J1019" s="14"/>
      <c r="K1019" s="18"/>
    </row>
    <row r="1020" spans="1:11" s="5" customFormat="1" ht="15" customHeight="1" x14ac:dyDescent="0.2">
      <c r="A1020" s="13"/>
      <c r="B1020" s="14" t="str">
        <f>IF(A1020="","",_xlfn.XLOOKUP(A1020,'DISPATCH SHEET'!B$3:B$121,'DISPATCH SHEET'!C$3:C$121,""))</f>
        <v/>
      </c>
      <c r="C1020" s="14" t="str">
        <f>IF(ISBLANK(A1020),"",_xlfn.XLOOKUP(A1020,'DISPATCH SHEET'!C$3:C$121,'DISPATCH SHEET'!#REF!,""))</f>
        <v/>
      </c>
      <c r="D1020" s="14"/>
      <c r="E1020" s="15"/>
      <c r="F1020" s="16"/>
      <c r="G1020" s="17" t="s">
        <v>0</v>
      </c>
      <c r="H1020" s="15"/>
      <c r="I1020" s="14" t="s">
        <v>0</v>
      </c>
      <c r="J1020" s="14"/>
      <c r="K1020" s="18"/>
    </row>
    <row r="1021" spans="1:11" s="5" customFormat="1" ht="15" customHeight="1" x14ac:dyDescent="0.2">
      <c r="A1021" s="13"/>
      <c r="B1021" s="14" t="str">
        <f>IF(A1021="","",_xlfn.XLOOKUP(A1021,'DISPATCH SHEET'!B$3:B$121,'DISPATCH SHEET'!C$3:C$121,""))</f>
        <v/>
      </c>
      <c r="C1021" s="14" t="str">
        <f>IF(ISBLANK(A1021),"",_xlfn.XLOOKUP(A1021,'DISPATCH SHEET'!C$3:C$121,'DISPATCH SHEET'!#REF!,""))</f>
        <v/>
      </c>
      <c r="D1021" s="14"/>
      <c r="E1021" s="15"/>
      <c r="F1021" s="16"/>
      <c r="G1021" s="17" t="s">
        <v>0</v>
      </c>
      <c r="H1021" s="15"/>
      <c r="I1021" s="14" t="s">
        <v>0</v>
      </c>
      <c r="J1021" s="14"/>
      <c r="K1021" s="18"/>
    </row>
    <row r="1022" spans="1:11" s="5" customFormat="1" ht="15" customHeight="1" x14ac:dyDescent="0.2">
      <c r="A1022" s="13"/>
      <c r="B1022" s="14" t="str">
        <f>IF(A1022="","",_xlfn.XLOOKUP(A1022,'DISPATCH SHEET'!B$3:B$121,'DISPATCH SHEET'!C$3:C$121,""))</f>
        <v/>
      </c>
      <c r="C1022" s="14" t="str">
        <f>IF(ISBLANK(A1022),"",_xlfn.XLOOKUP(A1022,'DISPATCH SHEET'!C$3:C$121,'DISPATCH SHEET'!#REF!,""))</f>
        <v/>
      </c>
      <c r="D1022" s="14"/>
      <c r="E1022" s="15"/>
      <c r="F1022" s="16"/>
      <c r="G1022" s="17" t="s">
        <v>0</v>
      </c>
      <c r="H1022" s="15"/>
      <c r="I1022" s="14" t="s">
        <v>0</v>
      </c>
      <c r="J1022" s="14"/>
      <c r="K1022" s="18"/>
    </row>
    <row r="1023" spans="1:11" s="5" customFormat="1" ht="15" customHeight="1" x14ac:dyDescent="0.2">
      <c r="A1023" s="13"/>
      <c r="B1023" s="14" t="str">
        <f>IF(A1023="","",_xlfn.XLOOKUP(A1023,'DISPATCH SHEET'!B$3:B$121,'DISPATCH SHEET'!C$3:C$121,""))</f>
        <v/>
      </c>
      <c r="C1023" s="14" t="str">
        <f>IF(ISBLANK(A1023),"",_xlfn.XLOOKUP(A1023,'DISPATCH SHEET'!C$3:C$121,'DISPATCH SHEET'!#REF!,""))</f>
        <v/>
      </c>
      <c r="D1023" s="14"/>
      <c r="E1023" s="15"/>
      <c r="F1023" s="16"/>
      <c r="G1023" s="17" t="s">
        <v>0</v>
      </c>
      <c r="H1023" s="15"/>
      <c r="I1023" s="14" t="s">
        <v>0</v>
      </c>
      <c r="J1023" s="14"/>
      <c r="K1023" s="18"/>
    </row>
    <row r="1024" spans="1:11" s="5" customFormat="1" ht="15" customHeight="1" x14ac:dyDescent="0.2">
      <c r="A1024" s="13"/>
      <c r="B1024" s="14" t="str">
        <f>IF(A1024="","",_xlfn.XLOOKUP(A1024,'DISPATCH SHEET'!B$3:B$121,'DISPATCH SHEET'!C$3:C$121,""))</f>
        <v/>
      </c>
      <c r="C1024" s="14" t="str">
        <f>IF(ISBLANK(A1024),"",_xlfn.XLOOKUP(A1024,'DISPATCH SHEET'!C$3:C$121,'DISPATCH SHEET'!#REF!,""))</f>
        <v/>
      </c>
      <c r="D1024" s="14"/>
      <c r="E1024" s="15"/>
      <c r="F1024" s="16"/>
      <c r="G1024" s="17" t="s">
        <v>0</v>
      </c>
      <c r="H1024" s="15"/>
      <c r="I1024" s="14" t="s">
        <v>0</v>
      </c>
      <c r="J1024" s="14"/>
      <c r="K1024" s="18"/>
    </row>
    <row r="1025" spans="1:11" s="5" customFormat="1" ht="15" customHeight="1" x14ac:dyDescent="0.2">
      <c r="A1025" s="13"/>
      <c r="B1025" s="14" t="str">
        <f>IF(A1025="","",_xlfn.XLOOKUP(A1025,'DISPATCH SHEET'!B$3:B$121,'DISPATCH SHEET'!C$3:C$121,""))</f>
        <v/>
      </c>
      <c r="C1025" s="14" t="str">
        <f>IF(ISBLANK(A1025),"",_xlfn.XLOOKUP(A1025,'DISPATCH SHEET'!C$3:C$121,'DISPATCH SHEET'!#REF!,""))</f>
        <v/>
      </c>
      <c r="D1025" s="14"/>
      <c r="E1025" s="15"/>
      <c r="F1025" s="16"/>
      <c r="G1025" s="17" t="s">
        <v>0</v>
      </c>
      <c r="H1025" s="15"/>
      <c r="I1025" s="14" t="s">
        <v>0</v>
      </c>
      <c r="J1025" s="14"/>
      <c r="K1025" s="18"/>
    </row>
    <row r="1026" spans="1:11" s="5" customFormat="1" ht="15" customHeight="1" x14ac:dyDescent="0.2">
      <c r="A1026" s="13"/>
      <c r="B1026" s="14" t="str">
        <f>IF(A1026="","",_xlfn.XLOOKUP(A1026,'DISPATCH SHEET'!B$3:B$121,'DISPATCH SHEET'!C$3:C$121,""))</f>
        <v/>
      </c>
      <c r="C1026" s="14" t="str">
        <f>IF(ISBLANK(A1026),"",_xlfn.XLOOKUP(A1026,'DISPATCH SHEET'!C$3:C$121,'DISPATCH SHEET'!#REF!,""))</f>
        <v/>
      </c>
      <c r="D1026" s="14"/>
      <c r="E1026" s="15"/>
      <c r="F1026" s="16"/>
      <c r="G1026" s="17" t="s">
        <v>0</v>
      </c>
      <c r="H1026" s="15"/>
      <c r="I1026" s="14" t="s">
        <v>0</v>
      </c>
      <c r="J1026" s="14"/>
      <c r="K1026" s="18"/>
    </row>
    <row r="1027" spans="1:11" s="5" customFormat="1" ht="15" customHeight="1" x14ac:dyDescent="0.2">
      <c r="A1027" s="13"/>
      <c r="B1027" s="14" t="str">
        <f>IF(A1027="","",_xlfn.XLOOKUP(A1027,'DISPATCH SHEET'!B$3:B$121,'DISPATCH SHEET'!C$3:C$121,""))</f>
        <v/>
      </c>
      <c r="C1027" s="14" t="str">
        <f>IF(ISBLANK(A1027),"",_xlfn.XLOOKUP(A1027,'DISPATCH SHEET'!C$3:C$121,'DISPATCH SHEET'!#REF!,""))</f>
        <v/>
      </c>
      <c r="D1027" s="14"/>
      <c r="E1027" s="15"/>
      <c r="F1027" s="16"/>
      <c r="G1027" s="17" t="s">
        <v>0</v>
      </c>
      <c r="H1027" s="15"/>
      <c r="I1027" s="14" t="s">
        <v>0</v>
      </c>
      <c r="J1027" s="14"/>
      <c r="K1027" s="18"/>
    </row>
    <row r="1028" spans="1:11" s="5" customFormat="1" ht="15" customHeight="1" x14ac:dyDescent="0.2">
      <c r="A1028" s="13"/>
      <c r="B1028" s="14" t="str">
        <f>IF(A1028="","",_xlfn.XLOOKUP(A1028,'DISPATCH SHEET'!B$3:B$121,'DISPATCH SHEET'!C$3:C$121,""))</f>
        <v/>
      </c>
      <c r="C1028" s="14" t="str">
        <f>IF(ISBLANK(A1028),"",_xlfn.XLOOKUP(A1028,'DISPATCH SHEET'!C$3:C$121,'DISPATCH SHEET'!#REF!,""))</f>
        <v/>
      </c>
      <c r="D1028" s="14"/>
      <c r="E1028" s="15"/>
      <c r="F1028" s="16"/>
      <c r="G1028" s="17" t="s">
        <v>0</v>
      </c>
      <c r="H1028" s="15"/>
      <c r="I1028" s="14" t="s">
        <v>0</v>
      </c>
      <c r="J1028" s="14"/>
      <c r="K1028" s="18"/>
    </row>
    <row r="1029" spans="1:11" s="5" customFormat="1" ht="15" customHeight="1" x14ac:dyDescent="0.2">
      <c r="A1029" s="13"/>
      <c r="B1029" s="14" t="str">
        <f>IF(A1029="","",_xlfn.XLOOKUP(A1029,'DISPATCH SHEET'!B$3:B$121,'DISPATCH SHEET'!C$3:C$121,""))</f>
        <v/>
      </c>
      <c r="C1029" s="14" t="str">
        <f>IF(ISBLANK(A1029),"",_xlfn.XLOOKUP(A1029,'DISPATCH SHEET'!C$3:C$121,'DISPATCH SHEET'!#REF!,""))</f>
        <v/>
      </c>
      <c r="D1029" s="14"/>
      <c r="E1029" s="15"/>
      <c r="F1029" s="16"/>
      <c r="G1029" s="17" t="s">
        <v>0</v>
      </c>
      <c r="H1029" s="15"/>
      <c r="I1029" s="14" t="s">
        <v>0</v>
      </c>
      <c r="J1029" s="14"/>
      <c r="K1029" s="18"/>
    </row>
    <row r="1030" spans="1:11" s="5" customFormat="1" ht="15" customHeight="1" x14ac:dyDescent="0.2">
      <c r="A1030" s="13"/>
      <c r="B1030" s="14" t="str">
        <f>IF(A1030="","",_xlfn.XLOOKUP(A1030,'DISPATCH SHEET'!B$3:B$121,'DISPATCH SHEET'!C$3:C$121,""))</f>
        <v/>
      </c>
      <c r="C1030" s="14" t="str">
        <f>IF(ISBLANK(A1030),"",_xlfn.XLOOKUP(A1030,'DISPATCH SHEET'!C$3:C$121,'DISPATCH SHEET'!#REF!,""))</f>
        <v/>
      </c>
      <c r="D1030" s="14"/>
      <c r="E1030" s="15"/>
      <c r="F1030" s="16"/>
      <c r="G1030" s="17" t="s">
        <v>0</v>
      </c>
      <c r="H1030" s="15"/>
      <c r="I1030" s="14" t="s">
        <v>0</v>
      </c>
      <c r="J1030" s="14"/>
      <c r="K1030" s="18"/>
    </row>
    <row r="1031" spans="1:11" s="5" customFormat="1" ht="15" customHeight="1" x14ac:dyDescent="0.2">
      <c r="A1031" s="13"/>
      <c r="B1031" s="14" t="str">
        <f>IF(A1031="","",_xlfn.XLOOKUP(A1031,'DISPATCH SHEET'!B$3:B$121,'DISPATCH SHEET'!C$3:C$121,""))</f>
        <v/>
      </c>
      <c r="C1031" s="14" t="str">
        <f>IF(ISBLANK(A1031),"",_xlfn.XLOOKUP(A1031,'DISPATCH SHEET'!C$3:C$121,'DISPATCH SHEET'!#REF!,""))</f>
        <v/>
      </c>
      <c r="D1031" s="14"/>
      <c r="E1031" s="15"/>
      <c r="F1031" s="16"/>
      <c r="G1031" s="17" t="s">
        <v>0</v>
      </c>
      <c r="H1031" s="15"/>
      <c r="I1031" s="14" t="s">
        <v>0</v>
      </c>
      <c r="J1031" s="14"/>
      <c r="K1031" s="18"/>
    </row>
    <row r="1032" spans="1:11" s="5" customFormat="1" ht="15" customHeight="1" x14ac:dyDescent="0.2">
      <c r="A1032" s="13"/>
      <c r="B1032" s="14" t="str">
        <f>IF(A1032="","",_xlfn.XLOOKUP(A1032,'DISPATCH SHEET'!B$3:B$121,'DISPATCH SHEET'!C$3:C$121,""))</f>
        <v/>
      </c>
      <c r="C1032" s="14" t="str">
        <f>IF(ISBLANK(A1032),"",_xlfn.XLOOKUP(A1032,'DISPATCH SHEET'!C$3:C$121,'DISPATCH SHEET'!#REF!,""))</f>
        <v/>
      </c>
      <c r="D1032" s="14"/>
      <c r="E1032" s="15"/>
      <c r="F1032" s="16"/>
      <c r="G1032" s="17" t="s">
        <v>0</v>
      </c>
      <c r="H1032" s="15"/>
      <c r="I1032" s="14" t="s">
        <v>0</v>
      </c>
      <c r="J1032" s="14"/>
      <c r="K1032" s="18"/>
    </row>
    <row r="1033" spans="1:11" s="5" customFormat="1" ht="15" customHeight="1" x14ac:dyDescent="0.2">
      <c r="A1033" s="13"/>
      <c r="B1033" s="14" t="str">
        <f>IF(A1033="","",_xlfn.XLOOKUP(A1033,'DISPATCH SHEET'!B$3:B$121,'DISPATCH SHEET'!C$3:C$121,""))</f>
        <v/>
      </c>
      <c r="C1033" s="14" t="str">
        <f>IF(ISBLANK(A1033),"",_xlfn.XLOOKUP(A1033,'DISPATCH SHEET'!C$3:C$121,'DISPATCH SHEET'!#REF!,""))</f>
        <v/>
      </c>
      <c r="D1033" s="14"/>
      <c r="E1033" s="15"/>
      <c r="F1033" s="16"/>
      <c r="G1033" s="17" t="s">
        <v>0</v>
      </c>
      <c r="H1033" s="15"/>
      <c r="I1033" s="14" t="s">
        <v>0</v>
      </c>
      <c r="J1033" s="14"/>
      <c r="K1033" s="18"/>
    </row>
    <row r="1034" spans="1:11" s="5" customFormat="1" ht="15" customHeight="1" x14ac:dyDescent="0.2">
      <c r="A1034" s="13"/>
      <c r="B1034" s="14" t="str">
        <f>IF(A1034="","",_xlfn.XLOOKUP(A1034,'DISPATCH SHEET'!B$3:B$121,'DISPATCH SHEET'!C$3:C$121,""))</f>
        <v/>
      </c>
      <c r="C1034" s="14" t="str">
        <f>IF(ISBLANK(A1034),"",_xlfn.XLOOKUP(A1034,'DISPATCH SHEET'!C$3:C$121,'DISPATCH SHEET'!#REF!,""))</f>
        <v/>
      </c>
      <c r="D1034" s="14"/>
      <c r="E1034" s="15"/>
      <c r="F1034" s="16"/>
      <c r="G1034" s="17" t="s">
        <v>0</v>
      </c>
      <c r="H1034" s="15"/>
      <c r="I1034" s="14" t="s">
        <v>0</v>
      </c>
      <c r="J1034" s="14"/>
      <c r="K1034" s="18"/>
    </row>
    <row r="1035" spans="1:11" s="5" customFormat="1" ht="15" customHeight="1" x14ac:dyDescent="0.2">
      <c r="A1035" s="13"/>
      <c r="B1035" s="14" t="str">
        <f>IF(A1035="","",_xlfn.XLOOKUP(A1035,'DISPATCH SHEET'!B$3:B$121,'DISPATCH SHEET'!C$3:C$121,""))</f>
        <v/>
      </c>
      <c r="C1035" s="14" t="str">
        <f>IF(ISBLANK(A1035),"",_xlfn.XLOOKUP(A1035,'DISPATCH SHEET'!C$3:C$121,'DISPATCH SHEET'!#REF!,""))</f>
        <v/>
      </c>
      <c r="D1035" s="14"/>
      <c r="E1035" s="15"/>
      <c r="F1035" s="16"/>
      <c r="G1035" s="17" t="s">
        <v>0</v>
      </c>
      <c r="H1035" s="15"/>
      <c r="I1035" s="14" t="s">
        <v>0</v>
      </c>
      <c r="J1035" s="14"/>
      <c r="K1035" s="18"/>
    </row>
    <row r="1036" spans="1:11" s="5" customFormat="1" ht="15" customHeight="1" x14ac:dyDescent="0.2">
      <c r="A1036" s="13"/>
      <c r="B1036" s="14" t="str">
        <f>IF(A1036="","",_xlfn.XLOOKUP(A1036,'DISPATCH SHEET'!B$3:B$121,'DISPATCH SHEET'!C$3:C$121,""))</f>
        <v/>
      </c>
      <c r="C1036" s="14" t="str">
        <f>IF(ISBLANK(A1036),"",_xlfn.XLOOKUP(A1036,'DISPATCH SHEET'!C$3:C$121,'DISPATCH SHEET'!#REF!,""))</f>
        <v/>
      </c>
      <c r="D1036" s="14"/>
      <c r="E1036" s="15"/>
      <c r="F1036" s="16"/>
      <c r="G1036" s="17" t="s">
        <v>0</v>
      </c>
      <c r="H1036" s="15"/>
      <c r="I1036" s="14" t="s">
        <v>0</v>
      </c>
      <c r="J1036" s="14"/>
      <c r="K1036" s="18"/>
    </row>
    <row r="1037" spans="1:11" s="5" customFormat="1" ht="15" customHeight="1" x14ac:dyDescent="0.2">
      <c r="A1037" s="13"/>
      <c r="B1037" s="14" t="str">
        <f>IF(A1037="","",_xlfn.XLOOKUP(A1037,'DISPATCH SHEET'!B$3:B$121,'DISPATCH SHEET'!C$3:C$121,""))</f>
        <v/>
      </c>
      <c r="C1037" s="14" t="str">
        <f>IF(ISBLANK(A1037),"",_xlfn.XLOOKUP(A1037,'DISPATCH SHEET'!C$3:C$121,'DISPATCH SHEET'!#REF!,""))</f>
        <v/>
      </c>
      <c r="D1037" s="14"/>
      <c r="E1037" s="15"/>
      <c r="F1037" s="16"/>
      <c r="G1037" s="17" t="s">
        <v>0</v>
      </c>
      <c r="H1037" s="15"/>
      <c r="I1037" s="14" t="s">
        <v>0</v>
      </c>
      <c r="J1037" s="14"/>
      <c r="K1037" s="18"/>
    </row>
    <row r="1038" spans="1:11" s="5" customFormat="1" ht="15" customHeight="1" x14ac:dyDescent="0.2">
      <c r="A1038" s="13"/>
      <c r="B1038" s="14" t="str">
        <f>IF(A1038="","",_xlfn.XLOOKUP(A1038,'DISPATCH SHEET'!B$3:B$121,'DISPATCH SHEET'!C$3:C$121,""))</f>
        <v/>
      </c>
      <c r="C1038" s="14" t="str">
        <f>IF(ISBLANK(A1038),"",_xlfn.XLOOKUP(A1038,'DISPATCH SHEET'!C$3:C$121,'DISPATCH SHEET'!#REF!,""))</f>
        <v/>
      </c>
      <c r="D1038" s="14"/>
      <c r="E1038" s="15"/>
      <c r="F1038" s="16"/>
      <c r="G1038" s="17" t="s">
        <v>0</v>
      </c>
      <c r="H1038" s="15"/>
      <c r="I1038" s="14" t="s">
        <v>0</v>
      </c>
      <c r="J1038" s="14"/>
      <c r="K1038" s="18"/>
    </row>
    <row r="1039" spans="1:11" s="5" customFormat="1" ht="15" customHeight="1" x14ac:dyDescent="0.2">
      <c r="A1039" s="13"/>
      <c r="B1039" s="14" t="str">
        <f>IF(A1039="","",_xlfn.XLOOKUP(A1039,'DISPATCH SHEET'!B$3:B$121,'DISPATCH SHEET'!C$3:C$121,""))</f>
        <v/>
      </c>
      <c r="C1039" s="14" t="str">
        <f>IF(ISBLANK(A1039),"",_xlfn.XLOOKUP(A1039,'DISPATCH SHEET'!C$3:C$121,'DISPATCH SHEET'!#REF!,""))</f>
        <v/>
      </c>
      <c r="D1039" s="14"/>
      <c r="E1039" s="15"/>
      <c r="F1039" s="16"/>
      <c r="G1039" s="17" t="s">
        <v>0</v>
      </c>
      <c r="H1039" s="15"/>
      <c r="I1039" s="14" t="s">
        <v>0</v>
      </c>
      <c r="J1039" s="14"/>
      <c r="K1039" s="18"/>
    </row>
    <row r="1040" spans="1:11" s="5" customFormat="1" ht="15" customHeight="1" x14ac:dyDescent="0.2">
      <c r="A1040" s="13"/>
      <c r="B1040" s="14" t="str">
        <f>IF(A1040="","",_xlfn.XLOOKUP(A1040,'DISPATCH SHEET'!B$3:B$121,'DISPATCH SHEET'!C$3:C$121,""))</f>
        <v/>
      </c>
      <c r="C1040" s="14" t="str">
        <f>IF(ISBLANK(A1040),"",_xlfn.XLOOKUP(A1040,'DISPATCH SHEET'!C$3:C$121,'DISPATCH SHEET'!#REF!,""))</f>
        <v/>
      </c>
      <c r="D1040" s="14"/>
      <c r="E1040" s="15"/>
      <c r="F1040" s="16"/>
      <c r="G1040" s="17" t="s">
        <v>0</v>
      </c>
      <c r="H1040" s="15"/>
      <c r="I1040" s="14" t="s">
        <v>0</v>
      </c>
      <c r="J1040" s="14"/>
      <c r="K1040" s="18"/>
    </row>
    <row r="1041" spans="1:11" s="5" customFormat="1" ht="15" customHeight="1" x14ac:dyDescent="0.2">
      <c r="A1041" s="13"/>
      <c r="B1041" s="14" t="str">
        <f>IF(A1041="","",_xlfn.XLOOKUP(A1041,'DISPATCH SHEET'!B$3:B$121,'DISPATCH SHEET'!C$3:C$121,""))</f>
        <v/>
      </c>
      <c r="C1041" s="14" t="str">
        <f>IF(ISBLANK(A1041),"",_xlfn.XLOOKUP(A1041,'DISPATCH SHEET'!C$3:C$121,'DISPATCH SHEET'!#REF!,""))</f>
        <v/>
      </c>
      <c r="D1041" s="14"/>
      <c r="E1041" s="15"/>
      <c r="F1041" s="16"/>
      <c r="G1041" s="17" t="s">
        <v>0</v>
      </c>
      <c r="H1041" s="15"/>
      <c r="I1041" s="14" t="s">
        <v>0</v>
      </c>
      <c r="J1041" s="14"/>
      <c r="K1041" s="18"/>
    </row>
    <row r="1042" spans="1:11" s="5" customFormat="1" ht="15" customHeight="1" x14ac:dyDescent="0.2">
      <c r="A1042" s="13"/>
      <c r="B1042" s="14" t="str">
        <f>IF(A1042="","",_xlfn.XLOOKUP(A1042,'DISPATCH SHEET'!B$3:B$121,'DISPATCH SHEET'!C$3:C$121,""))</f>
        <v/>
      </c>
      <c r="C1042" s="14" t="str">
        <f>IF(ISBLANK(A1042),"",_xlfn.XLOOKUP(A1042,'DISPATCH SHEET'!C$3:C$121,'DISPATCH SHEET'!#REF!,""))</f>
        <v/>
      </c>
      <c r="D1042" s="14"/>
      <c r="E1042" s="15"/>
      <c r="F1042" s="16"/>
      <c r="G1042" s="17" t="s">
        <v>0</v>
      </c>
      <c r="H1042" s="15"/>
      <c r="I1042" s="14" t="s">
        <v>0</v>
      </c>
      <c r="J1042" s="14"/>
      <c r="K1042" s="18"/>
    </row>
    <row r="1043" spans="1:11" s="5" customFormat="1" ht="15" customHeight="1" x14ac:dyDescent="0.2">
      <c r="A1043" s="13"/>
      <c r="B1043" s="14" t="str">
        <f>IF(A1043="","",_xlfn.XLOOKUP(A1043,'DISPATCH SHEET'!B$3:B$121,'DISPATCH SHEET'!C$3:C$121,""))</f>
        <v/>
      </c>
      <c r="C1043" s="14" t="str">
        <f>IF(ISBLANK(A1043),"",_xlfn.XLOOKUP(A1043,'DISPATCH SHEET'!C$3:C$121,'DISPATCH SHEET'!#REF!,""))</f>
        <v/>
      </c>
      <c r="D1043" s="14"/>
      <c r="E1043" s="15"/>
      <c r="F1043" s="16"/>
      <c r="G1043" s="17" t="s">
        <v>0</v>
      </c>
      <c r="H1043" s="15"/>
      <c r="I1043" s="14" t="s">
        <v>0</v>
      </c>
      <c r="J1043" s="14"/>
      <c r="K1043" s="18"/>
    </row>
    <row r="1044" spans="1:11" s="5" customFormat="1" ht="15" customHeight="1" x14ac:dyDescent="0.2">
      <c r="A1044" s="13"/>
      <c r="B1044" s="14" t="str">
        <f>IF(A1044="","",_xlfn.XLOOKUP(A1044,'DISPATCH SHEET'!B$3:B$121,'DISPATCH SHEET'!C$3:C$121,""))</f>
        <v/>
      </c>
      <c r="C1044" s="14" t="str">
        <f>IF(ISBLANK(A1044),"",_xlfn.XLOOKUP(A1044,'DISPATCH SHEET'!C$3:C$121,'DISPATCH SHEET'!#REF!,""))</f>
        <v/>
      </c>
      <c r="D1044" s="14"/>
      <c r="E1044" s="15"/>
      <c r="F1044" s="16"/>
      <c r="G1044" s="17" t="s">
        <v>0</v>
      </c>
      <c r="H1044" s="15"/>
      <c r="I1044" s="14" t="s">
        <v>0</v>
      </c>
      <c r="J1044" s="14"/>
      <c r="K1044" s="18"/>
    </row>
    <row r="1045" spans="1:11" s="5" customFormat="1" ht="15" customHeight="1" x14ac:dyDescent="0.2">
      <c r="A1045" s="13"/>
      <c r="B1045" s="14" t="str">
        <f>IF(A1045="","",_xlfn.XLOOKUP(A1045,'DISPATCH SHEET'!B$3:B$121,'DISPATCH SHEET'!C$3:C$121,""))</f>
        <v/>
      </c>
      <c r="C1045" s="14" t="str">
        <f>IF(ISBLANK(A1045),"",_xlfn.XLOOKUP(A1045,'DISPATCH SHEET'!C$3:C$121,'DISPATCH SHEET'!#REF!,""))</f>
        <v/>
      </c>
      <c r="D1045" s="14"/>
      <c r="E1045" s="15"/>
      <c r="F1045" s="16"/>
      <c r="G1045" s="17" t="s">
        <v>0</v>
      </c>
      <c r="H1045" s="15"/>
      <c r="I1045" s="14" t="s">
        <v>0</v>
      </c>
      <c r="J1045" s="14"/>
      <c r="K1045" s="18"/>
    </row>
    <row r="1046" spans="1:11" s="5" customFormat="1" ht="15" customHeight="1" x14ac:dyDescent="0.2">
      <c r="A1046" s="13"/>
      <c r="B1046" s="14" t="str">
        <f>IF(A1046="","",_xlfn.XLOOKUP(A1046,'DISPATCH SHEET'!B$3:B$121,'DISPATCH SHEET'!C$3:C$121,""))</f>
        <v/>
      </c>
      <c r="C1046" s="14" t="str">
        <f>IF(ISBLANK(A1046),"",_xlfn.XLOOKUP(A1046,'DISPATCH SHEET'!C$3:C$121,'DISPATCH SHEET'!#REF!,""))</f>
        <v/>
      </c>
      <c r="D1046" s="14"/>
      <c r="E1046" s="15"/>
      <c r="F1046" s="16"/>
      <c r="G1046" s="17" t="s">
        <v>0</v>
      </c>
      <c r="H1046" s="15"/>
      <c r="I1046" s="14" t="s">
        <v>0</v>
      </c>
      <c r="J1046" s="14"/>
      <c r="K1046" s="18"/>
    </row>
    <row r="1047" spans="1:11" s="5" customFormat="1" ht="15" customHeight="1" x14ac:dyDescent="0.2">
      <c r="A1047" s="13"/>
      <c r="B1047" s="14" t="str">
        <f>IF(A1047="","",_xlfn.XLOOKUP(A1047,'DISPATCH SHEET'!B$3:B$121,'DISPATCH SHEET'!C$3:C$121,""))</f>
        <v/>
      </c>
      <c r="C1047" s="14" t="str">
        <f>IF(ISBLANK(A1047),"",_xlfn.XLOOKUP(A1047,'DISPATCH SHEET'!C$3:C$121,'DISPATCH SHEET'!#REF!,""))</f>
        <v/>
      </c>
      <c r="D1047" s="14"/>
      <c r="E1047" s="15"/>
      <c r="F1047" s="16"/>
      <c r="G1047" s="17" t="s">
        <v>0</v>
      </c>
      <c r="H1047" s="15"/>
      <c r="I1047" s="14" t="s">
        <v>0</v>
      </c>
      <c r="J1047" s="14"/>
      <c r="K1047" s="18"/>
    </row>
    <row r="1048" spans="1:11" s="5" customFormat="1" ht="15" customHeight="1" x14ac:dyDescent="0.2">
      <c r="A1048" s="13"/>
      <c r="B1048" s="14" t="str">
        <f>IF(A1048="","",_xlfn.XLOOKUP(A1048,'DISPATCH SHEET'!B$3:B$121,'DISPATCH SHEET'!C$3:C$121,""))</f>
        <v/>
      </c>
      <c r="C1048" s="14" t="str">
        <f>IF(ISBLANK(A1048),"",_xlfn.XLOOKUP(A1048,'DISPATCH SHEET'!C$3:C$121,'DISPATCH SHEET'!#REF!,""))</f>
        <v/>
      </c>
      <c r="D1048" s="14"/>
      <c r="E1048" s="15"/>
      <c r="F1048" s="16"/>
      <c r="G1048" s="17" t="s">
        <v>0</v>
      </c>
      <c r="H1048" s="15"/>
      <c r="I1048" s="14" t="s">
        <v>0</v>
      </c>
      <c r="J1048" s="14"/>
      <c r="K1048" s="18"/>
    </row>
    <row r="1049" spans="1:11" s="5" customFormat="1" ht="15" customHeight="1" x14ac:dyDescent="0.2">
      <c r="A1049" s="13"/>
      <c r="B1049" s="14" t="str">
        <f>IF(A1049="","",_xlfn.XLOOKUP(A1049,'DISPATCH SHEET'!B$3:B$121,'DISPATCH SHEET'!C$3:C$121,""))</f>
        <v/>
      </c>
      <c r="C1049" s="14" t="str">
        <f>IF(ISBLANK(A1049),"",_xlfn.XLOOKUP(A1049,'DISPATCH SHEET'!C$3:C$121,'DISPATCH SHEET'!#REF!,""))</f>
        <v/>
      </c>
      <c r="D1049" s="14"/>
      <c r="E1049" s="15"/>
      <c r="F1049" s="16"/>
      <c r="G1049" s="17" t="s">
        <v>0</v>
      </c>
      <c r="H1049" s="15"/>
      <c r="I1049" s="14" t="s">
        <v>0</v>
      </c>
      <c r="J1049" s="14"/>
      <c r="K1049" s="18"/>
    </row>
    <row r="1050" spans="1:11" s="5" customFormat="1" ht="15" customHeight="1" x14ac:dyDescent="0.2">
      <c r="A1050" s="13"/>
      <c r="B1050" s="14" t="str">
        <f>IF(A1050="","",_xlfn.XLOOKUP(A1050,'DISPATCH SHEET'!B$3:B$121,'DISPATCH SHEET'!C$3:C$121,""))</f>
        <v/>
      </c>
      <c r="C1050" s="14" t="str">
        <f>IF(ISBLANK(A1050),"",_xlfn.XLOOKUP(A1050,'DISPATCH SHEET'!C$3:C$121,'DISPATCH SHEET'!#REF!,""))</f>
        <v/>
      </c>
      <c r="D1050" s="14"/>
      <c r="E1050" s="15"/>
      <c r="F1050" s="16"/>
      <c r="G1050" s="17" t="s">
        <v>0</v>
      </c>
      <c r="H1050" s="15"/>
      <c r="I1050" s="14" t="s">
        <v>0</v>
      </c>
      <c r="J1050" s="14"/>
      <c r="K1050" s="18"/>
    </row>
    <row r="1051" spans="1:11" s="5" customFormat="1" ht="15" customHeight="1" x14ac:dyDescent="0.2">
      <c r="A1051" s="13"/>
      <c r="B1051" s="14" t="str">
        <f>IF(A1051="","",_xlfn.XLOOKUP(A1051,'DISPATCH SHEET'!B$3:B$121,'DISPATCH SHEET'!C$3:C$121,""))</f>
        <v/>
      </c>
      <c r="C1051" s="14" t="str">
        <f>IF(ISBLANK(A1051),"",_xlfn.XLOOKUP(A1051,'DISPATCH SHEET'!C$3:C$121,'DISPATCH SHEET'!#REF!,""))</f>
        <v/>
      </c>
      <c r="D1051" s="14"/>
      <c r="E1051" s="15"/>
      <c r="F1051" s="16"/>
      <c r="G1051" s="17" t="s">
        <v>0</v>
      </c>
      <c r="H1051" s="15"/>
      <c r="I1051" s="14" t="s">
        <v>0</v>
      </c>
      <c r="J1051" s="14"/>
      <c r="K1051" s="18"/>
    </row>
    <row r="1052" spans="1:11" s="5" customFormat="1" ht="15" customHeight="1" x14ac:dyDescent="0.2">
      <c r="A1052" s="13"/>
      <c r="B1052" s="14" t="str">
        <f>IF(A1052="","",_xlfn.XLOOKUP(A1052,'DISPATCH SHEET'!B$3:B$121,'DISPATCH SHEET'!C$3:C$121,""))</f>
        <v/>
      </c>
      <c r="C1052" s="14" t="str">
        <f>IF(ISBLANK(A1052),"",_xlfn.XLOOKUP(A1052,'DISPATCH SHEET'!C$3:C$121,'DISPATCH SHEET'!#REF!,""))</f>
        <v/>
      </c>
      <c r="D1052" s="14"/>
      <c r="E1052" s="15"/>
      <c r="F1052" s="16"/>
      <c r="G1052" s="17" t="s">
        <v>0</v>
      </c>
      <c r="H1052" s="15"/>
      <c r="I1052" s="14" t="s">
        <v>0</v>
      </c>
      <c r="J1052" s="14"/>
      <c r="K1052" s="18"/>
    </row>
    <row r="1053" spans="1:11" s="5" customFormat="1" ht="15" customHeight="1" x14ac:dyDescent="0.2">
      <c r="A1053" s="13"/>
      <c r="B1053" s="14" t="str">
        <f>IF(A1053="","",_xlfn.XLOOKUP(A1053,'DISPATCH SHEET'!B$3:B$121,'DISPATCH SHEET'!C$3:C$121,""))</f>
        <v/>
      </c>
      <c r="C1053" s="14" t="str">
        <f>IF(ISBLANK(A1053),"",_xlfn.XLOOKUP(A1053,'DISPATCH SHEET'!C$3:C$121,'DISPATCH SHEET'!#REF!,""))</f>
        <v/>
      </c>
      <c r="D1053" s="14"/>
      <c r="E1053" s="15"/>
      <c r="F1053" s="16"/>
      <c r="G1053" s="17" t="s">
        <v>0</v>
      </c>
      <c r="H1053" s="15"/>
      <c r="I1053" s="14" t="s">
        <v>0</v>
      </c>
      <c r="J1053" s="14"/>
      <c r="K1053" s="18"/>
    </row>
    <row r="1054" spans="1:11" s="5" customFormat="1" ht="15" customHeight="1" x14ac:dyDescent="0.2">
      <c r="A1054" s="13"/>
      <c r="B1054" s="14" t="str">
        <f>IF(A1054="","",_xlfn.XLOOKUP(A1054,'DISPATCH SHEET'!B$3:B$121,'DISPATCH SHEET'!C$3:C$121,""))</f>
        <v/>
      </c>
      <c r="C1054" s="14" t="str">
        <f>IF(ISBLANK(A1054),"",_xlfn.XLOOKUP(A1054,'DISPATCH SHEET'!C$3:C$121,'DISPATCH SHEET'!#REF!,""))</f>
        <v/>
      </c>
      <c r="D1054" s="14"/>
      <c r="E1054" s="15"/>
      <c r="F1054" s="16"/>
      <c r="G1054" s="17" t="s">
        <v>0</v>
      </c>
      <c r="H1054" s="15"/>
      <c r="I1054" s="14" t="s">
        <v>0</v>
      </c>
      <c r="J1054" s="14"/>
      <c r="K1054" s="18"/>
    </row>
    <row r="1055" spans="1:11" s="5" customFormat="1" ht="15" customHeight="1" x14ac:dyDescent="0.2">
      <c r="A1055" s="13"/>
      <c r="B1055" s="14" t="str">
        <f>IF(A1055="","",_xlfn.XLOOKUP(A1055,'DISPATCH SHEET'!B$3:B$121,'DISPATCH SHEET'!C$3:C$121,""))</f>
        <v/>
      </c>
      <c r="C1055" s="14" t="str">
        <f>IF(ISBLANK(A1055),"",_xlfn.XLOOKUP(A1055,'DISPATCH SHEET'!C$3:C$121,'DISPATCH SHEET'!#REF!,""))</f>
        <v/>
      </c>
      <c r="D1055" s="14"/>
      <c r="E1055" s="15"/>
      <c r="F1055" s="16"/>
      <c r="G1055" s="17" t="s">
        <v>0</v>
      </c>
      <c r="H1055" s="15"/>
      <c r="I1055" s="14" t="s">
        <v>0</v>
      </c>
      <c r="J1055" s="14"/>
      <c r="K1055" s="18"/>
    </row>
    <row r="1056" spans="1:11" s="5" customFormat="1" ht="15" customHeight="1" x14ac:dyDescent="0.2">
      <c r="A1056" s="13"/>
      <c r="B1056" s="14" t="str">
        <f>IF(A1056="","",_xlfn.XLOOKUP(A1056,'DISPATCH SHEET'!B$3:B$121,'DISPATCH SHEET'!C$3:C$121,""))</f>
        <v/>
      </c>
      <c r="C1056" s="14" t="str">
        <f>IF(ISBLANK(A1056),"",_xlfn.XLOOKUP(A1056,'DISPATCH SHEET'!C$3:C$121,'DISPATCH SHEET'!#REF!,""))</f>
        <v/>
      </c>
      <c r="D1056" s="14"/>
      <c r="E1056" s="15"/>
      <c r="F1056" s="16"/>
      <c r="G1056" s="17" t="s">
        <v>0</v>
      </c>
      <c r="H1056" s="15"/>
      <c r="I1056" s="14" t="s">
        <v>0</v>
      </c>
      <c r="J1056" s="14"/>
      <c r="K1056" s="18"/>
    </row>
    <row r="1057" spans="1:11" s="5" customFormat="1" ht="15" customHeight="1" x14ac:dyDescent="0.2">
      <c r="A1057" s="13"/>
      <c r="B1057" s="14" t="str">
        <f>IF(A1057="","",_xlfn.XLOOKUP(A1057,'DISPATCH SHEET'!B$3:B$121,'DISPATCH SHEET'!C$3:C$121,""))</f>
        <v/>
      </c>
      <c r="C1057" s="14" t="str">
        <f>IF(ISBLANK(A1057),"",_xlfn.XLOOKUP(A1057,'DISPATCH SHEET'!C$3:C$121,'DISPATCH SHEET'!#REF!,""))</f>
        <v/>
      </c>
      <c r="D1057" s="14"/>
      <c r="E1057" s="15"/>
      <c r="F1057" s="16"/>
      <c r="G1057" s="17" t="s">
        <v>0</v>
      </c>
      <c r="H1057" s="15"/>
      <c r="I1057" s="14" t="s">
        <v>0</v>
      </c>
      <c r="J1057" s="14"/>
      <c r="K1057" s="18"/>
    </row>
    <row r="1058" spans="1:11" s="5" customFormat="1" ht="15" customHeight="1" x14ac:dyDescent="0.2">
      <c r="A1058" s="13"/>
      <c r="B1058" s="14" t="str">
        <f>IF(A1058="","",_xlfn.XLOOKUP(A1058,'DISPATCH SHEET'!B$3:B$121,'DISPATCH SHEET'!C$3:C$121,""))</f>
        <v/>
      </c>
      <c r="C1058" s="14" t="str">
        <f>IF(ISBLANK(A1058),"",_xlfn.XLOOKUP(A1058,'DISPATCH SHEET'!C$3:C$121,'DISPATCH SHEET'!#REF!,""))</f>
        <v/>
      </c>
      <c r="D1058" s="14"/>
      <c r="E1058" s="15"/>
      <c r="F1058" s="16"/>
      <c r="G1058" s="17" t="s">
        <v>0</v>
      </c>
      <c r="H1058" s="15"/>
      <c r="I1058" s="14" t="s">
        <v>0</v>
      </c>
      <c r="J1058" s="14"/>
      <c r="K1058" s="18"/>
    </row>
    <row r="1059" spans="1:11" s="5" customFormat="1" ht="15" customHeight="1" x14ac:dyDescent="0.2">
      <c r="A1059" s="13"/>
      <c r="B1059" s="14" t="str">
        <f>IF(A1059="","",_xlfn.XLOOKUP(A1059,'DISPATCH SHEET'!B$3:B$121,'DISPATCH SHEET'!C$3:C$121,""))</f>
        <v/>
      </c>
      <c r="C1059" s="14" t="str">
        <f>IF(ISBLANK(A1059),"",_xlfn.XLOOKUP(A1059,'DISPATCH SHEET'!C$3:C$121,'DISPATCH SHEET'!#REF!,""))</f>
        <v/>
      </c>
      <c r="D1059" s="14"/>
      <c r="E1059" s="15"/>
      <c r="F1059" s="16"/>
      <c r="G1059" s="17" t="s">
        <v>0</v>
      </c>
      <c r="H1059" s="15"/>
      <c r="I1059" s="14" t="s">
        <v>0</v>
      </c>
      <c r="J1059" s="14"/>
      <c r="K1059" s="18"/>
    </row>
    <row r="1060" spans="1:11" s="5" customFormat="1" ht="15" customHeight="1" x14ac:dyDescent="0.2">
      <c r="A1060" s="13"/>
      <c r="B1060" s="14" t="str">
        <f>IF(A1060="","",_xlfn.XLOOKUP(A1060,'DISPATCH SHEET'!B$3:B$121,'DISPATCH SHEET'!C$3:C$121,""))</f>
        <v/>
      </c>
      <c r="C1060" s="14" t="str">
        <f>IF(ISBLANK(A1060),"",_xlfn.XLOOKUP(A1060,'DISPATCH SHEET'!C$3:C$121,'DISPATCH SHEET'!#REF!,""))</f>
        <v/>
      </c>
      <c r="D1060" s="14"/>
      <c r="E1060" s="15"/>
      <c r="F1060" s="16"/>
      <c r="G1060" s="17" t="s">
        <v>0</v>
      </c>
      <c r="H1060" s="15"/>
      <c r="I1060" s="14" t="s">
        <v>0</v>
      </c>
      <c r="J1060" s="14"/>
      <c r="K1060" s="18"/>
    </row>
    <row r="1061" spans="1:11" s="5" customFormat="1" ht="15" customHeight="1" x14ac:dyDescent="0.2">
      <c r="A1061" s="13"/>
      <c r="B1061" s="14" t="str">
        <f>IF(A1061="","",_xlfn.XLOOKUP(A1061,'DISPATCH SHEET'!B$3:B$121,'DISPATCH SHEET'!C$3:C$121,""))</f>
        <v/>
      </c>
      <c r="C1061" s="14" t="str">
        <f>IF(ISBLANK(A1061),"",_xlfn.XLOOKUP(A1061,'DISPATCH SHEET'!C$3:C$121,'DISPATCH SHEET'!#REF!,""))</f>
        <v/>
      </c>
      <c r="D1061" s="14"/>
      <c r="E1061" s="15"/>
      <c r="F1061" s="16"/>
      <c r="G1061" s="17" t="s">
        <v>0</v>
      </c>
      <c r="H1061" s="15"/>
      <c r="I1061" s="14" t="s">
        <v>0</v>
      </c>
      <c r="J1061" s="14"/>
      <c r="K1061" s="18"/>
    </row>
    <row r="1062" spans="1:11" s="5" customFormat="1" ht="15" customHeight="1" x14ac:dyDescent="0.2">
      <c r="A1062" s="13"/>
      <c r="B1062" s="14" t="str">
        <f>IF(A1062="","",_xlfn.XLOOKUP(A1062,'DISPATCH SHEET'!B$3:B$121,'DISPATCH SHEET'!C$3:C$121,""))</f>
        <v/>
      </c>
      <c r="C1062" s="14" t="str">
        <f>IF(ISBLANK(A1062),"",_xlfn.XLOOKUP(A1062,'DISPATCH SHEET'!C$3:C$121,'DISPATCH SHEET'!#REF!,""))</f>
        <v/>
      </c>
      <c r="D1062" s="14"/>
      <c r="E1062" s="15"/>
      <c r="F1062" s="16"/>
      <c r="G1062" s="17" t="s">
        <v>0</v>
      </c>
      <c r="H1062" s="15"/>
      <c r="I1062" s="14" t="s">
        <v>0</v>
      </c>
      <c r="J1062" s="14"/>
      <c r="K1062" s="18"/>
    </row>
    <row r="1063" spans="1:11" s="5" customFormat="1" ht="15" customHeight="1" x14ac:dyDescent="0.2">
      <c r="A1063" s="13"/>
      <c r="B1063" s="14" t="str">
        <f>IF(A1063="","",_xlfn.XLOOKUP(A1063,'DISPATCH SHEET'!B$3:B$121,'DISPATCH SHEET'!C$3:C$121,""))</f>
        <v/>
      </c>
      <c r="C1063" s="14" t="str">
        <f>IF(ISBLANK(A1063),"",_xlfn.XLOOKUP(A1063,'DISPATCH SHEET'!C$3:C$121,'DISPATCH SHEET'!#REF!,""))</f>
        <v/>
      </c>
      <c r="D1063" s="14"/>
      <c r="E1063" s="15"/>
      <c r="F1063" s="16"/>
      <c r="G1063" s="17" t="s">
        <v>0</v>
      </c>
      <c r="H1063" s="15"/>
      <c r="I1063" s="14" t="s">
        <v>0</v>
      </c>
      <c r="J1063" s="14"/>
      <c r="K1063" s="18"/>
    </row>
    <row r="1064" spans="1:11" s="5" customFormat="1" ht="15" customHeight="1" x14ac:dyDescent="0.2">
      <c r="A1064" s="13"/>
      <c r="B1064" s="14" t="str">
        <f>IF(A1064="","",_xlfn.XLOOKUP(A1064,'DISPATCH SHEET'!B$3:B$121,'DISPATCH SHEET'!C$3:C$121,""))</f>
        <v/>
      </c>
      <c r="C1064" s="14" t="str">
        <f>IF(ISBLANK(A1064),"",_xlfn.XLOOKUP(A1064,'DISPATCH SHEET'!C$3:C$121,'DISPATCH SHEET'!#REF!,""))</f>
        <v/>
      </c>
      <c r="D1064" s="14"/>
      <c r="E1064" s="15"/>
      <c r="F1064" s="16"/>
      <c r="G1064" s="17" t="s">
        <v>0</v>
      </c>
      <c r="H1064" s="15"/>
      <c r="I1064" s="14" t="s">
        <v>0</v>
      </c>
      <c r="J1064" s="14"/>
      <c r="K1064" s="18"/>
    </row>
    <row r="1065" spans="1:11" s="5" customFormat="1" ht="15" customHeight="1" x14ac:dyDescent="0.2">
      <c r="A1065" s="13"/>
      <c r="B1065" s="14" t="str">
        <f>IF(A1065="","",_xlfn.XLOOKUP(A1065,'DISPATCH SHEET'!B$3:B$121,'DISPATCH SHEET'!C$3:C$121,""))</f>
        <v/>
      </c>
      <c r="C1065" s="14" t="str">
        <f>IF(ISBLANK(A1065),"",_xlfn.XLOOKUP(A1065,'DISPATCH SHEET'!C$3:C$121,'DISPATCH SHEET'!#REF!,""))</f>
        <v/>
      </c>
      <c r="D1065" s="14"/>
      <c r="E1065" s="15"/>
      <c r="F1065" s="16"/>
      <c r="G1065" s="17" t="s">
        <v>0</v>
      </c>
      <c r="H1065" s="15"/>
      <c r="I1065" s="14" t="s">
        <v>0</v>
      </c>
      <c r="J1065" s="14"/>
      <c r="K1065" s="18"/>
    </row>
    <row r="1066" spans="1:11" s="5" customFormat="1" ht="15" customHeight="1" x14ac:dyDescent="0.2">
      <c r="A1066" s="13"/>
      <c r="B1066" s="14" t="str">
        <f>IF(A1066="","",_xlfn.XLOOKUP(A1066,'DISPATCH SHEET'!B$3:B$121,'DISPATCH SHEET'!C$3:C$121,""))</f>
        <v/>
      </c>
      <c r="C1066" s="14" t="str">
        <f>IF(ISBLANK(A1066),"",_xlfn.XLOOKUP(A1066,'DISPATCH SHEET'!C$3:C$121,'DISPATCH SHEET'!#REF!,""))</f>
        <v/>
      </c>
      <c r="D1066" s="14"/>
      <c r="E1066" s="15"/>
      <c r="F1066" s="16"/>
      <c r="G1066" s="17" t="s">
        <v>0</v>
      </c>
      <c r="H1066" s="15"/>
      <c r="I1066" s="14" t="s">
        <v>0</v>
      </c>
      <c r="J1066" s="14"/>
      <c r="K1066" s="18"/>
    </row>
    <row r="1067" spans="1:11" s="5" customFormat="1" ht="15" customHeight="1" x14ac:dyDescent="0.2">
      <c r="A1067" s="13"/>
      <c r="B1067" s="14" t="str">
        <f>IF(A1067="","",_xlfn.XLOOKUP(A1067,'DISPATCH SHEET'!B$3:B$121,'DISPATCH SHEET'!C$3:C$121,""))</f>
        <v/>
      </c>
      <c r="C1067" s="14" t="str">
        <f>IF(ISBLANK(A1067),"",_xlfn.XLOOKUP(A1067,'DISPATCH SHEET'!C$3:C$121,'DISPATCH SHEET'!#REF!,""))</f>
        <v/>
      </c>
      <c r="D1067" s="14"/>
      <c r="E1067" s="15"/>
      <c r="F1067" s="16"/>
      <c r="G1067" s="17" t="s">
        <v>0</v>
      </c>
      <c r="H1067" s="15"/>
      <c r="I1067" s="14" t="s">
        <v>0</v>
      </c>
      <c r="J1067" s="14"/>
      <c r="K1067" s="18"/>
    </row>
    <row r="1068" spans="1:11" s="5" customFormat="1" ht="15" customHeight="1" x14ac:dyDescent="0.2">
      <c r="A1068" s="13"/>
      <c r="B1068" s="14" t="str">
        <f>IF(A1068="","",_xlfn.XLOOKUP(A1068,'DISPATCH SHEET'!B$3:B$121,'DISPATCH SHEET'!C$3:C$121,""))</f>
        <v/>
      </c>
      <c r="C1068" s="14" t="str">
        <f>IF(ISBLANK(A1068),"",_xlfn.XLOOKUP(A1068,'DISPATCH SHEET'!C$3:C$121,'DISPATCH SHEET'!#REF!,""))</f>
        <v/>
      </c>
      <c r="D1068" s="14"/>
      <c r="E1068" s="15"/>
      <c r="F1068" s="16"/>
      <c r="G1068" s="17" t="s">
        <v>0</v>
      </c>
      <c r="H1068" s="15"/>
      <c r="I1068" s="14" t="s">
        <v>0</v>
      </c>
      <c r="J1068" s="14"/>
      <c r="K1068" s="18"/>
    </row>
    <row r="1069" spans="1:11" s="5" customFormat="1" ht="15" customHeight="1" x14ac:dyDescent="0.2">
      <c r="A1069" s="13"/>
      <c r="B1069" s="14" t="str">
        <f>IF(A1069="","",_xlfn.XLOOKUP(A1069,'DISPATCH SHEET'!B$3:B$121,'DISPATCH SHEET'!C$3:C$121,""))</f>
        <v/>
      </c>
      <c r="C1069" s="14" t="str">
        <f>IF(ISBLANK(A1069),"",_xlfn.XLOOKUP(A1069,'DISPATCH SHEET'!C$3:C$121,'DISPATCH SHEET'!#REF!,""))</f>
        <v/>
      </c>
      <c r="D1069" s="14"/>
      <c r="E1069" s="15"/>
      <c r="F1069" s="16"/>
      <c r="G1069" s="17" t="s">
        <v>0</v>
      </c>
      <c r="H1069" s="15"/>
      <c r="I1069" s="14" t="s">
        <v>0</v>
      </c>
      <c r="J1069" s="14"/>
      <c r="K1069" s="18"/>
    </row>
    <row r="1070" spans="1:11" s="5" customFormat="1" ht="15" customHeight="1" x14ac:dyDescent="0.2">
      <c r="A1070" s="13"/>
      <c r="B1070" s="14" t="str">
        <f>IF(A1070="","",_xlfn.XLOOKUP(A1070,'DISPATCH SHEET'!B$3:B$121,'DISPATCH SHEET'!C$3:C$121,""))</f>
        <v/>
      </c>
      <c r="C1070" s="14" t="str">
        <f>IF(ISBLANK(A1070),"",_xlfn.XLOOKUP(A1070,'DISPATCH SHEET'!C$3:C$121,'DISPATCH SHEET'!#REF!,""))</f>
        <v/>
      </c>
      <c r="D1070" s="14"/>
      <c r="E1070" s="15"/>
      <c r="F1070" s="16"/>
      <c r="G1070" s="17" t="s">
        <v>0</v>
      </c>
      <c r="H1070" s="15"/>
      <c r="I1070" s="14" t="s">
        <v>0</v>
      </c>
      <c r="J1070" s="14"/>
      <c r="K1070" s="18"/>
    </row>
    <row r="1071" spans="1:11" s="5" customFormat="1" ht="15" customHeight="1" x14ac:dyDescent="0.2">
      <c r="A1071" s="13"/>
      <c r="B1071" s="14" t="str">
        <f>IF(A1071="","",_xlfn.XLOOKUP(A1071,'DISPATCH SHEET'!B$3:B$121,'DISPATCH SHEET'!C$3:C$121,""))</f>
        <v/>
      </c>
      <c r="C1071" s="14" t="str">
        <f>IF(ISBLANK(A1071),"",_xlfn.XLOOKUP(A1071,'DISPATCH SHEET'!C$3:C$121,'DISPATCH SHEET'!#REF!,""))</f>
        <v/>
      </c>
      <c r="D1071" s="14"/>
      <c r="E1071" s="15"/>
      <c r="F1071" s="16"/>
      <c r="G1071" s="17" t="s">
        <v>0</v>
      </c>
      <c r="H1071" s="15"/>
      <c r="I1071" s="14" t="s">
        <v>0</v>
      </c>
      <c r="J1071" s="14"/>
      <c r="K1071" s="18"/>
    </row>
    <row r="1072" spans="1:11" s="5" customFormat="1" ht="15" customHeight="1" x14ac:dyDescent="0.2">
      <c r="A1072" s="13"/>
      <c r="B1072" s="14" t="str">
        <f>IF(A1072="","",_xlfn.XLOOKUP(A1072,'DISPATCH SHEET'!B$3:B$121,'DISPATCH SHEET'!C$3:C$121,""))</f>
        <v/>
      </c>
      <c r="C1072" s="14" t="str">
        <f>IF(ISBLANK(A1072),"",_xlfn.XLOOKUP(A1072,'DISPATCH SHEET'!C$3:C$121,'DISPATCH SHEET'!#REF!,""))</f>
        <v/>
      </c>
      <c r="D1072" s="14"/>
      <c r="E1072" s="15"/>
      <c r="F1072" s="16"/>
      <c r="G1072" s="17" t="s">
        <v>0</v>
      </c>
      <c r="H1072" s="15"/>
      <c r="I1072" s="14" t="s">
        <v>0</v>
      </c>
      <c r="J1072" s="14"/>
      <c r="K1072" s="18"/>
    </row>
    <row r="1073" spans="1:11" s="5" customFormat="1" ht="15" customHeight="1" x14ac:dyDescent="0.2">
      <c r="A1073" s="13"/>
      <c r="B1073" s="14" t="str">
        <f>IF(A1073="","",_xlfn.XLOOKUP(A1073,'DISPATCH SHEET'!B$3:B$121,'DISPATCH SHEET'!C$3:C$121,""))</f>
        <v/>
      </c>
      <c r="C1073" s="14" t="str">
        <f>IF(ISBLANK(A1073),"",_xlfn.XLOOKUP(A1073,'DISPATCH SHEET'!C$3:C$121,'DISPATCH SHEET'!#REF!,""))</f>
        <v/>
      </c>
      <c r="D1073" s="14"/>
      <c r="E1073" s="15"/>
      <c r="F1073" s="16"/>
      <c r="G1073" s="17" t="s">
        <v>0</v>
      </c>
      <c r="H1073" s="15"/>
      <c r="I1073" s="14" t="s">
        <v>0</v>
      </c>
      <c r="J1073" s="14"/>
      <c r="K1073" s="18"/>
    </row>
    <row r="1074" spans="1:11" s="5" customFormat="1" ht="15" customHeight="1" x14ac:dyDescent="0.2">
      <c r="A1074" s="13"/>
      <c r="B1074" s="14" t="str">
        <f>IF(A1074="","",_xlfn.XLOOKUP(A1074,'DISPATCH SHEET'!B$3:B$121,'DISPATCH SHEET'!C$3:C$121,""))</f>
        <v/>
      </c>
      <c r="C1074" s="14" t="str">
        <f>IF(ISBLANK(A1074),"",_xlfn.XLOOKUP(A1074,'DISPATCH SHEET'!C$3:C$121,'DISPATCH SHEET'!#REF!,""))</f>
        <v/>
      </c>
      <c r="D1074" s="14"/>
      <c r="E1074" s="15"/>
      <c r="F1074" s="16"/>
      <c r="G1074" s="17" t="s">
        <v>0</v>
      </c>
      <c r="H1074" s="15"/>
      <c r="I1074" s="14" t="s">
        <v>0</v>
      </c>
      <c r="J1074" s="14"/>
      <c r="K1074" s="18"/>
    </row>
    <row r="1075" spans="1:11" s="5" customFormat="1" ht="15" customHeight="1" x14ac:dyDescent="0.2">
      <c r="A1075" s="13"/>
      <c r="B1075" s="14" t="str">
        <f>IF(A1075="","",_xlfn.XLOOKUP(A1075,'DISPATCH SHEET'!B$3:B$121,'DISPATCH SHEET'!C$3:C$121,""))</f>
        <v/>
      </c>
      <c r="C1075" s="14" t="str">
        <f>IF(ISBLANK(A1075),"",_xlfn.XLOOKUP(A1075,'DISPATCH SHEET'!C$3:C$121,'DISPATCH SHEET'!#REF!,""))</f>
        <v/>
      </c>
      <c r="D1075" s="14"/>
      <c r="E1075" s="15"/>
      <c r="F1075" s="16"/>
      <c r="G1075" s="17" t="s">
        <v>0</v>
      </c>
      <c r="H1075" s="15"/>
      <c r="I1075" s="14" t="s">
        <v>0</v>
      </c>
      <c r="J1075" s="14"/>
      <c r="K1075" s="18"/>
    </row>
    <row r="1076" spans="1:11" s="5" customFormat="1" ht="15" customHeight="1" x14ac:dyDescent="0.2">
      <c r="A1076" s="13"/>
      <c r="B1076" s="14" t="str">
        <f>IF(A1076="","",_xlfn.XLOOKUP(A1076,'DISPATCH SHEET'!B$3:B$121,'DISPATCH SHEET'!C$3:C$121,""))</f>
        <v/>
      </c>
      <c r="C1076" s="14" t="str">
        <f>IF(ISBLANK(A1076),"",_xlfn.XLOOKUP(A1076,'DISPATCH SHEET'!C$3:C$121,'DISPATCH SHEET'!#REF!,""))</f>
        <v/>
      </c>
      <c r="D1076" s="14"/>
      <c r="E1076" s="15"/>
      <c r="F1076" s="16"/>
      <c r="G1076" s="17" t="s">
        <v>0</v>
      </c>
      <c r="H1076" s="15"/>
      <c r="I1076" s="14" t="s">
        <v>0</v>
      </c>
      <c r="J1076" s="14"/>
      <c r="K1076" s="18"/>
    </row>
    <row r="1077" spans="1:11" s="5" customFormat="1" ht="15" customHeight="1" x14ac:dyDescent="0.2">
      <c r="A1077" s="13"/>
      <c r="B1077" s="14" t="str">
        <f>IF(A1077="","",_xlfn.XLOOKUP(A1077,'DISPATCH SHEET'!B$3:B$121,'DISPATCH SHEET'!C$3:C$121,""))</f>
        <v/>
      </c>
      <c r="C1077" s="14" t="str">
        <f>IF(ISBLANK(A1077),"",_xlfn.XLOOKUP(A1077,'DISPATCH SHEET'!C$3:C$121,'DISPATCH SHEET'!#REF!,""))</f>
        <v/>
      </c>
      <c r="D1077" s="14"/>
      <c r="E1077" s="15"/>
      <c r="F1077" s="16"/>
      <c r="G1077" s="17" t="s">
        <v>0</v>
      </c>
      <c r="H1077" s="15"/>
      <c r="I1077" s="14" t="s">
        <v>0</v>
      </c>
      <c r="J1077" s="14"/>
      <c r="K1077" s="18"/>
    </row>
    <row r="1078" spans="1:11" s="5" customFormat="1" ht="15" customHeight="1" x14ac:dyDescent="0.2">
      <c r="A1078" s="13"/>
      <c r="B1078" s="14" t="str">
        <f>IF(A1078="","",_xlfn.XLOOKUP(A1078,'DISPATCH SHEET'!B$3:B$121,'DISPATCH SHEET'!C$3:C$121,""))</f>
        <v/>
      </c>
      <c r="C1078" s="14" t="str">
        <f>IF(ISBLANK(A1078),"",_xlfn.XLOOKUP(A1078,'DISPATCH SHEET'!C$3:C$121,'DISPATCH SHEET'!#REF!,""))</f>
        <v/>
      </c>
      <c r="D1078" s="14"/>
      <c r="E1078" s="15"/>
      <c r="F1078" s="16"/>
      <c r="G1078" s="17" t="s">
        <v>0</v>
      </c>
      <c r="H1078" s="15"/>
      <c r="I1078" s="14" t="s">
        <v>0</v>
      </c>
      <c r="J1078" s="14"/>
      <c r="K1078" s="18"/>
    </row>
    <row r="1079" spans="1:11" s="5" customFormat="1" ht="15" customHeight="1" x14ac:dyDescent="0.2">
      <c r="A1079" s="13"/>
      <c r="B1079" s="14" t="str">
        <f>IF(A1079="","",_xlfn.XLOOKUP(A1079,'DISPATCH SHEET'!B$3:B$121,'DISPATCH SHEET'!C$3:C$121,""))</f>
        <v/>
      </c>
      <c r="C1079" s="14" t="str">
        <f>IF(ISBLANK(A1079),"",_xlfn.XLOOKUP(A1079,'DISPATCH SHEET'!C$3:C$121,'DISPATCH SHEET'!#REF!,""))</f>
        <v/>
      </c>
      <c r="D1079" s="14"/>
      <c r="E1079" s="15"/>
      <c r="F1079" s="16"/>
      <c r="G1079" s="17" t="s">
        <v>0</v>
      </c>
      <c r="H1079" s="15"/>
      <c r="I1079" s="14" t="s">
        <v>0</v>
      </c>
      <c r="J1079" s="14"/>
      <c r="K1079" s="18"/>
    </row>
    <row r="1080" spans="1:11" s="5" customFormat="1" ht="15" customHeight="1" x14ac:dyDescent="0.2">
      <c r="A1080" s="13"/>
      <c r="B1080" s="14" t="str">
        <f>IF(A1080="","",_xlfn.XLOOKUP(A1080,'DISPATCH SHEET'!B$3:B$121,'DISPATCH SHEET'!C$3:C$121,""))</f>
        <v/>
      </c>
      <c r="C1080" s="14" t="str">
        <f>IF(ISBLANK(A1080),"",_xlfn.XLOOKUP(A1080,'DISPATCH SHEET'!C$3:C$121,'DISPATCH SHEET'!#REF!,""))</f>
        <v/>
      </c>
      <c r="D1080" s="14"/>
      <c r="E1080" s="15"/>
      <c r="F1080" s="16"/>
      <c r="G1080" s="17" t="s">
        <v>0</v>
      </c>
      <c r="H1080" s="15"/>
      <c r="I1080" s="14" t="s">
        <v>0</v>
      </c>
      <c r="J1080" s="14"/>
      <c r="K1080" s="18"/>
    </row>
    <row r="1081" spans="1:11" s="5" customFormat="1" ht="15" customHeight="1" x14ac:dyDescent="0.2">
      <c r="A1081" s="13"/>
      <c r="B1081" s="14" t="str">
        <f>IF(A1081="","",_xlfn.XLOOKUP(A1081,'DISPATCH SHEET'!B$3:B$121,'DISPATCH SHEET'!C$3:C$121,""))</f>
        <v/>
      </c>
      <c r="C1081" s="14" t="str">
        <f>IF(ISBLANK(A1081),"",_xlfn.XLOOKUP(A1081,'DISPATCH SHEET'!C$3:C$121,'DISPATCH SHEET'!#REF!,""))</f>
        <v/>
      </c>
      <c r="D1081" s="14"/>
      <c r="E1081" s="15"/>
      <c r="F1081" s="16"/>
      <c r="G1081" s="17" t="s">
        <v>0</v>
      </c>
      <c r="H1081" s="15"/>
      <c r="I1081" s="14" t="s">
        <v>0</v>
      </c>
      <c r="J1081" s="14"/>
      <c r="K1081" s="18"/>
    </row>
    <row r="1082" spans="1:11" s="5" customFormat="1" ht="15" customHeight="1" x14ac:dyDescent="0.2">
      <c r="A1082" s="13"/>
      <c r="B1082" s="14" t="str">
        <f>IF(A1082="","",_xlfn.XLOOKUP(A1082,'DISPATCH SHEET'!B$3:B$121,'DISPATCH SHEET'!C$3:C$121,""))</f>
        <v/>
      </c>
      <c r="C1082" s="14" t="str">
        <f>IF(ISBLANK(A1082),"",_xlfn.XLOOKUP(A1082,'DISPATCH SHEET'!C$3:C$121,'DISPATCH SHEET'!#REF!,""))</f>
        <v/>
      </c>
      <c r="D1082" s="14"/>
      <c r="E1082" s="15"/>
      <c r="F1082" s="16"/>
      <c r="G1082" s="17" t="s">
        <v>0</v>
      </c>
      <c r="H1082" s="15"/>
      <c r="I1082" s="14" t="s">
        <v>0</v>
      </c>
      <c r="J1082" s="14"/>
      <c r="K1082" s="18"/>
    </row>
    <row r="1083" spans="1:11" s="5" customFormat="1" ht="15" customHeight="1" x14ac:dyDescent="0.2">
      <c r="A1083" s="13"/>
      <c r="B1083" s="14" t="str">
        <f>IF(A1083="","",_xlfn.XLOOKUP(A1083,'DISPATCH SHEET'!B$3:B$121,'DISPATCH SHEET'!C$3:C$121,""))</f>
        <v/>
      </c>
      <c r="C1083" s="14" t="str">
        <f>IF(ISBLANK(A1083),"",_xlfn.XLOOKUP(A1083,'DISPATCH SHEET'!C$3:C$121,'DISPATCH SHEET'!#REF!,""))</f>
        <v/>
      </c>
      <c r="D1083" s="14"/>
      <c r="E1083" s="15"/>
      <c r="F1083" s="16"/>
      <c r="G1083" s="17" t="s">
        <v>0</v>
      </c>
      <c r="H1083" s="15"/>
      <c r="I1083" s="14" t="s">
        <v>0</v>
      </c>
      <c r="J1083" s="14"/>
      <c r="K1083" s="18"/>
    </row>
    <row r="1084" spans="1:11" s="5" customFormat="1" ht="15" customHeight="1" x14ac:dyDescent="0.2">
      <c r="A1084" s="13"/>
      <c r="B1084" s="14" t="str">
        <f>IF(A1084="","",_xlfn.XLOOKUP(A1084,'DISPATCH SHEET'!B$3:B$121,'DISPATCH SHEET'!C$3:C$121,""))</f>
        <v/>
      </c>
      <c r="C1084" s="14" t="str">
        <f>IF(ISBLANK(A1084),"",_xlfn.XLOOKUP(A1084,'DISPATCH SHEET'!C$3:C$121,'DISPATCH SHEET'!#REF!,""))</f>
        <v/>
      </c>
      <c r="D1084" s="14"/>
      <c r="E1084" s="15"/>
      <c r="F1084" s="16"/>
      <c r="G1084" s="17" t="s">
        <v>0</v>
      </c>
      <c r="H1084" s="15"/>
      <c r="I1084" s="14" t="s">
        <v>0</v>
      </c>
      <c r="J1084" s="14"/>
      <c r="K1084" s="18"/>
    </row>
    <row r="1085" spans="1:11" s="5" customFormat="1" ht="15" customHeight="1" x14ac:dyDescent="0.2">
      <c r="A1085" s="13"/>
      <c r="B1085" s="14" t="str">
        <f>IF(A1085="","",_xlfn.XLOOKUP(A1085,'DISPATCH SHEET'!B$3:B$121,'DISPATCH SHEET'!C$3:C$121,""))</f>
        <v/>
      </c>
      <c r="C1085" s="14" t="str">
        <f>IF(ISBLANK(A1085),"",_xlfn.XLOOKUP(A1085,'DISPATCH SHEET'!C$3:C$121,'DISPATCH SHEET'!#REF!,""))</f>
        <v/>
      </c>
      <c r="D1085" s="14"/>
      <c r="E1085" s="15"/>
      <c r="F1085" s="16"/>
      <c r="G1085" s="17" t="s">
        <v>0</v>
      </c>
      <c r="H1085" s="15"/>
      <c r="I1085" s="14" t="s">
        <v>0</v>
      </c>
      <c r="J1085" s="14"/>
      <c r="K1085" s="18"/>
    </row>
    <row r="1086" spans="1:11" s="5" customFormat="1" ht="15" customHeight="1" x14ac:dyDescent="0.2">
      <c r="A1086" s="13"/>
      <c r="B1086" s="14" t="str">
        <f>IF(A1086="","",_xlfn.XLOOKUP(A1086,'DISPATCH SHEET'!B$3:B$121,'DISPATCH SHEET'!C$3:C$121,""))</f>
        <v/>
      </c>
      <c r="C1086" s="14" t="str">
        <f>IF(ISBLANK(A1086),"",_xlfn.XLOOKUP(A1086,'DISPATCH SHEET'!C$3:C$121,'DISPATCH SHEET'!#REF!,""))</f>
        <v/>
      </c>
      <c r="D1086" s="14"/>
      <c r="E1086" s="15"/>
      <c r="F1086" s="16"/>
      <c r="G1086" s="17" t="s">
        <v>0</v>
      </c>
      <c r="H1086" s="15"/>
      <c r="I1086" s="14" t="s">
        <v>0</v>
      </c>
      <c r="J1086" s="14"/>
      <c r="K1086" s="18"/>
    </row>
    <row r="1087" spans="1:11" s="5" customFormat="1" ht="15" customHeight="1" x14ac:dyDescent="0.2">
      <c r="A1087" s="13"/>
      <c r="B1087" s="14" t="str">
        <f>IF(A1087="","",_xlfn.XLOOKUP(A1087,'DISPATCH SHEET'!B$3:B$121,'DISPATCH SHEET'!C$3:C$121,""))</f>
        <v/>
      </c>
      <c r="C1087" s="14" t="str">
        <f>IF(ISBLANK(A1087),"",_xlfn.XLOOKUP(A1087,'DISPATCH SHEET'!C$3:C$121,'DISPATCH SHEET'!#REF!,""))</f>
        <v/>
      </c>
      <c r="D1087" s="14"/>
      <c r="E1087" s="15"/>
      <c r="F1087" s="16"/>
      <c r="G1087" s="17" t="s">
        <v>0</v>
      </c>
      <c r="H1087" s="15"/>
      <c r="I1087" s="14" t="s">
        <v>0</v>
      </c>
      <c r="J1087" s="14"/>
      <c r="K1087" s="18"/>
    </row>
    <row r="1088" spans="1:11" s="5" customFormat="1" ht="15" customHeight="1" x14ac:dyDescent="0.2">
      <c r="A1088" s="13"/>
      <c r="B1088" s="14" t="str">
        <f>IF(A1088="","",_xlfn.XLOOKUP(A1088,'DISPATCH SHEET'!B$3:B$121,'DISPATCH SHEET'!C$3:C$121,""))</f>
        <v/>
      </c>
      <c r="C1088" s="14" t="str">
        <f>IF(ISBLANK(A1088),"",_xlfn.XLOOKUP(A1088,'DISPATCH SHEET'!C$3:C$121,'DISPATCH SHEET'!#REF!,""))</f>
        <v/>
      </c>
      <c r="D1088" s="14"/>
      <c r="E1088" s="15"/>
      <c r="F1088" s="16"/>
      <c r="G1088" s="17" t="s">
        <v>0</v>
      </c>
      <c r="H1088" s="15"/>
      <c r="I1088" s="14" t="s">
        <v>0</v>
      </c>
      <c r="J1088" s="14"/>
      <c r="K1088" s="18"/>
    </row>
    <row r="1089" spans="1:11" s="5" customFormat="1" ht="15" customHeight="1" x14ac:dyDescent="0.2">
      <c r="A1089" s="13"/>
      <c r="B1089" s="14" t="str">
        <f>IF(A1089="","",_xlfn.XLOOKUP(A1089,'DISPATCH SHEET'!B$3:B$121,'DISPATCH SHEET'!C$3:C$121,""))</f>
        <v/>
      </c>
      <c r="C1089" s="14" t="str">
        <f>IF(ISBLANK(A1089),"",_xlfn.XLOOKUP(A1089,'DISPATCH SHEET'!C$3:C$121,'DISPATCH SHEET'!#REF!,""))</f>
        <v/>
      </c>
      <c r="D1089" s="14"/>
      <c r="E1089" s="15"/>
      <c r="F1089" s="16"/>
      <c r="G1089" s="17" t="s">
        <v>0</v>
      </c>
      <c r="H1089" s="15"/>
      <c r="I1089" s="14" t="s">
        <v>0</v>
      </c>
      <c r="J1089" s="14"/>
      <c r="K1089" s="18"/>
    </row>
    <row r="1090" spans="1:11" s="5" customFormat="1" ht="15" customHeight="1" x14ac:dyDescent="0.2">
      <c r="A1090" s="13"/>
      <c r="B1090" s="14" t="str">
        <f>IF(A1090="","",_xlfn.XLOOKUP(A1090,'DISPATCH SHEET'!B$3:B$121,'DISPATCH SHEET'!C$3:C$121,""))</f>
        <v/>
      </c>
      <c r="C1090" s="14" t="str">
        <f>IF(ISBLANK(A1090),"",_xlfn.XLOOKUP(A1090,'DISPATCH SHEET'!C$3:C$121,'DISPATCH SHEET'!#REF!,""))</f>
        <v/>
      </c>
      <c r="D1090" s="14"/>
      <c r="E1090" s="15"/>
      <c r="F1090" s="16"/>
      <c r="G1090" s="17" t="s">
        <v>0</v>
      </c>
      <c r="H1090" s="15"/>
      <c r="I1090" s="14" t="s">
        <v>0</v>
      </c>
      <c r="J1090" s="14"/>
      <c r="K1090" s="18"/>
    </row>
    <row r="1091" spans="1:11" s="5" customFormat="1" ht="15" customHeight="1" x14ac:dyDescent="0.2">
      <c r="A1091" s="13"/>
      <c r="B1091" s="14" t="str">
        <f>IF(A1091="","",_xlfn.XLOOKUP(A1091,'DISPATCH SHEET'!B$3:B$121,'DISPATCH SHEET'!C$3:C$121,""))</f>
        <v/>
      </c>
      <c r="C1091" s="14" t="str">
        <f>IF(ISBLANK(A1091),"",_xlfn.XLOOKUP(A1091,'DISPATCH SHEET'!C$3:C$121,'DISPATCH SHEET'!#REF!,""))</f>
        <v/>
      </c>
      <c r="D1091" s="14"/>
      <c r="E1091" s="15"/>
      <c r="F1091" s="16"/>
      <c r="G1091" s="17" t="s">
        <v>0</v>
      </c>
      <c r="H1091" s="15"/>
      <c r="I1091" s="14" t="s">
        <v>0</v>
      </c>
      <c r="J1091" s="14"/>
      <c r="K1091" s="18"/>
    </row>
    <row r="1092" spans="1:11" s="5" customFormat="1" ht="15" customHeight="1" x14ac:dyDescent="0.2">
      <c r="A1092" s="13"/>
      <c r="B1092" s="14" t="str">
        <f>IF(A1092="","",_xlfn.XLOOKUP(A1092,'DISPATCH SHEET'!B$3:B$121,'DISPATCH SHEET'!C$3:C$121,""))</f>
        <v/>
      </c>
      <c r="C1092" s="14" t="str">
        <f>IF(ISBLANK(A1092),"",_xlfn.XLOOKUP(A1092,'DISPATCH SHEET'!C$3:C$121,'DISPATCH SHEET'!#REF!,""))</f>
        <v/>
      </c>
      <c r="D1092" s="14"/>
      <c r="E1092" s="15"/>
      <c r="F1092" s="16"/>
      <c r="G1092" s="17" t="s">
        <v>0</v>
      </c>
      <c r="H1092" s="15"/>
      <c r="I1092" s="14" t="s">
        <v>0</v>
      </c>
      <c r="J1092" s="14"/>
      <c r="K1092" s="18"/>
    </row>
    <row r="1093" spans="1:11" s="5" customFormat="1" ht="15" customHeight="1" x14ac:dyDescent="0.2">
      <c r="A1093" s="13"/>
      <c r="B1093" s="14" t="str">
        <f>IF(A1093="","",_xlfn.XLOOKUP(A1093,'DISPATCH SHEET'!B$3:B$121,'DISPATCH SHEET'!C$3:C$121,""))</f>
        <v/>
      </c>
      <c r="C1093" s="14" t="str">
        <f>IF(ISBLANK(A1093),"",_xlfn.XLOOKUP(A1093,'DISPATCH SHEET'!C$3:C$121,'DISPATCH SHEET'!#REF!,""))</f>
        <v/>
      </c>
      <c r="D1093" s="14"/>
      <c r="E1093" s="15"/>
      <c r="F1093" s="16"/>
      <c r="G1093" s="17" t="s">
        <v>0</v>
      </c>
      <c r="H1093" s="15"/>
      <c r="I1093" s="14" t="s">
        <v>0</v>
      </c>
      <c r="J1093" s="14"/>
      <c r="K1093" s="18"/>
    </row>
    <row r="1094" spans="1:11" s="5" customFormat="1" ht="15" customHeight="1" x14ac:dyDescent="0.2">
      <c r="A1094" s="13"/>
      <c r="B1094" s="14" t="str">
        <f>IF(A1094="","",_xlfn.XLOOKUP(A1094,'DISPATCH SHEET'!B$3:B$121,'DISPATCH SHEET'!C$3:C$121,""))</f>
        <v/>
      </c>
      <c r="C1094" s="14" t="str">
        <f>IF(ISBLANK(A1094),"",_xlfn.XLOOKUP(A1094,'DISPATCH SHEET'!C$3:C$121,'DISPATCH SHEET'!#REF!,""))</f>
        <v/>
      </c>
      <c r="D1094" s="14"/>
      <c r="E1094" s="15"/>
      <c r="F1094" s="16"/>
      <c r="G1094" s="17" t="s">
        <v>0</v>
      </c>
      <c r="H1094" s="15"/>
      <c r="I1094" s="14" t="s">
        <v>0</v>
      </c>
      <c r="J1094" s="14"/>
      <c r="K1094" s="18"/>
    </row>
    <row r="1095" spans="1:11" s="5" customFormat="1" ht="15" customHeight="1" x14ac:dyDescent="0.2">
      <c r="A1095" s="13"/>
      <c r="B1095" s="14" t="str">
        <f>IF(A1095="","",_xlfn.XLOOKUP(A1095,'DISPATCH SHEET'!B$3:B$121,'DISPATCH SHEET'!C$3:C$121,""))</f>
        <v/>
      </c>
      <c r="C1095" s="14" t="str">
        <f>IF(ISBLANK(A1095),"",_xlfn.XLOOKUP(A1095,'DISPATCH SHEET'!C$3:C$121,'DISPATCH SHEET'!#REF!,""))</f>
        <v/>
      </c>
      <c r="D1095" s="14"/>
      <c r="E1095" s="15"/>
      <c r="F1095" s="16"/>
      <c r="G1095" s="17" t="s">
        <v>0</v>
      </c>
      <c r="H1095" s="15"/>
      <c r="I1095" s="14" t="s">
        <v>0</v>
      </c>
      <c r="J1095" s="14"/>
      <c r="K1095" s="18"/>
    </row>
    <row r="1096" spans="1:11" s="5" customFormat="1" ht="15" customHeight="1" x14ac:dyDescent="0.2">
      <c r="A1096" s="13"/>
      <c r="B1096" s="14" t="str">
        <f>IF(A1096="","",_xlfn.XLOOKUP(A1096,'DISPATCH SHEET'!B$3:B$121,'DISPATCH SHEET'!C$3:C$121,""))</f>
        <v/>
      </c>
      <c r="C1096" s="14" t="str">
        <f>IF(ISBLANK(A1096),"",_xlfn.XLOOKUP(A1096,'DISPATCH SHEET'!C$3:C$121,'DISPATCH SHEET'!#REF!,""))</f>
        <v/>
      </c>
      <c r="D1096" s="14"/>
      <c r="E1096" s="15"/>
      <c r="F1096" s="16"/>
      <c r="G1096" s="17" t="s">
        <v>0</v>
      </c>
      <c r="H1096" s="15"/>
      <c r="I1096" s="14" t="s">
        <v>0</v>
      </c>
      <c r="J1096" s="14"/>
      <c r="K1096" s="18"/>
    </row>
    <row r="1097" spans="1:11" s="5" customFormat="1" ht="15" customHeight="1" x14ac:dyDescent="0.2">
      <c r="A1097" s="13"/>
      <c r="B1097" s="14" t="str">
        <f>IF(A1097="","",_xlfn.XLOOKUP(A1097,'DISPATCH SHEET'!B$3:B$121,'DISPATCH SHEET'!C$3:C$121,""))</f>
        <v/>
      </c>
      <c r="C1097" s="14" t="str">
        <f>IF(ISBLANK(A1097),"",_xlfn.XLOOKUP(A1097,'DISPATCH SHEET'!C$3:C$121,'DISPATCH SHEET'!#REF!,""))</f>
        <v/>
      </c>
      <c r="D1097" s="14"/>
      <c r="E1097" s="15"/>
      <c r="F1097" s="16"/>
      <c r="G1097" s="17" t="s">
        <v>0</v>
      </c>
      <c r="H1097" s="15"/>
      <c r="I1097" s="14" t="s">
        <v>0</v>
      </c>
      <c r="J1097" s="14"/>
      <c r="K1097" s="18"/>
    </row>
    <row r="1098" spans="1:11" s="5" customFormat="1" ht="15" customHeight="1" x14ac:dyDescent="0.2">
      <c r="A1098" s="13"/>
      <c r="B1098" s="14" t="str">
        <f>IF(A1098="","",_xlfn.XLOOKUP(A1098,'DISPATCH SHEET'!B$3:B$121,'DISPATCH SHEET'!C$3:C$121,""))</f>
        <v/>
      </c>
      <c r="C1098" s="14" t="str">
        <f>IF(ISBLANK(A1098),"",_xlfn.XLOOKUP(A1098,'DISPATCH SHEET'!C$3:C$121,'DISPATCH SHEET'!#REF!,""))</f>
        <v/>
      </c>
      <c r="D1098" s="14"/>
      <c r="E1098" s="15"/>
      <c r="F1098" s="16"/>
      <c r="G1098" s="17" t="s">
        <v>0</v>
      </c>
      <c r="H1098" s="15"/>
      <c r="I1098" s="14" t="s">
        <v>0</v>
      </c>
      <c r="J1098" s="14"/>
      <c r="K1098" s="18"/>
    </row>
    <row r="1099" spans="1:11" s="5" customFormat="1" ht="15" customHeight="1" x14ac:dyDescent="0.2">
      <c r="A1099" s="13"/>
      <c r="B1099" s="14" t="str">
        <f>IF(A1099="","",_xlfn.XLOOKUP(A1099,'DISPATCH SHEET'!B$3:B$121,'DISPATCH SHEET'!C$3:C$121,""))</f>
        <v/>
      </c>
      <c r="C1099" s="14" t="str">
        <f>IF(ISBLANK(A1099),"",_xlfn.XLOOKUP(A1099,'DISPATCH SHEET'!C$3:C$121,'DISPATCH SHEET'!#REF!,""))</f>
        <v/>
      </c>
      <c r="D1099" s="14"/>
      <c r="E1099" s="15"/>
      <c r="F1099" s="16"/>
      <c r="G1099" s="17" t="s">
        <v>0</v>
      </c>
      <c r="H1099" s="15"/>
      <c r="I1099" s="14" t="s">
        <v>0</v>
      </c>
      <c r="J1099" s="14"/>
      <c r="K1099" s="18"/>
    </row>
    <row r="1100" spans="1:11" s="5" customFormat="1" ht="15" customHeight="1" x14ac:dyDescent="0.2">
      <c r="A1100" s="13"/>
      <c r="B1100" s="14" t="str">
        <f>IF(A1100="","",_xlfn.XLOOKUP(A1100,'DISPATCH SHEET'!B$3:B$121,'DISPATCH SHEET'!C$3:C$121,""))</f>
        <v/>
      </c>
      <c r="C1100" s="14" t="str">
        <f>IF(ISBLANK(A1100),"",_xlfn.XLOOKUP(A1100,'DISPATCH SHEET'!C$3:C$121,'DISPATCH SHEET'!#REF!,""))</f>
        <v/>
      </c>
      <c r="D1100" s="14"/>
      <c r="E1100" s="15"/>
      <c r="F1100" s="16"/>
      <c r="G1100" s="17" t="s">
        <v>0</v>
      </c>
      <c r="H1100" s="15"/>
      <c r="I1100" s="14" t="s">
        <v>0</v>
      </c>
      <c r="J1100" s="14"/>
      <c r="K1100" s="18"/>
    </row>
    <row r="1101" spans="1:11" s="5" customFormat="1" ht="15" customHeight="1" x14ac:dyDescent="0.2">
      <c r="A1101" s="13"/>
      <c r="B1101" s="14" t="str">
        <f>IF(A1101="","",_xlfn.XLOOKUP(A1101,'DISPATCH SHEET'!B$3:B$121,'DISPATCH SHEET'!C$3:C$121,""))</f>
        <v/>
      </c>
      <c r="C1101" s="14" t="str">
        <f>IF(ISBLANK(A1101),"",_xlfn.XLOOKUP(A1101,'DISPATCH SHEET'!C$3:C$121,'DISPATCH SHEET'!#REF!,""))</f>
        <v/>
      </c>
      <c r="D1101" s="14"/>
      <c r="E1101" s="15"/>
      <c r="F1101" s="16"/>
      <c r="G1101" s="17" t="s">
        <v>0</v>
      </c>
      <c r="H1101" s="15"/>
      <c r="I1101" s="14" t="s">
        <v>0</v>
      </c>
      <c r="J1101" s="14"/>
      <c r="K1101" s="18"/>
    </row>
    <row r="1102" spans="1:11" s="5" customFormat="1" ht="15" customHeight="1" x14ac:dyDescent="0.2">
      <c r="A1102" s="13"/>
      <c r="B1102" s="14" t="str">
        <f>IF(A1102="","",_xlfn.XLOOKUP(A1102,'DISPATCH SHEET'!B$3:B$121,'DISPATCH SHEET'!C$3:C$121,""))</f>
        <v/>
      </c>
      <c r="C1102" s="14" t="str">
        <f>IF(ISBLANK(A1102),"",_xlfn.XLOOKUP(A1102,'DISPATCH SHEET'!C$3:C$121,'DISPATCH SHEET'!#REF!,""))</f>
        <v/>
      </c>
      <c r="D1102" s="14"/>
      <c r="E1102" s="15"/>
      <c r="F1102" s="16"/>
      <c r="G1102" s="17" t="s">
        <v>0</v>
      </c>
      <c r="H1102" s="15"/>
      <c r="I1102" s="14" t="s">
        <v>0</v>
      </c>
      <c r="J1102" s="14"/>
      <c r="K1102" s="18"/>
    </row>
    <row r="1103" spans="1:11" s="5" customFormat="1" ht="15" customHeight="1" x14ac:dyDescent="0.2">
      <c r="A1103" s="13"/>
      <c r="B1103" s="14" t="str">
        <f>IF(A1103="","",_xlfn.XLOOKUP(A1103,'DISPATCH SHEET'!B$3:B$121,'DISPATCH SHEET'!C$3:C$121,""))</f>
        <v/>
      </c>
      <c r="C1103" s="14" t="str">
        <f>IF(ISBLANK(A1103),"",_xlfn.XLOOKUP(A1103,'DISPATCH SHEET'!C$3:C$121,'DISPATCH SHEET'!#REF!,""))</f>
        <v/>
      </c>
      <c r="D1103" s="14"/>
      <c r="E1103" s="15"/>
      <c r="F1103" s="16"/>
      <c r="G1103" s="17" t="s">
        <v>0</v>
      </c>
      <c r="H1103" s="15"/>
      <c r="I1103" s="14" t="s">
        <v>0</v>
      </c>
      <c r="J1103" s="14"/>
      <c r="K1103" s="18"/>
    </row>
    <row r="1104" spans="1:11" s="5" customFormat="1" ht="15" customHeight="1" x14ac:dyDescent="0.2">
      <c r="A1104" s="13"/>
      <c r="B1104" s="14" t="str">
        <f>IF(A1104="","",_xlfn.XLOOKUP(A1104,'DISPATCH SHEET'!B$3:B$121,'DISPATCH SHEET'!C$3:C$121,""))</f>
        <v/>
      </c>
      <c r="C1104" s="14" t="str">
        <f>IF(ISBLANK(A1104),"",_xlfn.XLOOKUP(A1104,'DISPATCH SHEET'!C$3:C$121,'DISPATCH SHEET'!#REF!,""))</f>
        <v/>
      </c>
      <c r="D1104" s="14"/>
      <c r="E1104" s="15"/>
      <c r="F1104" s="16"/>
      <c r="G1104" s="17" t="s">
        <v>0</v>
      </c>
      <c r="H1104" s="15"/>
      <c r="I1104" s="14" t="s">
        <v>0</v>
      </c>
      <c r="J1104" s="14"/>
      <c r="K1104" s="18"/>
    </row>
    <row r="1105" spans="1:11" s="5" customFormat="1" ht="15" customHeight="1" x14ac:dyDescent="0.2">
      <c r="A1105" s="13"/>
      <c r="B1105" s="14" t="str">
        <f>IF(A1105="","",_xlfn.XLOOKUP(A1105,'DISPATCH SHEET'!B$3:B$121,'DISPATCH SHEET'!C$3:C$121,""))</f>
        <v/>
      </c>
      <c r="C1105" s="14" t="str">
        <f>IF(ISBLANK(A1105),"",_xlfn.XLOOKUP(A1105,'DISPATCH SHEET'!C$3:C$121,'DISPATCH SHEET'!#REF!,""))</f>
        <v/>
      </c>
      <c r="D1105" s="14"/>
      <c r="E1105" s="15"/>
      <c r="F1105" s="16"/>
      <c r="G1105" s="17" t="s">
        <v>0</v>
      </c>
      <c r="H1105" s="15"/>
      <c r="I1105" s="14" t="s">
        <v>0</v>
      </c>
      <c r="J1105" s="14"/>
      <c r="K1105" s="18"/>
    </row>
    <row r="1106" spans="1:11" s="5" customFormat="1" ht="15" customHeight="1" x14ac:dyDescent="0.2">
      <c r="A1106" s="13"/>
      <c r="B1106" s="14" t="str">
        <f>IF(A1106="","",_xlfn.XLOOKUP(A1106,'DISPATCH SHEET'!B$3:B$121,'DISPATCH SHEET'!C$3:C$121,""))</f>
        <v/>
      </c>
      <c r="C1106" s="14" t="str">
        <f>IF(ISBLANK(A1106),"",_xlfn.XLOOKUP(A1106,'DISPATCH SHEET'!C$3:C$121,'DISPATCH SHEET'!#REF!,""))</f>
        <v/>
      </c>
      <c r="D1106" s="14"/>
      <c r="E1106" s="15"/>
      <c r="F1106" s="16"/>
      <c r="G1106" s="17" t="s">
        <v>0</v>
      </c>
      <c r="H1106" s="15"/>
      <c r="I1106" s="14" t="s">
        <v>0</v>
      </c>
      <c r="J1106" s="14"/>
      <c r="K1106" s="18"/>
    </row>
    <row r="1107" spans="1:11" s="5" customFormat="1" ht="15" customHeight="1" x14ac:dyDescent="0.2">
      <c r="A1107" s="13"/>
      <c r="B1107" s="14" t="str">
        <f>IF(A1107="","",_xlfn.XLOOKUP(A1107,'DISPATCH SHEET'!B$3:B$121,'DISPATCH SHEET'!C$3:C$121,""))</f>
        <v/>
      </c>
      <c r="C1107" s="14" t="str">
        <f>IF(ISBLANK(A1107),"",_xlfn.XLOOKUP(A1107,'DISPATCH SHEET'!C$3:C$121,'DISPATCH SHEET'!#REF!,""))</f>
        <v/>
      </c>
      <c r="D1107" s="14"/>
      <c r="E1107" s="15"/>
      <c r="F1107" s="16"/>
      <c r="G1107" s="17" t="s">
        <v>0</v>
      </c>
      <c r="H1107" s="15"/>
      <c r="I1107" s="14" t="s">
        <v>0</v>
      </c>
      <c r="J1107" s="14"/>
      <c r="K1107" s="18"/>
    </row>
    <row r="1108" spans="1:11" s="5" customFormat="1" ht="15" customHeight="1" x14ac:dyDescent="0.2">
      <c r="A1108" s="13"/>
      <c r="B1108" s="14" t="str">
        <f>IF(A1108="","",_xlfn.XLOOKUP(A1108,'DISPATCH SHEET'!B$3:B$121,'DISPATCH SHEET'!C$3:C$121,""))</f>
        <v/>
      </c>
      <c r="C1108" s="14" t="str">
        <f>IF(ISBLANK(A1108),"",_xlfn.XLOOKUP(A1108,'DISPATCH SHEET'!C$3:C$121,'DISPATCH SHEET'!#REF!,""))</f>
        <v/>
      </c>
      <c r="D1108" s="14"/>
      <c r="E1108" s="15"/>
      <c r="F1108" s="16"/>
      <c r="G1108" s="17" t="s">
        <v>0</v>
      </c>
      <c r="H1108" s="15"/>
      <c r="I1108" s="14" t="s">
        <v>0</v>
      </c>
      <c r="J1108" s="14"/>
      <c r="K1108" s="18"/>
    </row>
    <row r="1109" spans="1:11" s="5" customFormat="1" ht="15" customHeight="1" x14ac:dyDescent="0.2">
      <c r="A1109" s="13"/>
      <c r="B1109" s="14" t="str">
        <f>IF(A1109="","",_xlfn.XLOOKUP(A1109,'DISPATCH SHEET'!B$3:B$121,'DISPATCH SHEET'!C$3:C$121,""))</f>
        <v/>
      </c>
      <c r="C1109" s="14" t="str">
        <f>IF(ISBLANK(A1109),"",_xlfn.XLOOKUP(A1109,'DISPATCH SHEET'!C$3:C$121,'DISPATCH SHEET'!#REF!,""))</f>
        <v/>
      </c>
      <c r="D1109" s="14"/>
      <c r="E1109" s="15"/>
      <c r="F1109" s="16"/>
      <c r="G1109" s="17" t="s">
        <v>0</v>
      </c>
      <c r="H1109" s="15"/>
      <c r="I1109" s="14" t="s">
        <v>0</v>
      </c>
      <c r="J1109" s="14"/>
      <c r="K1109" s="18"/>
    </row>
    <row r="1110" spans="1:11" s="5" customFormat="1" ht="15" customHeight="1" x14ac:dyDescent="0.2">
      <c r="A1110" s="13"/>
      <c r="B1110" s="14" t="str">
        <f>IF(A1110="","",_xlfn.XLOOKUP(A1110,'DISPATCH SHEET'!B$3:B$121,'DISPATCH SHEET'!C$3:C$121,""))</f>
        <v/>
      </c>
      <c r="C1110" s="14" t="str">
        <f>IF(ISBLANK(A1110),"",_xlfn.XLOOKUP(A1110,'DISPATCH SHEET'!C$3:C$121,'DISPATCH SHEET'!#REF!,""))</f>
        <v/>
      </c>
      <c r="D1110" s="14"/>
      <c r="E1110" s="15"/>
      <c r="F1110" s="16"/>
      <c r="G1110" s="17" t="s">
        <v>0</v>
      </c>
      <c r="H1110" s="15"/>
      <c r="I1110" s="14" t="s">
        <v>0</v>
      </c>
      <c r="J1110" s="14"/>
      <c r="K1110" s="18"/>
    </row>
    <row r="1111" spans="1:11" s="5" customFormat="1" ht="15" customHeight="1" x14ac:dyDescent="0.2">
      <c r="A1111" s="13"/>
      <c r="B1111" s="14" t="str">
        <f>IF(A1111="","",_xlfn.XLOOKUP(A1111,'DISPATCH SHEET'!B$3:B$121,'DISPATCH SHEET'!C$3:C$121,""))</f>
        <v/>
      </c>
      <c r="C1111" s="14" t="str">
        <f>IF(ISBLANK(A1111),"",_xlfn.XLOOKUP(A1111,'DISPATCH SHEET'!C$3:C$121,'DISPATCH SHEET'!#REF!,""))</f>
        <v/>
      </c>
      <c r="D1111" s="14"/>
      <c r="E1111" s="15"/>
      <c r="F1111" s="16"/>
      <c r="G1111" s="17" t="s">
        <v>0</v>
      </c>
      <c r="H1111" s="15"/>
      <c r="I1111" s="14" t="s">
        <v>0</v>
      </c>
      <c r="J1111" s="14"/>
      <c r="K1111" s="18"/>
    </row>
    <row r="1112" spans="1:11" s="5" customFormat="1" ht="15" customHeight="1" x14ac:dyDescent="0.2">
      <c r="A1112" s="13"/>
      <c r="B1112" s="14" t="str">
        <f>IF(A1112="","",_xlfn.XLOOKUP(A1112,'DISPATCH SHEET'!B$3:B$121,'DISPATCH SHEET'!C$3:C$121,""))</f>
        <v/>
      </c>
      <c r="C1112" s="14" t="str">
        <f>IF(ISBLANK(A1112),"",_xlfn.XLOOKUP(A1112,'DISPATCH SHEET'!C$3:C$121,'DISPATCH SHEET'!#REF!,""))</f>
        <v/>
      </c>
      <c r="D1112" s="14"/>
      <c r="E1112" s="15"/>
      <c r="F1112" s="16"/>
      <c r="G1112" s="17" t="s">
        <v>0</v>
      </c>
      <c r="H1112" s="15"/>
      <c r="I1112" s="14" t="s">
        <v>0</v>
      </c>
      <c r="J1112" s="14"/>
      <c r="K1112" s="18"/>
    </row>
    <row r="1113" spans="1:11" s="5" customFormat="1" ht="15" customHeight="1" x14ac:dyDescent="0.2">
      <c r="A1113" s="13"/>
      <c r="B1113" s="14" t="str">
        <f>IF(A1113="","",_xlfn.XLOOKUP(A1113,'DISPATCH SHEET'!B$3:B$121,'DISPATCH SHEET'!C$3:C$121,""))</f>
        <v/>
      </c>
      <c r="C1113" s="14" t="str">
        <f>IF(ISBLANK(A1113),"",_xlfn.XLOOKUP(A1113,'DISPATCH SHEET'!C$3:C$121,'DISPATCH SHEET'!#REF!,""))</f>
        <v/>
      </c>
      <c r="D1113" s="14"/>
      <c r="E1113" s="15"/>
      <c r="F1113" s="16"/>
      <c r="G1113" s="17" t="s">
        <v>0</v>
      </c>
      <c r="H1113" s="15"/>
      <c r="I1113" s="14" t="s">
        <v>0</v>
      </c>
      <c r="J1113" s="14"/>
      <c r="K1113" s="18"/>
    </row>
    <row r="1114" spans="1:11" s="5" customFormat="1" ht="15" customHeight="1" x14ac:dyDescent="0.2">
      <c r="A1114" s="13"/>
      <c r="B1114" s="14" t="str">
        <f>IF(A1114="","",_xlfn.XLOOKUP(A1114,'DISPATCH SHEET'!B$3:B$121,'DISPATCH SHEET'!C$3:C$121,""))</f>
        <v/>
      </c>
      <c r="C1114" s="14" t="str">
        <f>IF(ISBLANK(A1114),"",_xlfn.XLOOKUP(A1114,'DISPATCH SHEET'!C$3:C$121,'DISPATCH SHEET'!#REF!,""))</f>
        <v/>
      </c>
      <c r="D1114" s="14"/>
      <c r="E1114" s="15"/>
      <c r="F1114" s="16"/>
      <c r="G1114" s="17" t="s">
        <v>0</v>
      </c>
      <c r="H1114" s="15"/>
      <c r="I1114" s="14" t="s">
        <v>0</v>
      </c>
      <c r="J1114" s="14"/>
      <c r="K1114" s="18"/>
    </row>
    <row r="1115" spans="1:11" s="5" customFormat="1" ht="15" customHeight="1" x14ac:dyDescent="0.2">
      <c r="A1115" s="13"/>
      <c r="B1115" s="14" t="str">
        <f>IF(A1115="","",_xlfn.XLOOKUP(A1115,'DISPATCH SHEET'!B$3:B$121,'DISPATCH SHEET'!C$3:C$121,""))</f>
        <v/>
      </c>
      <c r="C1115" s="14" t="str">
        <f>IF(ISBLANK(A1115),"",_xlfn.XLOOKUP(A1115,'DISPATCH SHEET'!C$3:C$121,'DISPATCH SHEET'!#REF!,""))</f>
        <v/>
      </c>
      <c r="D1115" s="14"/>
      <c r="E1115" s="15"/>
      <c r="F1115" s="16"/>
      <c r="G1115" s="17" t="s">
        <v>0</v>
      </c>
      <c r="H1115" s="15"/>
      <c r="I1115" s="14" t="s">
        <v>0</v>
      </c>
      <c r="J1115" s="14"/>
      <c r="K1115" s="18"/>
    </row>
    <row r="1116" spans="1:11" s="5" customFormat="1" ht="15" customHeight="1" x14ac:dyDescent="0.2">
      <c r="A1116" s="13"/>
      <c r="B1116" s="14" t="str">
        <f>IF(A1116="","",_xlfn.XLOOKUP(A1116,'DISPATCH SHEET'!B$3:B$121,'DISPATCH SHEET'!C$3:C$121,""))</f>
        <v/>
      </c>
      <c r="C1116" s="14" t="str">
        <f>IF(ISBLANK(A1116),"",_xlfn.XLOOKUP(A1116,'DISPATCH SHEET'!C$3:C$121,'DISPATCH SHEET'!#REF!,""))</f>
        <v/>
      </c>
      <c r="D1116" s="14"/>
      <c r="E1116" s="15"/>
      <c r="F1116" s="16"/>
      <c r="G1116" s="17" t="s">
        <v>0</v>
      </c>
      <c r="H1116" s="15"/>
      <c r="I1116" s="14" t="s">
        <v>0</v>
      </c>
      <c r="J1116" s="14"/>
      <c r="K1116" s="18"/>
    </row>
    <row r="1117" spans="1:11" s="5" customFormat="1" ht="15" customHeight="1" x14ac:dyDescent="0.2">
      <c r="A1117" s="13"/>
      <c r="B1117" s="14" t="str">
        <f>IF(A1117="","",_xlfn.XLOOKUP(A1117,'DISPATCH SHEET'!B$3:B$121,'DISPATCH SHEET'!C$3:C$121,""))</f>
        <v/>
      </c>
      <c r="C1117" s="14" t="str">
        <f>IF(ISBLANK(A1117),"",_xlfn.XLOOKUP(A1117,'DISPATCH SHEET'!C$3:C$121,'DISPATCH SHEET'!#REF!,""))</f>
        <v/>
      </c>
      <c r="D1117" s="14"/>
      <c r="E1117" s="15"/>
      <c r="F1117" s="16"/>
      <c r="G1117" s="17" t="s">
        <v>0</v>
      </c>
      <c r="H1117" s="15"/>
      <c r="I1117" s="14" t="s">
        <v>0</v>
      </c>
      <c r="J1117" s="14"/>
      <c r="K1117" s="18"/>
    </row>
    <row r="1118" spans="1:11" s="5" customFormat="1" ht="15" customHeight="1" x14ac:dyDescent="0.2">
      <c r="A1118" s="13"/>
      <c r="B1118" s="14" t="str">
        <f>IF(A1118="","",_xlfn.XLOOKUP(A1118,'DISPATCH SHEET'!B$3:B$121,'DISPATCH SHEET'!C$3:C$121,""))</f>
        <v/>
      </c>
      <c r="C1118" s="14" t="str">
        <f>IF(ISBLANK(A1118),"",_xlfn.XLOOKUP(A1118,'DISPATCH SHEET'!C$3:C$121,'DISPATCH SHEET'!#REF!,""))</f>
        <v/>
      </c>
      <c r="D1118" s="14"/>
      <c r="E1118" s="15"/>
      <c r="F1118" s="16"/>
      <c r="G1118" s="17" t="s">
        <v>0</v>
      </c>
      <c r="H1118" s="15"/>
      <c r="I1118" s="14" t="s">
        <v>0</v>
      </c>
      <c r="J1118" s="14"/>
      <c r="K1118" s="18"/>
    </row>
    <row r="1119" spans="1:11" s="5" customFormat="1" ht="15" customHeight="1" x14ac:dyDescent="0.2">
      <c r="A1119" s="13"/>
      <c r="B1119" s="14" t="str">
        <f>IF(A1119="","",_xlfn.XLOOKUP(A1119,'DISPATCH SHEET'!B$3:B$121,'DISPATCH SHEET'!C$3:C$121,""))</f>
        <v/>
      </c>
      <c r="C1119" s="14" t="str">
        <f>IF(ISBLANK(A1119),"",_xlfn.XLOOKUP(A1119,'DISPATCH SHEET'!C$3:C$121,'DISPATCH SHEET'!#REF!,""))</f>
        <v/>
      </c>
      <c r="D1119" s="14"/>
      <c r="E1119" s="15"/>
      <c r="F1119" s="16"/>
      <c r="G1119" s="17" t="s">
        <v>0</v>
      </c>
      <c r="H1119" s="15"/>
      <c r="I1119" s="14" t="s">
        <v>0</v>
      </c>
      <c r="J1119" s="14"/>
      <c r="K1119" s="18"/>
    </row>
    <row r="1120" spans="1:11" s="5" customFormat="1" ht="15" customHeight="1" x14ac:dyDescent="0.2">
      <c r="A1120" s="13"/>
      <c r="B1120" s="14" t="str">
        <f>IF(A1120="","",_xlfn.XLOOKUP(A1120,'DISPATCH SHEET'!B$3:B$121,'DISPATCH SHEET'!C$3:C$121,""))</f>
        <v/>
      </c>
      <c r="C1120" s="14" t="str">
        <f>IF(ISBLANK(A1120),"",_xlfn.XLOOKUP(A1120,'DISPATCH SHEET'!C$3:C$121,'DISPATCH SHEET'!#REF!,""))</f>
        <v/>
      </c>
      <c r="D1120" s="14"/>
      <c r="E1120" s="15"/>
      <c r="F1120" s="16"/>
      <c r="G1120" s="17" t="s">
        <v>0</v>
      </c>
      <c r="H1120" s="15"/>
      <c r="I1120" s="14" t="s">
        <v>0</v>
      </c>
      <c r="J1120" s="14"/>
      <c r="K1120" s="18"/>
    </row>
    <row r="1121" spans="1:11" s="5" customFormat="1" ht="15" customHeight="1" x14ac:dyDescent="0.2">
      <c r="A1121" s="13"/>
      <c r="B1121" s="14" t="str">
        <f>IF(A1121="","",_xlfn.XLOOKUP(A1121,'DISPATCH SHEET'!B$3:B$121,'DISPATCH SHEET'!C$3:C$121,""))</f>
        <v/>
      </c>
      <c r="C1121" s="14" t="str">
        <f>IF(ISBLANK(A1121),"",_xlfn.XLOOKUP(A1121,'DISPATCH SHEET'!C$3:C$121,'DISPATCH SHEET'!#REF!,""))</f>
        <v/>
      </c>
      <c r="D1121" s="14"/>
      <c r="E1121" s="15"/>
      <c r="F1121" s="16"/>
      <c r="G1121" s="17" t="s">
        <v>0</v>
      </c>
      <c r="H1121" s="15"/>
      <c r="I1121" s="14" t="s">
        <v>0</v>
      </c>
      <c r="J1121" s="14"/>
      <c r="K1121" s="18"/>
    </row>
    <row r="1122" spans="1:11" s="5" customFormat="1" ht="15" customHeight="1" x14ac:dyDescent="0.2">
      <c r="A1122" s="13"/>
      <c r="B1122" s="14" t="str">
        <f>IF(A1122="","",_xlfn.XLOOKUP(A1122,'DISPATCH SHEET'!B$3:B$121,'DISPATCH SHEET'!C$3:C$121,""))</f>
        <v/>
      </c>
      <c r="C1122" s="14" t="str">
        <f>IF(ISBLANK(A1122),"",_xlfn.XLOOKUP(A1122,'DISPATCH SHEET'!C$3:C$121,'DISPATCH SHEET'!#REF!,""))</f>
        <v/>
      </c>
      <c r="D1122" s="14"/>
      <c r="E1122" s="15"/>
      <c r="F1122" s="16"/>
      <c r="G1122" s="17" t="s">
        <v>0</v>
      </c>
      <c r="H1122" s="15"/>
      <c r="I1122" s="14" t="s">
        <v>0</v>
      </c>
      <c r="J1122" s="14"/>
      <c r="K1122" s="18"/>
    </row>
    <row r="1123" spans="1:11" s="5" customFormat="1" ht="15" customHeight="1" x14ac:dyDescent="0.2">
      <c r="A1123" s="13"/>
      <c r="B1123" s="14" t="str">
        <f>IF(A1123="","",_xlfn.XLOOKUP(A1123,'DISPATCH SHEET'!B$3:B$121,'DISPATCH SHEET'!C$3:C$121,""))</f>
        <v/>
      </c>
      <c r="C1123" s="14" t="str">
        <f>IF(ISBLANK(A1123),"",_xlfn.XLOOKUP(A1123,'DISPATCH SHEET'!C$3:C$121,'DISPATCH SHEET'!#REF!,""))</f>
        <v/>
      </c>
      <c r="D1123" s="14"/>
      <c r="E1123" s="15"/>
      <c r="F1123" s="16"/>
      <c r="G1123" s="17" t="s">
        <v>0</v>
      </c>
      <c r="H1123" s="15"/>
      <c r="I1123" s="14" t="s">
        <v>0</v>
      </c>
      <c r="J1123" s="14"/>
      <c r="K1123" s="18"/>
    </row>
    <row r="1124" spans="1:11" s="5" customFormat="1" ht="15" customHeight="1" x14ac:dyDescent="0.2">
      <c r="A1124" s="13"/>
      <c r="B1124" s="14" t="str">
        <f>IF(A1124="","",_xlfn.XLOOKUP(A1124,'DISPATCH SHEET'!B$3:B$121,'DISPATCH SHEET'!C$3:C$121,""))</f>
        <v/>
      </c>
      <c r="C1124" s="14" t="str">
        <f>IF(ISBLANK(A1124),"",_xlfn.XLOOKUP(A1124,'DISPATCH SHEET'!C$3:C$121,'DISPATCH SHEET'!#REF!,""))</f>
        <v/>
      </c>
      <c r="D1124" s="14"/>
      <c r="E1124" s="15"/>
      <c r="F1124" s="16"/>
      <c r="G1124" s="17" t="s">
        <v>0</v>
      </c>
      <c r="H1124" s="15"/>
      <c r="I1124" s="14" t="s">
        <v>0</v>
      </c>
      <c r="J1124" s="14"/>
      <c r="K1124" s="18"/>
    </row>
    <row r="1125" spans="1:11" s="5" customFormat="1" ht="15" customHeight="1" x14ac:dyDescent="0.2">
      <c r="A1125" s="13"/>
      <c r="B1125" s="14" t="str">
        <f>IF(A1125="","",_xlfn.XLOOKUP(A1125,'DISPATCH SHEET'!B$3:B$121,'DISPATCH SHEET'!C$3:C$121,""))</f>
        <v/>
      </c>
      <c r="C1125" s="14" t="str">
        <f>IF(ISBLANK(A1125),"",_xlfn.XLOOKUP(A1125,'DISPATCH SHEET'!C$3:C$121,'DISPATCH SHEET'!#REF!,""))</f>
        <v/>
      </c>
      <c r="D1125" s="14"/>
      <c r="E1125" s="15"/>
      <c r="F1125" s="16"/>
      <c r="G1125" s="17" t="s">
        <v>0</v>
      </c>
      <c r="H1125" s="15"/>
      <c r="I1125" s="14" t="s">
        <v>0</v>
      </c>
      <c r="J1125" s="14"/>
      <c r="K1125" s="18"/>
    </row>
    <row r="1126" spans="1:11" s="5" customFormat="1" ht="15" customHeight="1" x14ac:dyDescent="0.2">
      <c r="A1126" s="13"/>
      <c r="B1126" s="14" t="str">
        <f>IF(A1126="","",_xlfn.XLOOKUP(A1126,'DISPATCH SHEET'!B$3:B$121,'DISPATCH SHEET'!C$3:C$121,""))</f>
        <v/>
      </c>
      <c r="C1126" s="14" t="str">
        <f>IF(ISBLANK(A1126),"",_xlfn.XLOOKUP(A1126,'DISPATCH SHEET'!C$3:C$121,'DISPATCH SHEET'!#REF!,""))</f>
        <v/>
      </c>
      <c r="D1126" s="14"/>
      <c r="E1126" s="15"/>
      <c r="F1126" s="16"/>
      <c r="G1126" s="17" t="s">
        <v>0</v>
      </c>
      <c r="H1126" s="15"/>
      <c r="I1126" s="14" t="s">
        <v>0</v>
      </c>
      <c r="J1126" s="14"/>
      <c r="K1126" s="18"/>
    </row>
    <row r="1127" spans="1:11" s="5" customFormat="1" ht="15" customHeight="1" x14ac:dyDescent="0.2">
      <c r="A1127" s="13"/>
      <c r="B1127" s="14" t="str">
        <f>IF(A1127="","",_xlfn.XLOOKUP(A1127,'DISPATCH SHEET'!B$3:B$121,'DISPATCH SHEET'!C$3:C$121,""))</f>
        <v/>
      </c>
      <c r="C1127" s="14" t="str">
        <f>IF(ISBLANK(A1127),"",_xlfn.XLOOKUP(A1127,'DISPATCH SHEET'!C$3:C$121,'DISPATCH SHEET'!#REF!,""))</f>
        <v/>
      </c>
      <c r="D1127" s="14"/>
      <c r="E1127" s="15"/>
      <c r="F1127" s="16"/>
      <c r="G1127" s="17" t="s">
        <v>0</v>
      </c>
      <c r="H1127" s="15"/>
      <c r="I1127" s="14" t="s">
        <v>0</v>
      </c>
      <c r="J1127" s="14"/>
      <c r="K1127" s="18"/>
    </row>
    <row r="1128" spans="1:11" s="5" customFormat="1" ht="15" customHeight="1" x14ac:dyDescent="0.2">
      <c r="A1128" s="13"/>
      <c r="B1128" s="14" t="str">
        <f>IF(A1128="","",_xlfn.XLOOKUP(A1128,'DISPATCH SHEET'!B$3:B$121,'DISPATCH SHEET'!C$3:C$121,""))</f>
        <v/>
      </c>
      <c r="C1128" s="14" t="str">
        <f>IF(ISBLANK(A1128),"",_xlfn.XLOOKUP(A1128,'DISPATCH SHEET'!C$3:C$121,'DISPATCH SHEET'!#REF!,""))</f>
        <v/>
      </c>
      <c r="D1128" s="14"/>
      <c r="E1128" s="15"/>
      <c r="F1128" s="16"/>
      <c r="G1128" s="17" t="s">
        <v>0</v>
      </c>
      <c r="H1128" s="15"/>
      <c r="I1128" s="14" t="s">
        <v>0</v>
      </c>
      <c r="J1128" s="14"/>
      <c r="K1128" s="18"/>
    </row>
    <row r="1129" spans="1:11" s="5" customFormat="1" ht="15" customHeight="1" x14ac:dyDescent="0.2">
      <c r="A1129" s="13"/>
      <c r="B1129" s="14" t="str">
        <f>IF(A1129="","",_xlfn.XLOOKUP(A1129,'DISPATCH SHEET'!B$3:B$121,'DISPATCH SHEET'!C$3:C$121,""))</f>
        <v/>
      </c>
      <c r="C1129" s="14" t="str">
        <f>IF(ISBLANK(A1129),"",_xlfn.XLOOKUP(A1129,'DISPATCH SHEET'!C$3:C$121,'DISPATCH SHEET'!#REF!,""))</f>
        <v/>
      </c>
      <c r="D1129" s="14"/>
      <c r="E1129" s="15"/>
      <c r="F1129" s="16"/>
      <c r="G1129" s="17" t="s">
        <v>0</v>
      </c>
      <c r="H1129" s="15"/>
      <c r="I1129" s="14" t="s">
        <v>0</v>
      </c>
      <c r="J1129" s="14"/>
      <c r="K1129" s="18"/>
    </row>
    <row r="1130" spans="1:11" s="5" customFormat="1" ht="15" customHeight="1" x14ac:dyDescent="0.2">
      <c r="A1130" s="13"/>
      <c r="B1130" s="14" t="str">
        <f>IF(A1130="","",_xlfn.XLOOKUP(A1130,'DISPATCH SHEET'!B$3:B$121,'DISPATCH SHEET'!C$3:C$121,""))</f>
        <v/>
      </c>
      <c r="C1130" s="14" t="str">
        <f>IF(ISBLANK(A1130),"",_xlfn.XLOOKUP(A1130,'DISPATCH SHEET'!C$3:C$121,'DISPATCH SHEET'!#REF!,""))</f>
        <v/>
      </c>
      <c r="D1130" s="14"/>
      <c r="E1130" s="15"/>
      <c r="F1130" s="16"/>
      <c r="G1130" s="17" t="s">
        <v>0</v>
      </c>
      <c r="H1130" s="15"/>
      <c r="I1130" s="14" t="s">
        <v>0</v>
      </c>
      <c r="J1130" s="14"/>
      <c r="K1130" s="18"/>
    </row>
    <row r="1131" spans="1:11" s="5" customFormat="1" ht="15" customHeight="1" x14ac:dyDescent="0.2">
      <c r="A1131" s="13"/>
      <c r="B1131" s="14" t="str">
        <f>IF(A1131="","",_xlfn.XLOOKUP(A1131,'DISPATCH SHEET'!B$3:B$121,'DISPATCH SHEET'!C$3:C$121,""))</f>
        <v/>
      </c>
      <c r="C1131" s="14" t="str">
        <f>IF(ISBLANK(A1131),"",_xlfn.XLOOKUP(A1131,'DISPATCH SHEET'!C$3:C$121,'DISPATCH SHEET'!#REF!,""))</f>
        <v/>
      </c>
      <c r="D1131" s="14"/>
      <c r="E1131" s="15"/>
      <c r="F1131" s="16"/>
      <c r="G1131" s="17" t="s">
        <v>0</v>
      </c>
      <c r="H1131" s="15"/>
      <c r="I1131" s="14" t="s">
        <v>0</v>
      </c>
      <c r="J1131" s="14"/>
      <c r="K1131" s="18"/>
    </row>
    <row r="1132" spans="1:11" s="5" customFormat="1" ht="15" customHeight="1" x14ac:dyDescent="0.2">
      <c r="A1132" s="13"/>
      <c r="B1132" s="14" t="str">
        <f>IF(A1132="","",_xlfn.XLOOKUP(A1132,'DISPATCH SHEET'!B$3:B$121,'DISPATCH SHEET'!C$3:C$121,""))</f>
        <v/>
      </c>
      <c r="C1132" s="14" t="str">
        <f>IF(ISBLANK(A1132),"",_xlfn.XLOOKUP(A1132,'DISPATCH SHEET'!C$3:C$121,'DISPATCH SHEET'!#REF!,""))</f>
        <v/>
      </c>
      <c r="D1132" s="14"/>
      <c r="E1132" s="15"/>
      <c r="F1132" s="16"/>
      <c r="G1132" s="17" t="s">
        <v>0</v>
      </c>
      <c r="H1132" s="15"/>
      <c r="I1132" s="14" t="s">
        <v>0</v>
      </c>
      <c r="J1132" s="14"/>
      <c r="K1132" s="18"/>
    </row>
    <row r="1133" spans="1:11" s="5" customFormat="1" ht="15" customHeight="1" x14ac:dyDescent="0.2">
      <c r="A1133" s="13"/>
      <c r="B1133" s="14" t="str">
        <f>IF(A1133="","",_xlfn.XLOOKUP(A1133,'DISPATCH SHEET'!B$3:B$121,'DISPATCH SHEET'!C$3:C$121,""))</f>
        <v/>
      </c>
      <c r="C1133" s="14" t="str">
        <f>IF(ISBLANK(A1133),"",_xlfn.XLOOKUP(A1133,'DISPATCH SHEET'!C$3:C$121,'DISPATCH SHEET'!#REF!,""))</f>
        <v/>
      </c>
      <c r="D1133" s="14"/>
      <c r="E1133" s="15"/>
      <c r="F1133" s="16"/>
      <c r="G1133" s="17" t="s">
        <v>0</v>
      </c>
      <c r="H1133" s="15"/>
      <c r="I1133" s="14" t="s">
        <v>0</v>
      </c>
      <c r="J1133" s="14"/>
      <c r="K1133" s="18"/>
    </row>
    <row r="1134" spans="1:11" s="5" customFormat="1" ht="15" customHeight="1" x14ac:dyDescent="0.2">
      <c r="A1134" s="13"/>
      <c r="B1134" s="14" t="str">
        <f>IF(A1134="","",_xlfn.XLOOKUP(A1134,'DISPATCH SHEET'!B$3:B$121,'DISPATCH SHEET'!C$3:C$121,""))</f>
        <v/>
      </c>
      <c r="C1134" s="14" t="str">
        <f>IF(ISBLANK(A1134),"",_xlfn.XLOOKUP(A1134,'DISPATCH SHEET'!C$3:C$121,'DISPATCH SHEET'!#REF!,""))</f>
        <v/>
      </c>
      <c r="D1134" s="14"/>
      <c r="E1134" s="15"/>
      <c r="F1134" s="16"/>
      <c r="G1134" s="17" t="s">
        <v>0</v>
      </c>
      <c r="H1134" s="15"/>
      <c r="I1134" s="14" t="s">
        <v>0</v>
      </c>
      <c r="J1134" s="14"/>
      <c r="K1134" s="18"/>
    </row>
    <row r="1135" spans="1:11" s="5" customFormat="1" ht="15" customHeight="1" x14ac:dyDescent="0.2">
      <c r="A1135" s="13"/>
      <c r="B1135" s="14" t="str">
        <f>IF(A1135="","",_xlfn.XLOOKUP(A1135,'DISPATCH SHEET'!B$3:B$121,'DISPATCH SHEET'!C$3:C$121,""))</f>
        <v/>
      </c>
      <c r="C1135" s="14" t="str">
        <f>IF(ISBLANK(A1135),"",_xlfn.XLOOKUP(A1135,'DISPATCH SHEET'!C$3:C$121,'DISPATCH SHEET'!#REF!,""))</f>
        <v/>
      </c>
      <c r="D1135" s="14"/>
      <c r="E1135" s="15"/>
      <c r="F1135" s="16"/>
      <c r="G1135" s="17" t="s">
        <v>0</v>
      </c>
      <c r="H1135" s="15"/>
      <c r="I1135" s="14" t="s">
        <v>0</v>
      </c>
      <c r="J1135" s="14"/>
      <c r="K1135" s="18"/>
    </row>
    <row r="1136" spans="1:11" s="5" customFormat="1" ht="15" customHeight="1" x14ac:dyDescent="0.2">
      <c r="A1136" s="13"/>
      <c r="B1136" s="14" t="str">
        <f>IF(A1136="","",_xlfn.XLOOKUP(A1136,'DISPATCH SHEET'!B$3:B$121,'DISPATCH SHEET'!C$3:C$121,""))</f>
        <v/>
      </c>
      <c r="C1136" s="14" t="str">
        <f>IF(ISBLANK(A1136),"",_xlfn.XLOOKUP(A1136,'DISPATCH SHEET'!C$3:C$121,'DISPATCH SHEET'!#REF!,""))</f>
        <v/>
      </c>
      <c r="D1136" s="14"/>
      <c r="E1136" s="15"/>
      <c r="F1136" s="16"/>
      <c r="G1136" s="17" t="s">
        <v>0</v>
      </c>
      <c r="H1136" s="15"/>
      <c r="I1136" s="14" t="s">
        <v>0</v>
      </c>
      <c r="J1136" s="14"/>
      <c r="K1136" s="18"/>
    </row>
    <row r="1137" spans="1:11" s="5" customFormat="1" ht="15" customHeight="1" x14ac:dyDescent="0.2">
      <c r="A1137" s="13"/>
      <c r="B1137" s="14" t="str">
        <f>IF(A1137="","",_xlfn.XLOOKUP(A1137,'DISPATCH SHEET'!B$3:B$121,'DISPATCH SHEET'!C$3:C$121,""))</f>
        <v/>
      </c>
      <c r="C1137" s="14" t="str">
        <f>IF(ISBLANK(A1137),"",_xlfn.XLOOKUP(A1137,'DISPATCH SHEET'!C$3:C$121,'DISPATCH SHEET'!#REF!,""))</f>
        <v/>
      </c>
      <c r="D1137" s="14"/>
      <c r="E1137" s="15"/>
      <c r="F1137" s="16"/>
      <c r="G1137" s="17" t="s">
        <v>0</v>
      </c>
      <c r="H1137" s="15"/>
      <c r="I1137" s="14" t="s">
        <v>0</v>
      </c>
      <c r="J1137" s="14"/>
      <c r="K1137" s="18"/>
    </row>
    <row r="1138" spans="1:11" s="5" customFormat="1" ht="15" customHeight="1" x14ac:dyDescent="0.2">
      <c r="A1138" s="13"/>
      <c r="B1138" s="14" t="str">
        <f>IF(A1138="","",_xlfn.XLOOKUP(A1138,'DISPATCH SHEET'!B$3:B$121,'DISPATCH SHEET'!C$3:C$121,""))</f>
        <v/>
      </c>
      <c r="C1138" s="14" t="str">
        <f>IF(ISBLANK(A1138),"",_xlfn.XLOOKUP(A1138,'DISPATCH SHEET'!C$3:C$121,'DISPATCH SHEET'!#REF!,""))</f>
        <v/>
      </c>
      <c r="D1138" s="14"/>
      <c r="E1138" s="15"/>
      <c r="F1138" s="16"/>
      <c r="G1138" s="17" t="s">
        <v>0</v>
      </c>
      <c r="H1138" s="15"/>
      <c r="I1138" s="14" t="s">
        <v>0</v>
      </c>
      <c r="J1138" s="14"/>
      <c r="K1138" s="18"/>
    </row>
    <row r="1139" spans="1:11" s="5" customFormat="1" ht="15" customHeight="1" x14ac:dyDescent="0.2">
      <c r="A1139" s="13"/>
      <c r="B1139" s="14" t="str">
        <f>IF(A1139="","",_xlfn.XLOOKUP(A1139,'DISPATCH SHEET'!B$3:B$121,'DISPATCH SHEET'!C$3:C$121,""))</f>
        <v/>
      </c>
      <c r="C1139" s="14" t="str">
        <f>IF(ISBLANK(A1139),"",_xlfn.XLOOKUP(A1139,'DISPATCH SHEET'!C$3:C$121,'DISPATCH SHEET'!#REF!,""))</f>
        <v/>
      </c>
      <c r="D1139" s="14"/>
      <c r="E1139" s="15"/>
      <c r="F1139" s="16"/>
      <c r="G1139" s="17" t="s">
        <v>0</v>
      </c>
      <c r="H1139" s="15"/>
      <c r="I1139" s="14" t="s">
        <v>0</v>
      </c>
      <c r="J1139" s="14"/>
      <c r="K1139" s="18"/>
    </row>
    <row r="1140" spans="1:11" s="5" customFormat="1" ht="15" customHeight="1" x14ac:dyDescent="0.2">
      <c r="A1140" s="13"/>
      <c r="B1140" s="14" t="str">
        <f>IF(A1140="","",_xlfn.XLOOKUP(A1140,'DISPATCH SHEET'!B$3:B$121,'DISPATCH SHEET'!C$3:C$121,""))</f>
        <v/>
      </c>
      <c r="C1140" s="14" t="str">
        <f>IF(ISBLANK(A1140),"",_xlfn.XLOOKUP(A1140,'DISPATCH SHEET'!C$3:C$121,'DISPATCH SHEET'!#REF!,""))</f>
        <v/>
      </c>
      <c r="D1140" s="14"/>
      <c r="E1140" s="15"/>
      <c r="F1140" s="16"/>
      <c r="G1140" s="17" t="s">
        <v>0</v>
      </c>
      <c r="H1140" s="15"/>
      <c r="I1140" s="14" t="s">
        <v>0</v>
      </c>
      <c r="J1140" s="14"/>
      <c r="K1140" s="18"/>
    </row>
    <row r="1141" spans="1:11" s="5" customFormat="1" ht="15" customHeight="1" x14ac:dyDescent="0.2">
      <c r="A1141" s="13"/>
      <c r="B1141" s="14" t="str">
        <f>IF(A1141="","",_xlfn.XLOOKUP(A1141,'DISPATCH SHEET'!B$3:B$121,'DISPATCH SHEET'!C$3:C$121,""))</f>
        <v/>
      </c>
      <c r="C1141" s="14" t="str">
        <f>IF(ISBLANK(A1141),"",_xlfn.XLOOKUP(A1141,'DISPATCH SHEET'!C$3:C$121,'DISPATCH SHEET'!#REF!,""))</f>
        <v/>
      </c>
      <c r="D1141" s="14"/>
      <c r="E1141" s="15"/>
      <c r="F1141" s="16"/>
      <c r="G1141" s="17" t="s">
        <v>0</v>
      </c>
      <c r="H1141" s="15"/>
      <c r="I1141" s="14" t="s">
        <v>0</v>
      </c>
      <c r="J1141" s="14"/>
      <c r="K1141" s="18"/>
    </row>
    <row r="1142" spans="1:11" s="5" customFormat="1" ht="15" customHeight="1" x14ac:dyDescent="0.2">
      <c r="A1142" s="13"/>
      <c r="B1142" s="14" t="str">
        <f>IF(A1142="","",_xlfn.XLOOKUP(A1142,'DISPATCH SHEET'!B$3:B$121,'DISPATCH SHEET'!C$3:C$121,""))</f>
        <v/>
      </c>
      <c r="C1142" s="14" t="str">
        <f>IF(ISBLANK(A1142),"",_xlfn.XLOOKUP(A1142,'DISPATCH SHEET'!C$3:C$121,'DISPATCH SHEET'!#REF!,""))</f>
        <v/>
      </c>
      <c r="D1142" s="14"/>
      <c r="E1142" s="15"/>
      <c r="F1142" s="16"/>
      <c r="G1142" s="17" t="s">
        <v>0</v>
      </c>
      <c r="H1142" s="15"/>
      <c r="I1142" s="14" t="s">
        <v>0</v>
      </c>
      <c r="J1142" s="14"/>
      <c r="K1142" s="18"/>
    </row>
    <row r="1143" spans="1:11" s="5" customFormat="1" ht="15" customHeight="1" x14ac:dyDescent="0.2">
      <c r="A1143" s="13"/>
      <c r="B1143" s="14" t="str">
        <f>IF(A1143="","",_xlfn.XLOOKUP(A1143,'DISPATCH SHEET'!B$3:B$121,'DISPATCH SHEET'!C$3:C$121,""))</f>
        <v/>
      </c>
      <c r="C1143" s="14" t="str">
        <f>IF(ISBLANK(A1143),"",_xlfn.XLOOKUP(A1143,'DISPATCH SHEET'!C$3:C$121,'DISPATCH SHEET'!#REF!,""))</f>
        <v/>
      </c>
      <c r="D1143" s="14"/>
      <c r="E1143" s="15"/>
      <c r="F1143" s="16"/>
      <c r="G1143" s="17" t="s">
        <v>0</v>
      </c>
      <c r="H1143" s="15"/>
      <c r="I1143" s="14" t="s">
        <v>0</v>
      </c>
      <c r="J1143" s="14"/>
      <c r="K1143" s="18"/>
    </row>
    <row r="1144" spans="1:11" s="5" customFormat="1" ht="15" customHeight="1" x14ac:dyDescent="0.2">
      <c r="A1144" s="13"/>
      <c r="B1144" s="14" t="str">
        <f>IF(A1144="","",_xlfn.XLOOKUP(A1144,'DISPATCH SHEET'!B$3:B$121,'DISPATCH SHEET'!C$3:C$121,""))</f>
        <v/>
      </c>
      <c r="C1144" s="14" t="str">
        <f>IF(ISBLANK(A1144),"",_xlfn.XLOOKUP(A1144,'DISPATCH SHEET'!C$3:C$121,'DISPATCH SHEET'!#REF!,""))</f>
        <v/>
      </c>
      <c r="D1144" s="14"/>
      <c r="E1144" s="15"/>
      <c r="F1144" s="16"/>
      <c r="G1144" s="17" t="s">
        <v>0</v>
      </c>
      <c r="H1144" s="15"/>
      <c r="I1144" s="14" t="s">
        <v>0</v>
      </c>
      <c r="J1144" s="14"/>
      <c r="K1144" s="18"/>
    </row>
    <row r="1145" spans="1:11" s="5" customFormat="1" ht="15" customHeight="1" x14ac:dyDescent="0.2">
      <c r="A1145" s="13"/>
      <c r="B1145" s="14" t="str">
        <f>IF(A1145="","",_xlfn.XLOOKUP(A1145,'DISPATCH SHEET'!B$3:B$121,'DISPATCH SHEET'!C$3:C$121,""))</f>
        <v/>
      </c>
      <c r="C1145" s="14" t="str">
        <f>IF(ISBLANK(A1145),"",_xlfn.XLOOKUP(A1145,'DISPATCH SHEET'!C$3:C$121,'DISPATCH SHEET'!#REF!,""))</f>
        <v/>
      </c>
      <c r="D1145" s="14"/>
      <c r="E1145" s="15"/>
      <c r="F1145" s="16"/>
      <c r="G1145" s="17" t="s">
        <v>0</v>
      </c>
      <c r="H1145" s="15"/>
      <c r="I1145" s="14" t="s">
        <v>0</v>
      </c>
      <c r="J1145" s="14"/>
      <c r="K1145" s="18"/>
    </row>
    <row r="1146" spans="1:11" s="5" customFormat="1" ht="15" customHeight="1" x14ac:dyDescent="0.2">
      <c r="A1146" s="13"/>
      <c r="B1146" s="14" t="str">
        <f>IF(A1146="","",_xlfn.XLOOKUP(A1146,'DISPATCH SHEET'!B$3:B$121,'DISPATCH SHEET'!C$3:C$121,""))</f>
        <v/>
      </c>
      <c r="C1146" s="14" t="str">
        <f>IF(ISBLANK(A1146),"",_xlfn.XLOOKUP(A1146,'DISPATCH SHEET'!C$3:C$121,'DISPATCH SHEET'!#REF!,""))</f>
        <v/>
      </c>
      <c r="D1146" s="14"/>
      <c r="E1146" s="15"/>
      <c r="F1146" s="16"/>
      <c r="G1146" s="17" t="s">
        <v>0</v>
      </c>
      <c r="H1146" s="15"/>
      <c r="I1146" s="14" t="s">
        <v>0</v>
      </c>
      <c r="J1146" s="14"/>
      <c r="K1146" s="18"/>
    </row>
    <row r="1147" spans="1:11" s="5" customFormat="1" ht="15" customHeight="1" x14ac:dyDescent="0.2">
      <c r="A1147" s="13"/>
      <c r="B1147" s="14" t="str">
        <f>IF(A1147="","",_xlfn.XLOOKUP(A1147,'DISPATCH SHEET'!B$3:B$121,'DISPATCH SHEET'!C$3:C$121,""))</f>
        <v/>
      </c>
      <c r="C1147" s="14" t="str">
        <f>IF(ISBLANK(A1147),"",_xlfn.XLOOKUP(A1147,'DISPATCH SHEET'!C$3:C$121,'DISPATCH SHEET'!#REF!,""))</f>
        <v/>
      </c>
      <c r="D1147" s="14"/>
      <c r="E1147" s="15"/>
      <c r="F1147" s="16"/>
      <c r="G1147" s="17" t="s">
        <v>0</v>
      </c>
      <c r="H1147" s="15"/>
      <c r="I1147" s="14" t="s">
        <v>0</v>
      </c>
      <c r="J1147" s="14"/>
      <c r="K1147" s="18"/>
    </row>
    <row r="1148" spans="1:11" s="5" customFormat="1" ht="15" customHeight="1" x14ac:dyDescent="0.2">
      <c r="A1148" s="13"/>
      <c r="B1148" s="14" t="str">
        <f>IF(A1148="","",_xlfn.XLOOKUP(A1148,'DISPATCH SHEET'!B$3:B$121,'DISPATCH SHEET'!C$3:C$121,""))</f>
        <v/>
      </c>
      <c r="C1148" s="14" t="str">
        <f>IF(ISBLANK(A1148),"",_xlfn.XLOOKUP(A1148,'DISPATCH SHEET'!C$3:C$121,'DISPATCH SHEET'!#REF!,""))</f>
        <v/>
      </c>
      <c r="D1148" s="14"/>
      <c r="E1148" s="15"/>
      <c r="F1148" s="16"/>
      <c r="G1148" s="17" t="s">
        <v>0</v>
      </c>
      <c r="H1148" s="15"/>
      <c r="I1148" s="14" t="s">
        <v>0</v>
      </c>
      <c r="J1148" s="14"/>
      <c r="K1148" s="18"/>
    </row>
    <row r="1149" spans="1:11" s="5" customFormat="1" ht="15" customHeight="1" x14ac:dyDescent="0.2">
      <c r="A1149" s="13"/>
      <c r="B1149" s="14" t="str">
        <f>IF(A1149="","",_xlfn.XLOOKUP(A1149,'DISPATCH SHEET'!B$3:B$121,'DISPATCH SHEET'!C$3:C$121,""))</f>
        <v/>
      </c>
      <c r="C1149" s="14" t="str">
        <f>IF(ISBLANK(A1149),"",_xlfn.XLOOKUP(A1149,'DISPATCH SHEET'!C$3:C$121,'DISPATCH SHEET'!#REF!,""))</f>
        <v/>
      </c>
      <c r="D1149" s="14"/>
      <c r="E1149" s="15"/>
      <c r="F1149" s="16"/>
      <c r="G1149" s="17" t="s">
        <v>0</v>
      </c>
      <c r="H1149" s="15"/>
      <c r="I1149" s="14" t="s">
        <v>0</v>
      </c>
      <c r="J1149" s="14"/>
      <c r="K1149" s="18"/>
    </row>
    <row r="1150" spans="1:11" s="5" customFormat="1" ht="15" customHeight="1" x14ac:dyDescent="0.2">
      <c r="A1150" s="13"/>
      <c r="B1150" s="14" t="str">
        <f>IF(A1150="","",_xlfn.XLOOKUP(A1150,'DISPATCH SHEET'!B$3:B$121,'DISPATCH SHEET'!C$3:C$121,""))</f>
        <v/>
      </c>
      <c r="C1150" s="14" t="str">
        <f>IF(ISBLANK(A1150),"",_xlfn.XLOOKUP(A1150,'DISPATCH SHEET'!C$3:C$121,'DISPATCH SHEET'!#REF!,""))</f>
        <v/>
      </c>
      <c r="D1150" s="14"/>
      <c r="E1150" s="15"/>
      <c r="F1150" s="16"/>
      <c r="G1150" s="17" t="s">
        <v>0</v>
      </c>
      <c r="H1150" s="15"/>
      <c r="I1150" s="14" t="s">
        <v>0</v>
      </c>
      <c r="J1150" s="14"/>
      <c r="K1150" s="18"/>
    </row>
    <row r="1151" spans="1:11" s="5" customFormat="1" ht="15" customHeight="1" x14ac:dyDescent="0.2">
      <c r="A1151" s="13"/>
      <c r="B1151" s="14" t="str">
        <f>IF(A1151="","",_xlfn.XLOOKUP(A1151,'DISPATCH SHEET'!B$3:B$121,'DISPATCH SHEET'!C$3:C$121,""))</f>
        <v/>
      </c>
      <c r="C1151" s="14" t="str">
        <f>IF(ISBLANK(A1151),"",_xlfn.XLOOKUP(A1151,'DISPATCH SHEET'!C$3:C$121,'DISPATCH SHEET'!#REF!,""))</f>
        <v/>
      </c>
      <c r="D1151" s="14"/>
      <c r="E1151" s="15"/>
      <c r="F1151" s="16"/>
      <c r="G1151" s="17" t="s">
        <v>0</v>
      </c>
      <c r="H1151" s="15"/>
      <c r="I1151" s="14" t="s">
        <v>0</v>
      </c>
      <c r="J1151" s="14"/>
      <c r="K1151" s="18"/>
    </row>
    <row r="1152" spans="1:11" s="5" customFormat="1" ht="15" customHeight="1" x14ac:dyDescent="0.2">
      <c r="A1152" s="13"/>
      <c r="B1152" s="14" t="str">
        <f>IF(A1152="","",_xlfn.XLOOKUP(A1152,'DISPATCH SHEET'!B$3:B$121,'DISPATCH SHEET'!C$3:C$121,""))</f>
        <v/>
      </c>
      <c r="C1152" s="14" t="str">
        <f>IF(ISBLANK(A1152),"",_xlfn.XLOOKUP(A1152,'DISPATCH SHEET'!C$3:C$121,'DISPATCH SHEET'!#REF!,""))</f>
        <v/>
      </c>
      <c r="D1152" s="14"/>
      <c r="E1152" s="15"/>
      <c r="F1152" s="16"/>
      <c r="G1152" s="17" t="s">
        <v>0</v>
      </c>
      <c r="H1152" s="15"/>
      <c r="I1152" s="14" t="s">
        <v>0</v>
      </c>
      <c r="J1152" s="14"/>
      <c r="K1152" s="18"/>
    </row>
    <row r="1153" spans="1:11" s="5" customFormat="1" ht="15" customHeight="1" x14ac:dyDescent="0.2">
      <c r="A1153" s="13"/>
      <c r="B1153" s="14" t="str">
        <f>IF(A1153="","",_xlfn.XLOOKUP(A1153,'DISPATCH SHEET'!B$3:B$121,'DISPATCH SHEET'!C$3:C$121,""))</f>
        <v/>
      </c>
      <c r="C1153" s="14" t="str">
        <f>IF(ISBLANK(A1153),"",_xlfn.XLOOKUP(A1153,'DISPATCH SHEET'!C$3:C$121,'DISPATCH SHEET'!#REF!,""))</f>
        <v/>
      </c>
      <c r="D1153" s="14"/>
      <c r="E1153" s="15"/>
      <c r="F1153" s="16"/>
      <c r="G1153" s="17" t="s">
        <v>0</v>
      </c>
      <c r="H1153" s="15"/>
      <c r="I1153" s="14" t="s">
        <v>0</v>
      </c>
      <c r="J1153" s="14"/>
      <c r="K1153" s="18"/>
    </row>
    <row r="1154" spans="1:11" s="5" customFormat="1" ht="15" customHeight="1" x14ac:dyDescent="0.2">
      <c r="A1154" s="13"/>
      <c r="B1154" s="14" t="str">
        <f>IF(A1154="","",_xlfn.XLOOKUP(A1154,'DISPATCH SHEET'!B$3:B$121,'DISPATCH SHEET'!C$3:C$121,""))</f>
        <v/>
      </c>
      <c r="C1154" s="14" t="str">
        <f>IF(ISBLANK(A1154),"",_xlfn.XLOOKUP(A1154,'DISPATCH SHEET'!C$3:C$121,'DISPATCH SHEET'!#REF!,""))</f>
        <v/>
      </c>
      <c r="D1154" s="14"/>
      <c r="E1154" s="15"/>
      <c r="F1154" s="16"/>
      <c r="G1154" s="17" t="s">
        <v>0</v>
      </c>
      <c r="H1154" s="15"/>
      <c r="I1154" s="14" t="s">
        <v>0</v>
      </c>
      <c r="J1154" s="14"/>
      <c r="K1154" s="18"/>
    </row>
    <row r="1155" spans="1:11" s="5" customFormat="1" ht="15" customHeight="1" x14ac:dyDescent="0.2">
      <c r="A1155" s="13"/>
      <c r="B1155" s="14" t="str">
        <f>IF(A1155="","",_xlfn.XLOOKUP(A1155,'DISPATCH SHEET'!B$3:B$121,'DISPATCH SHEET'!C$3:C$121,""))</f>
        <v/>
      </c>
      <c r="C1155" s="14" t="str">
        <f>IF(ISBLANK(A1155),"",_xlfn.XLOOKUP(A1155,'DISPATCH SHEET'!C$3:C$121,'DISPATCH SHEET'!#REF!,""))</f>
        <v/>
      </c>
      <c r="D1155" s="14"/>
      <c r="E1155" s="15"/>
      <c r="F1155" s="16"/>
      <c r="G1155" s="17" t="s">
        <v>0</v>
      </c>
      <c r="H1155" s="15"/>
      <c r="I1155" s="14" t="s">
        <v>0</v>
      </c>
      <c r="J1155" s="14"/>
      <c r="K1155" s="18"/>
    </row>
    <row r="1156" spans="1:11" s="5" customFormat="1" ht="15" customHeight="1" x14ac:dyDescent="0.2">
      <c r="A1156" s="13"/>
      <c r="B1156" s="14" t="str">
        <f>IF(A1156="","",_xlfn.XLOOKUP(A1156,'DISPATCH SHEET'!B$3:B$121,'DISPATCH SHEET'!C$3:C$121,""))</f>
        <v/>
      </c>
      <c r="C1156" s="14" t="str">
        <f>IF(ISBLANK(A1156),"",_xlfn.XLOOKUP(A1156,'DISPATCH SHEET'!C$3:C$121,'DISPATCH SHEET'!#REF!,""))</f>
        <v/>
      </c>
      <c r="D1156" s="14"/>
      <c r="E1156" s="15"/>
      <c r="F1156" s="16"/>
      <c r="G1156" s="17" t="s">
        <v>0</v>
      </c>
      <c r="H1156" s="15"/>
      <c r="I1156" s="14" t="s">
        <v>0</v>
      </c>
      <c r="J1156" s="14"/>
      <c r="K1156" s="18"/>
    </row>
    <row r="1157" spans="1:11" s="5" customFormat="1" ht="15" customHeight="1" x14ac:dyDescent="0.2">
      <c r="A1157" s="13"/>
      <c r="B1157" s="14" t="str">
        <f>IF(A1157="","",_xlfn.XLOOKUP(A1157,'DISPATCH SHEET'!B$3:B$121,'DISPATCH SHEET'!C$3:C$121,""))</f>
        <v/>
      </c>
      <c r="C1157" s="14" t="str">
        <f>IF(ISBLANK(A1157),"",_xlfn.XLOOKUP(A1157,'DISPATCH SHEET'!C$3:C$121,'DISPATCH SHEET'!#REF!,""))</f>
        <v/>
      </c>
      <c r="D1157" s="14"/>
      <c r="E1157" s="15"/>
      <c r="F1157" s="16"/>
      <c r="G1157" s="17" t="s">
        <v>0</v>
      </c>
      <c r="H1157" s="15"/>
      <c r="I1157" s="14" t="s">
        <v>0</v>
      </c>
      <c r="J1157" s="14"/>
      <c r="K1157" s="18"/>
    </row>
    <row r="1158" spans="1:11" s="5" customFormat="1" ht="15" customHeight="1" x14ac:dyDescent="0.2">
      <c r="A1158" s="13"/>
      <c r="B1158" s="14" t="str">
        <f>IF(A1158="","",_xlfn.XLOOKUP(A1158,'DISPATCH SHEET'!B$3:B$121,'DISPATCH SHEET'!C$3:C$121,""))</f>
        <v/>
      </c>
      <c r="C1158" s="14" t="str">
        <f>IF(ISBLANK(A1158),"",_xlfn.XLOOKUP(A1158,'DISPATCH SHEET'!C$3:C$121,'DISPATCH SHEET'!#REF!,""))</f>
        <v/>
      </c>
      <c r="D1158" s="14"/>
      <c r="E1158" s="15"/>
      <c r="F1158" s="16"/>
      <c r="G1158" s="17" t="s">
        <v>0</v>
      </c>
      <c r="H1158" s="15"/>
      <c r="I1158" s="14" t="s">
        <v>0</v>
      </c>
      <c r="J1158" s="14"/>
      <c r="K1158" s="18"/>
    </row>
    <row r="1159" spans="1:11" s="5" customFormat="1" ht="15" customHeight="1" x14ac:dyDescent="0.2">
      <c r="A1159" s="13"/>
      <c r="B1159" s="14" t="str">
        <f>IF(A1159="","",_xlfn.XLOOKUP(A1159,'DISPATCH SHEET'!B$3:B$121,'DISPATCH SHEET'!C$3:C$121,""))</f>
        <v/>
      </c>
      <c r="C1159" s="14" t="str">
        <f>IF(ISBLANK(A1159),"",_xlfn.XLOOKUP(A1159,'DISPATCH SHEET'!C$3:C$121,'DISPATCH SHEET'!#REF!,""))</f>
        <v/>
      </c>
      <c r="D1159" s="14"/>
      <c r="E1159" s="15"/>
      <c r="F1159" s="16"/>
      <c r="G1159" s="17" t="s">
        <v>0</v>
      </c>
      <c r="H1159" s="15"/>
      <c r="I1159" s="14" t="s">
        <v>0</v>
      </c>
      <c r="J1159" s="14"/>
      <c r="K1159" s="18"/>
    </row>
    <row r="1160" spans="1:11" s="5" customFormat="1" ht="15" customHeight="1" x14ac:dyDescent="0.2">
      <c r="A1160" s="13"/>
      <c r="B1160" s="14" t="str">
        <f>IF(A1160="","",_xlfn.XLOOKUP(A1160,'DISPATCH SHEET'!B$3:B$121,'DISPATCH SHEET'!C$3:C$121,""))</f>
        <v/>
      </c>
      <c r="C1160" s="14" t="str">
        <f>IF(ISBLANK(A1160),"",_xlfn.XLOOKUP(A1160,'DISPATCH SHEET'!C$3:C$121,'DISPATCH SHEET'!#REF!,""))</f>
        <v/>
      </c>
      <c r="D1160" s="14"/>
      <c r="E1160" s="15"/>
      <c r="F1160" s="16"/>
      <c r="G1160" s="17" t="s">
        <v>0</v>
      </c>
      <c r="H1160" s="15"/>
      <c r="I1160" s="14" t="s">
        <v>0</v>
      </c>
      <c r="J1160" s="14"/>
      <c r="K1160" s="18"/>
    </row>
    <row r="1161" spans="1:11" s="5" customFormat="1" ht="15" customHeight="1" x14ac:dyDescent="0.2">
      <c r="A1161" s="13"/>
      <c r="B1161" s="14" t="str">
        <f>IF(A1161="","",_xlfn.XLOOKUP(A1161,'DISPATCH SHEET'!B$3:B$121,'DISPATCH SHEET'!C$3:C$121,""))</f>
        <v/>
      </c>
      <c r="C1161" s="14" t="str">
        <f>IF(ISBLANK(A1161),"",_xlfn.XLOOKUP(A1161,'DISPATCH SHEET'!C$3:C$121,'DISPATCH SHEET'!#REF!,""))</f>
        <v/>
      </c>
      <c r="D1161" s="14"/>
      <c r="E1161" s="15"/>
      <c r="F1161" s="16"/>
      <c r="G1161" s="17" t="s">
        <v>0</v>
      </c>
      <c r="H1161" s="15"/>
      <c r="I1161" s="14" t="s">
        <v>0</v>
      </c>
      <c r="J1161" s="14"/>
      <c r="K1161" s="18"/>
    </row>
    <row r="1162" spans="1:11" s="5" customFormat="1" ht="15" customHeight="1" x14ac:dyDescent="0.2">
      <c r="A1162" s="13"/>
      <c r="B1162" s="14" t="str">
        <f>IF(A1162="","",_xlfn.XLOOKUP(A1162,'DISPATCH SHEET'!B$3:B$121,'DISPATCH SHEET'!C$3:C$121,""))</f>
        <v/>
      </c>
      <c r="C1162" s="14" t="str">
        <f>IF(ISBLANK(A1162),"",_xlfn.XLOOKUP(A1162,'DISPATCH SHEET'!C$3:C$121,'DISPATCH SHEET'!#REF!,""))</f>
        <v/>
      </c>
      <c r="D1162" s="14"/>
      <c r="E1162" s="15"/>
      <c r="F1162" s="16"/>
      <c r="G1162" s="17" t="s">
        <v>0</v>
      </c>
      <c r="H1162" s="15"/>
      <c r="I1162" s="14" t="s">
        <v>0</v>
      </c>
      <c r="J1162" s="14"/>
      <c r="K1162" s="18"/>
    </row>
    <row r="1163" spans="1:11" s="5" customFormat="1" ht="15" customHeight="1" x14ac:dyDescent="0.2">
      <c r="A1163" s="13"/>
      <c r="B1163" s="14" t="str">
        <f>IF(A1163="","",_xlfn.XLOOKUP(A1163,'DISPATCH SHEET'!B$3:B$121,'DISPATCH SHEET'!C$3:C$121,""))</f>
        <v/>
      </c>
      <c r="C1163" s="14" t="str">
        <f>IF(ISBLANK(A1163),"",_xlfn.XLOOKUP(A1163,'DISPATCH SHEET'!C$3:C$121,'DISPATCH SHEET'!#REF!,""))</f>
        <v/>
      </c>
      <c r="D1163" s="14"/>
      <c r="E1163" s="15"/>
      <c r="F1163" s="16"/>
      <c r="G1163" s="17" t="s">
        <v>0</v>
      </c>
      <c r="H1163" s="15"/>
      <c r="I1163" s="14" t="s">
        <v>0</v>
      </c>
      <c r="J1163" s="14"/>
      <c r="K1163" s="18"/>
    </row>
    <row r="1164" spans="1:11" s="5" customFormat="1" ht="15" customHeight="1" x14ac:dyDescent="0.2">
      <c r="A1164" s="13"/>
      <c r="B1164" s="14" t="str">
        <f>IF(A1164="","",_xlfn.XLOOKUP(A1164,'DISPATCH SHEET'!B$3:B$121,'DISPATCH SHEET'!C$3:C$121,""))</f>
        <v/>
      </c>
      <c r="C1164" s="14" t="str">
        <f>IF(ISBLANK(A1164),"",_xlfn.XLOOKUP(A1164,'DISPATCH SHEET'!C$3:C$121,'DISPATCH SHEET'!#REF!,""))</f>
        <v/>
      </c>
      <c r="D1164" s="14"/>
      <c r="E1164" s="15"/>
      <c r="F1164" s="16"/>
      <c r="G1164" s="17" t="s">
        <v>0</v>
      </c>
      <c r="H1164" s="15"/>
      <c r="I1164" s="14" t="s">
        <v>0</v>
      </c>
      <c r="J1164" s="14"/>
      <c r="K1164" s="18"/>
    </row>
    <row r="1165" spans="1:11" s="5" customFormat="1" ht="15" customHeight="1" x14ac:dyDescent="0.2">
      <c r="A1165" s="13"/>
      <c r="B1165" s="14" t="str">
        <f>IF(A1165="","",_xlfn.XLOOKUP(A1165,'DISPATCH SHEET'!B$3:B$121,'DISPATCH SHEET'!C$3:C$121,""))</f>
        <v/>
      </c>
      <c r="C1165" s="14" t="str">
        <f>IF(ISBLANK(A1165),"",_xlfn.XLOOKUP(A1165,'DISPATCH SHEET'!C$3:C$121,'DISPATCH SHEET'!#REF!,""))</f>
        <v/>
      </c>
      <c r="D1165" s="14"/>
      <c r="E1165" s="15"/>
      <c r="F1165" s="16"/>
      <c r="G1165" s="17" t="s">
        <v>0</v>
      </c>
      <c r="H1165" s="15"/>
      <c r="I1165" s="14" t="s">
        <v>0</v>
      </c>
      <c r="J1165" s="14"/>
      <c r="K1165" s="18"/>
    </row>
    <row r="1166" spans="1:11" s="5" customFormat="1" ht="15" customHeight="1" x14ac:dyDescent="0.2">
      <c r="A1166" s="13"/>
      <c r="B1166" s="14" t="str">
        <f>IF(A1166="","",_xlfn.XLOOKUP(A1166,'DISPATCH SHEET'!B$3:B$121,'DISPATCH SHEET'!C$3:C$121,""))</f>
        <v/>
      </c>
      <c r="C1166" s="14" t="str">
        <f>IF(ISBLANK(A1166),"",_xlfn.XLOOKUP(A1166,'DISPATCH SHEET'!C$3:C$121,'DISPATCH SHEET'!#REF!,""))</f>
        <v/>
      </c>
      <c r="D1166" s="14"/>
      <c r="E1166" s="15"/>
      <c r="F1166" s="16"/>
      <c r="G1166" s="17" t="s">
        <v>0</v>
      </c>
      <c r="H1166" s="15"/>
      <c r="I1166" s="14" t="s">
        <v>0</v>
      </c>
      <c r="J1166" s="14"/>
      <c r="K1166" s="18"/>
    </row>
    <row r="1167" spans="1:11" s="5" customFormat="1" ht="15" customHeight="1" x14ac:dyDescent="0.2">
      <c r="A1167" s="13"/>
      <c r="B1167" s="14" t="str">
        <f>IF(A1167="","",_xlfn.XLOOKUP(A1167,'DISPATCH SHEET'!B$3:B$121,'DISPATCH SHEET'!C$3:C$121,""))</f>
        <v/>
      </c>
      <c r="C1167" s="14" t="str">
        <f>IF(ISBLANK(A1167),"",_xlfn.XLOOKUP(A1167,'DISPATCH SHEET'!C$3:C$121,'DISPATCH SHEET'!#REF!,""))</f>
        <v/>
      </c>
      <c r="D1167" s="14"/>
      <c r="E1167" s="15"/>
      <c r="F1167" s="16"/>
      <c r="G1167" s="17" t="s">
        <v>0</v>
      </c>
      <c r="H1167" s="15"/>
      <c r="I1167" s="14" t="s">
        <v>0</v>
      </c>
      <c r="J1167" s="14"/>
      <c r="K1167" s="18"/>
    </row>
    <row r="1168" spans="1:11" s="5" customFormat="1" ht="15" customHeight="1" x14ac:dyDescent="0.2">
      <c r="A1168" s="13"/>
      <c r="B1168" s="14" t="str">
        <f>IF(A1168="","",_xlfn.XLOOKUP(A1168,'DISPATCH SHEET'!B$3:B$121,'DISPATCH SHEET'!C$3:C$121,""))</f>
        <v/>
      </c>
      <c r="C1168" s="14" t="str">
        <f>IF(ISBLANK(A1168),"",_xlfn.XLOOKUP(A1168,'DISPATCH SHEET'!C$3:C$121,'DISPATCH SHEET'!#REF!,""))</f>
        <v/>
      </c>
      <c r="D1168" s="14"/>
      <c r="E1168" s="15"/>
      <c r="F1168" s="16"/>
      <c r="G1168" s="17" t="s">
        <v>0</v>
      </c>
      <c r="H1168" s="15"/>
      <c r="I1168" s="14" t="s">
        <v>0</v>
      </c>
      <c r="J1168" s="14"/>
      <c r="K1168" s="18"/>
    </row>
    <row r="1169" spans="1:11" s="5" customFormat="1" ht="15" customHeight="1" x14ac:dyDescent="0.2">
      <c r="A1169" s="13"/>
      <c r="B1169" s="14" t="str">
        <f>IF(A1169="","",_xlfn.XLOOKUP(A1169,'DISPATCH SHEET'!B$3:B$121,'DISPATCH SHEET'!C$3:C$121,""))</f>
        <v/>
      </c>
      <c r="C1169" s="14" t="str">
        <f>IF(ISBLANK(A1169),"",_xlfn.XLOOKUP(A1169,'DISPATCH SHEET'!C$3:C$121,'DISPATCH SHEET'!#REF!,""))</f>
        <v/>
      </c>
      <c r="D1169" s="14"/>
      <c r="E1169" s="15"/>
      <c r="F1169" s="16"/>
      <c r="G1169" s="17" t="s">
        <v>0</v>
      </c>
      <c r="H1169" s="15"/>
      <c r="I1169" s="14" t="s">
        <v>0</v>
      </c>
      <c r="J1169" s="14"/>
      <c r="K1169" s="18"/>
    </row>
    <row r="1170" spans="1:11" s="5" customFormat="1" ht="15" customHeight="1" x14ac:dyDescent="0.2">
      <c r="A1170" s="13"/>
      <c r="B1170" s="14" t="str">
        <f>IF(A1170="","",_xlfn.XLOOKUP(A1170,'DISPATCH SHEET'!B$3:B$121,'DISPATCH SHEET'!C$3:C$121,""))</f>
        <v/>
      </c>
      <c r="C1170" s="14" t="str">
        <f>IF(ISBLANK(A1170),"",_xlfn.XLOOKUP(A1170,'DISPATCH SHEET'!C$3:C$121,'DISPATCH SHEET'!#REF!,""))</f>
        <v/>
      </c>
      <c r="D1170" s="14"/>
      <c r="E1170" s="15"/>
      <c r="F1170" s="16"/>
      <c r="G1170" s="17" t="s">
        <v>0</v>
      </c>
      <c r="H1170" s="15"/>
      <c r="I1170" s="14" t="s">
        <v>0</v>
      </c>
      <c r="J1170" s="14"/>
      <c r="K1170" s="18"/>
    </row>
    <row r="1171" spans="1:11" s="5" customFormat="1" ht="15" customHeight="1" x14ac:dyDescent="0.2">
      <c r="A1171" s="13"/>
      <c r="B1171" s="14" t="str">
        <f>IF(A1171="","",_xlfn.XLOOKUP(A1171,'DISPATCH SHEET'!B$3:B$121,'DISPATCH SHEET'!C$3:C$121,""))</f>
        <v/>
      </c>
      <c r="C1171" s="14" t="str">
        <f>IF(ISBLANK(A1171),"",_xlfn.XLOOKUP(A1171,'DISPATCH SHEET'!C$3:C$121,'DISPATCH SHEET'!#REF!,""))</f>
        <v/>
      </c>
      <c r="D1171" s="14"/>
      <c r="E1171" s="15"/>
      <c r="F1171" s="16"/>
      <c r="G1171" s="17" t="s">
        <v>0</v>
      </c>
      <c r="H1171" s="15"/>
      <c r="I1171" s="14" t="s">
        <v>0</v>
      </c>
      <c r="J1171" s="14"/>
      <c r="K1171" s="18"/>
    </row>
    <row r="1172" spans="1:11" s="5" customFormat="1" ht="15" customHeight="1" x14ac:dyDescent="0.2">
      <c r="A1172" s="13"/>
      <c r="B1172" s="14" t="str">
        <f>IF(A1172="","",_xlfn.XLOOKUP(A1172,'DISPATCH SHEET'!B$3:B$121,'DISPATCH SHEET'!C$3:C$121,""))</f>
        <v/>
      </c>
      <c r="C1172" s="14" t="str">
        <f>IF(ISBLANK(A1172),"",_xlfn.XLOOKUP(A1172,'DISPATCH SHEET'!C$3:C$121,'DISPATCH SHEET'!#REF!,""))</f>
        <v/>
      </c>
      <c r="D1172" s="14"/>
      <c r="E1172" s="15"/>
      <c r="F1172" s="16"/>
      <c r="G1172" s="17" t="s">
        <v>0</v>
      </c>
      <c r="H1172" s="15"/>
      <c r="I1172" s="14" t="s">
        <v>0</v>
      </c>
      <c r="J1172" s="14"/>
      <c r="K1172" s="18"/>
    </row>
    <row r="1173" spans="1:11" s="5" customFormat="1" ht="15" customHeight="1" x14ac:dyDescent="0.2">
      <c r="A1173" s="13"/>
      <c r="B1173" s="14" t="str">
        <f>IF(A1173="","",_xlfn.XLOOKUP(A1173,'DISPATCH SHEET'!B$3:B$121,'DISPATCH SHEET'!C$3:C$121,""))</f>
        <v/>
      </c>
      <c r="C1173" s="14" t="str">
        <f>IF(ISBLANK(A1173),"",_xlfn.XLOOKUP(A1173,'DISPATCH SHEET'!C$3:C$121,'DISPATCH SHEET'!#REF!,""))</f>
        <v/>
      </c>
      <c r="D1173" s="14"/>
      <c r="E1173" s="15"/>
      <c r="F1173" s="16"/>
      <c r="G1173" s="17" t="s">
        <v>0</v>
      </c>
      <c r="H1173" s="15"/>
      <c r="I1173" s="14" t="s">
        <v>0</v>
      </c>
      <c r="J1173" s="14"/>
      <c r="K1173" s="18"/>
    </row>
    <row r="1174" spans="1:11" s="5" customFormat="1" ht="15" customHeight="1" x14ac:dyDescent="0.2">
      <c r="A1174" s="13"/>
      <c r="B1174" s="14" t="str">
        <f>IF(A1174="","",_xlfn.XLOOKUP(A1174,'DISPATCH SHEET'!B$3:B$121,'DISPATCH SHEET'!C$3:C$121,""))</f>
        <v/>
      </c>
      <c r="C1174" s="14" t="str">
        <f>IF(ISBLANK(A1174),"",_xlfn.XLOOKUP(A1174,'DISPATCH SHEET'!C$3:C$121,'DISPATCH SHEET'!#REF!,""))</f>
        <v/>
      </c>
      <c r="D1174" s="14"/>
      <c r="E1174" s="15"/>
      <c r="F1174" s="16"/>
      <c r="G1174" s="17" t="s">
        <v>0</v>
      </c>
      <c r="H1174" s="15"/>
      <c r="I1174" s="14" t="s">
        <v>0</v>
      </c>
      <c r="J1174" s="14"/>
      <c r="K1174" s="18"/>
    </row>
    <row r="1175" spans="1:11" s="5" customFormat="1" ht="15" customHeight="1" x14ac:dyDescent="0.2">
      <c r="A1175" s="13"/>
      <c r="B1175" s="14" t="str">
        <f>IF(A1175="","",_xlfn.XLOOKUP(A1175,'DISPATCH SHEET'!B$3:B$121,'DISPATCH SHEET'!C$3:C$121,""))</f>
        <v/>
      </c>
      <c r="C1175" s="14" t="str">
        <f>IF(ISBLANK(A1175),"",_xlfn.XLOOKUP(A1175,'DISPATCH SHEET'!C$3:C$121,'DISPATCH SHEET'!#REF!,""))</f>
        <v/>
      </c>
      <c r="D1175" s="14"/>
      <c r="E1175" s="15"/>
      <c r="F1175" s="16"/>
      <c r="G1175" s="17" t="s">
        <v>0</v>
      </c>
      <c r="H1175" s="15"/>
      <c r="I1175" s="14" t="s">
        <v>0</v>
      </c>
      <c r="J1175" s="14"/>
      <c r="K1175" s="18"/>
    </row>
    <row r="1176" spans="1:11" s="5" customFormat="1" ht="15" customHeight="1" x14ac:dyDescent="0.2">
      <c r="A1176" s="13"/>
      <c r="B1176" s="14" t="str">
        <f>IF(A1176="","",_xlfn.XLOOKUP(A1176,'DISPATCH SHEET'!B$3:B$121,'DISPATCH SHEET'!C$3:C$121,""))</f>
        <v/>
      </c>
      <c r="C1176" s="14" t="str">
        <f>IF(ISBLANK(A1176),"",_xlfn.XLOOKUP(A1176,'DISPATCH SHEET'!C$3:C$121,'DISPATCH SHEET'!#REF!,""))</f>
        <v/>
      </c>
      <c r="D1176" s="14"/>
      <c r="E1176" s="15"/>
      <c r="F1176" s="16"/>
      <c r="G1176" s="17" t="s">
        <v>0</v>
      </c>
      <c r="H1176" s="15"/>
      <c r="I1176" s="14" t="s">
        <v>0</v>
      </c>
      <c r="J1176" s="14"/>
      <c r="K1176" s="18"/>
    </row>
    <row r="1177" spans="1:11" s="5" customFormat="1" ht="15" customHeight="1" x14ac:dyDescent="0.2">
      <c r="A1177" s="13"/>
      <c r="B1177" s="14" t="str">
        <f>IF(A1177="","",_xlfn.XLOOKUP(A1177,'DISPATCH SHEET'!B$3:B$121,'DISPATCH SHEET'!C$3:C$121,""))</f>
        <v/>
      </c>
      <c r="C1177" s="14" t="str">
        <f>IF(ISBLANK(A1177),"",_xlfn.XLOOKUP(A1177,'DISPATCH SHEET'!C$3:C$121,'DISPATCH SHEET'!#REF!,""))</f>
        <v/>
      </c>
      <c r="D1177" s="14"/>
      <c r="E1177" s="15"/>
      <c r="F1177" s="16"/>
      <c r="G1177" s="17" t="s">
        <v>0</v>
      </c>
      <c r="H1177" s="15"/>
      <c r="I1177" s="14" t="s">
        <v>0</v>
      </c>
      <c r="J1177" s="14"/>
      <c r="K1177" s="18"/>
    </row>
    <row r="1178" spans="1:11" s="5" customFormat="1" ht="15" customHeight="1" x14ac:dyDescent="0.2">
      <c r="A1178" s="13"/>
      <c r="B1178" s="14" t="str">
        <f>IF(A1178="","",_xlfn.XLOOKUP(A1178,'DISPATCH SHEET'!B$3:B$121,'DISPATCH SHEET'!C$3:C$121,""))</f>
        <v/>
      </c>
      <c r="C1178" s="14" t="str">
        <f>IF(ISBLANK(A1178),"",_xlfn.XLOOKUP(A1178,'DISPATCH SHEET'!C$3:C$121,'DISPATCH SHEET'!#REF!,""))</f>
        <v/>
      </c>
      <c r="D1178" s="14"/>
      <c r="E1178" s="15"/>
      <c r="F1178" s="16"/>
      <c r="G1178" s="17" t="s">
        <v>0</v>
      </c>
      <c r="H1178" s="15"/>
      <c r="I1178" s="14" t="s">
        <v>0</v>
      </c>
      <c r="J1178" s="14"/>
      <c r="K1178" s="18"/>
    </row>
    <row r="1179" spans="1:11" s="5" customFormat="1" ht="15" customHeight="1" x14ac:dyDescent="0.2">
      <c r="A1179" s="13"/>
      <c r="B1179" s="14" t="str">
        <f>IF(A1179="","",_xlfn.XLOOKUP(A1179,'DISPATCH SHEET'!B$3:B$121,'DISPATCH SHEET'!C$3:C$121,""))</f>
        <v/>
      </c>
      <c r="C1179" s="14" t="str">
        <f>IF(ISBLANK(A1179),"",_xlfn.XLOOKUP(A1179,'DISPATCH SHEET'!C$3:C$121,'DISPATCH SHEET'!#REF!,""))</f>
        <v/>
      </c>
      <c r="D1179" s="14"/>
      <c r="E1179" s="15"/>
      <c r="F1179" s="16"/>
      <c r="G1179" s="17" t="s">
        <v>0</v>
      </c>
      <c r="H1179" s="15"/>
      <c r="I1179" s="14" t="s">
        <v>0</v>
      </c>
      <c r="J1179" s="14"/>
      <c r="K1179" s="18"/>
    </row>
    <row r="1180" spans="1:11" s="5" customFormat="1" ht="15" customHeight="1" x14ac:dyDescent="0.2">
      <c r="A1180" s="13"/>
      <c r="B1180" s="14" t="str">
        <f>IF(A1180="","",_xlfn.XLOOKUP(A1180,'DISPATCH SHEET'!B$3:B$121,'DISPATCH SHEET'!C$3:C$121,""))</f>
        <v/>
      </c>
      <c r="C1180" s="14" t="str">
        <f>IF(ISBLANK(A1180),"",_xlfn.XLOOKUP(A1180,'DISPATCH SHEET'!C$3:C$121,'DISPATCH SHEET'!#REF!,""))</f>
        <v/>
      </c>
      <c r="D1180" s="14"/>
      <c r="E1180" s="15"/>
      <c r="F1180" s="16"/>
      <c r="G1180" s="17" t="s">
        <v>0</v>
      </c>
      <c r="H1180" s="15"/>
      <c r="I1180" s="14" t="s">
        <v>0</v>
      </c>
      <c r="J1180" s="14"/>
      <c r="K1180" s="18"/>
    </row>
    <row r="1181" spans="1:11" s="5" customFormat="1" ht="15" customHeight="1" x14ac:dyDescent="0.2">
      <c r="A1181" s="13"/>
      <c r="B1181" s="14" t="str">
        <f>IF(A1181="","",_xlfn.XLOOKUP(A1181,'DISPATCH SHEET'!B$3:B$121,'DISPATCH SHEET'!C$3:C$121,""))</f>
        <v/>
      </c>
      <c r="C1181" s="14" t="str">
        <f>IF(ISBLANK(A1181),"",_xlfn.XLOOKUP(A1181,'DISPATCH SHEET'!C$3:C$121,'DISPATCH SHEET'!#REF!,""))</f>
        <v/>
      </c>
      <c r="D1181" s="14"/>
      <c r="E1181" s="15"/>
      <c r="F1181" s="16"/>
      <c r="G1181" s="17" t="s">
        <v>0</v>
      </c>
      <c r="H1181" s="15"/>
      <c r="I1181" s="14" t="s">
        <v>0</v>
      </c>
      <c r="J1181" s="14"/>
      <c r="K1181" s="18"/>
    </row>
    <row r="1182" spans="1:11" s="5" customFormat="1" ht="15" customHeight="1" x14ac:dyDescent="0.2">
      <c r="A1182" s="13"/>
      <c r="B1182" s="14" t="str">
        <f>IF(A1182="","",_xlfn.XLOOKUP(A1182,'DISPATCH SHEET'!B$3:B$121,'DISPATCH SHEET'!C$3:C$121,""))</f>
        <v/>
      </c>
      <c r="C1182" s="14" t="str">
        <f>IF(ISBLANK(A1182),"",_xlfn.XLOOKUP(A1182,'DISPATCH SHEET'!C$3:C$121,'DISPATCH SHEET'!#REF!,""))</f>
        <v/>
      </c>
      <c r="D1182" s="14"/>
      <c r="E1182" s="15"/>
      <c r="F1182" s="16"/>
      <c r="G1182" s="17" t="s">
        <v>0</v>
      </c>
      <c r="H1182" s="15"/>
      <c r="I1182" s="14" t="s">
        <v>0</v>
      </c>
      <c r="J1182" s="14"/>
      <c r="K1182" s="18"/>
    </row>
    <row r="1183" spans="1:11" s="5" customFormat="1" ht="15" customHeight="1" x14ac:dyDescent="0.2">
      <c r="A1183" s="13"/>
      <c r="B1183" s="14" t="str">
        <f>IF(A1183="","",_xlfn.XLOOKUP(A1183,'DISPATCH SHEET'!B$3:B$121,'DISPATCH SHEET'!C$3:C$121,""))</f>
        <v/>
      </c>
      <c r="C1183" s="14" t="str">
        <f>IF(ISBLANK(A1183),"",_xlfn.XLOOKUP(A1183,'DISPATCH SHEET'!C$3:C$121,'DISPATCH SHEET'!#REF!,""))</f>
        <v/>
      </c>
      <c r="D1183" s="14"/>
      <c r="E1183" s="15"/>
      <c r="F1183" s="16"/>
      <c r="G1183" s="17" t="s">
        <v>0</v>
      </c>
      <c r="H1183" s="15"/>
      <c r="I1183" s="14" t="s">
        <v>0</v>
      </c>
      <c r="J1183" s="14"/>
      <c r="K1183" s="18"/>
    </row>
    <row r="1184" spans="1:11" s="5" customFormat="1" ht="15" customHeight="1" x14ac:dyDescent="0.2">
      <c r="A1184" s="13"/>
      <c r="B1184" s="14" t="str">
        <f>IF(A1184="","",_xlfn.XLOOKUP(A1184,'DISPATCH SHEET'!B$3:B$121,'DISPATCH SHEET'!C$3:C$121,""))</f>
        <v/>
      </c>
      <c r="C1184" s="14" t="str">
        <f>IF(ISBLANK(A1184),"",_xlfn.XLOOKUP(A1184,'DISPATCH SHEET'!C$3:C$121,'DISPATCH SHEET'!#REF!,""))</f>
        <v/>
      </c>
      <c r="D1184" s="14"/>
      <c r="E1184" s="15"/>
      <c r="F1184" s="16"/>
      <c r="G1184" s="17" t="s">
        <v>0</v>
      </c>
      <c r="H1184" s="15"/>
      <c r="I1184" s="14" t="s">
        <v>0</v>
      </c>
      <c r="J1184" s="14"/>
      <c r="K1184" s="18"/>
    </row>
    <row r="1185" spans="1:11" s="5" customFormat="1" ht="15" customHeight="1" x14ac:dyDescent="0.2">
      <c r="A1185" s="13"/>
      <c r="B1185" s="14" t="str">
        <f>IF(A1185="","",_xlfn.XLOOKUP(A1185,'DISPATCH SHEET'!B$3:B$121,'DISPATCH SHEET'!C$3:C$121,""))</f>
        <v/>
      </c>
      <c r="C1185" s="14" t="str">
        <f>IF(ISBLANK(A1185),"",_xlfn.XLOOKUP(A1185,'DISPATCH SHEET'!C$3:C$121,'DISPATCH SHEET'!#REF!,""))</f>
        <v/>
      </c>
      <c r="D1185" s="14"/>
      <c r="E1185" s="15"/>
      <c r="F1185" s="16"/>
      <c r="G1185" s="17" t="s">
        <v>0</v>
      </c>
      <c r="H1185" s="15"/>
      <c r="I1185" s="14" t="s">
        <v>0</v>
      </c>
      <c r="J1185" s="14"/>
      <c r="K1185" s="18"/>
    </row>
    <row r="1186" spans="1:11" s="5" customFormat="1" ht="15" customHeight="1" x14ac:dyDescent="0.2">
      <c r="A1186" s="13"/>
      <c r="B1186" s="14" t="str">
        <f>IF(A1186="","",_xlfn.XLOOKUP(A1186,'DISPATCH SHEET'!B$3:B$121,'DISPATCH SHEET'!C$3:C$121,""))</f>
        <v/>
      </c>
      <c r="C1186" s="14" t="str">
        <f>IF(ISBLANK(A1186),"",_xlfn.XLOOKUP(A1186,'DISPATCH SHEET'!C$3:C$121,'DISPATCH SHEET'!#REF!,""))</f>
        <v/>
      </c>
      <c r="D1186" s="14"/>
      <c r="E1186" s="15"/>
      <c r="F1186" s="16"/>
      <c r="G1186" s="17" t="s">
        <v>0</v>
      </c>
      <c r="H1186" s="15"/>
      <c r="I1186" s="14" t="s">
        <v>0</v>
      </c>
      <c r="J1186" s="14"/>
      <c r="K1186" s="18"/>
    </row>
    <row r="1187" spans="1:11" s="5" customFormat="1" ht="15" customHeight="1" x14ac:dyDescent="0.2">
      <c r="A1187" s="13"/>
      <c r="B1187" s="14" t="str">
        <f>IF(A1187="","",_xlfn.XLOOKUP(A1187,'DISPATCH SHEET'!B$3:B$121,'DISPATCH SHEET'!C$3:C$121,""))</f>
        <v/>
      </c>
      <c r="C1187" s="14" t="str">
        <f>IF(ISBLANK(A1187),"",_xlfn.XLOOKUP(A1187,'DISPATCH SHEET'!C$3:C$121,'DISPATCH SHEET'!#REF!,""))</f>
        <v/>
      </c>
      <c r="D1187" s="14"/>
      <c r="E1187" s="15"/>
      <c r="F1187" s="16"/>
      <c r="G1187" s="17" t="s">
        <v>0</v>
      </c>
      <c r="H1187" s="15"/>
      <c r="I1187" s="14" t="s">
        <v>0</v>
      </c>
      <c r="J1187" s="14"/>
      <c r="K1187" s="18"/>
    </row>
    <row r="1188" spans="1:11" s="5" customFormat="1" ht="15" customHeight="1" x14ac:dyDescent="0.2">
      <c r="A1188" s="13"/>
      <c r="B1188" s="14" t="str">
        <f>IF(A1188="","",_xlfn.XLOOKUP(A1188,'DISPATCH SHEET'!B$3:B$121,'DISPATCH SHEET'!C$3:C$121,""))</f>
        <v/>
      </c>
      <c r="C1188" s="14" t="str">
        <f>IF(ISBLANK(A1188),"",_xlfn.XLOOKUP(A1188,'DISPATCH SHEET'!C$3:C$121,'DISPATCH SHEET'!#REF!,""))</f>
        <v/>
      </c>
      <c r="D1188" s="14"/>
      <c r="E1188" s="15"/>
      <c r="F1188" s="16"/>
      <c r="G1188" s="17" t="s">
        <v>0</v>
      </c>
      <c r="H1188" s="15"/>
      <c r="I1188" s="14" t="s">
        <v>0</v>
      </c>
      <c r="J1188" s="14"/>
      <c r="K1188" s="18"/>
    </row>
    <row r="1189" spans="1:11" s="5" customFormat="1" ht="15" customHeight="1" x14ac:dyDescent="0.2">
      <c r="A1189" s="13"/>
      <c r="B1189" s="14" t="str">
        <f>IF(A1189="","",_xlfn.XLOOKUP(A1189,'DISPATCH SHEET'!B$3:B$121,'DISPATCH SHEET'!C$3:C$121,""))</f>
        <v/>
      </c>
      <c r="C1189" s="14" t="str">
        <f>IF(ISBLANK(A1189),"",_xlfn.XLOOKUP(A1189,'DISPATCH SHEET'!C$3:C$121,'DISPATCH SHEET'!#REF!,""))</f>
        <v/>
      </c>
      <c r="D1189" s="14"/>
      <c r="E1189" s="15"/>
      <c r="F1189" s="16"/>
      <c r="G1189" s="17" t="s">
        <v>0</v>
      </c>
      <c r="H1189" s="15"/>
      <c r="I1189" s="14" t="s">
        <v>0</v>
      </c>
      <c r="J1189" s="14"/>
      <c r="K1189" s="18"/>
    </row>
    <row r="1190" spans="1:11" s="5" customFormat="1" ht="15" customHeight="1" x14ac:dyDescent="0.2">
      <c r="A1190" s="13"/>
      <c r="B1190" s="14" t="str">
        <f>IF(A1190="","",_xlfn.XLOOKUP(A1190,'DISPATCH SHEET'!B$3:B$121,'DISPATCH SHEET'!C$3:C$121,""))</f>
        <v/>
      </c>
      <c r="C1190" s="14" t="str">
        <f>IF(ISBLANK(A1190),"",_xlfn.XLOOKUP(A1190,'DISPATCH SHEET'!C$3:C$121,'DISPATCH SHEET'!#REF!,""))</f>
        <v/>
      </c>
      <c r="D1190" s="14"/>
      <c r="E1190" s="15"/>
      <c r="F1190" s="16"/>
      <c r="G1190" s="17" t="s">
        <v>0</v>
      </c>
      <c r="H1190" s="15"/>
      <c r="I1190" s="14" t="s">
        <v>0</v>
      </c>
      <c r="J1190" s="14"/>
      <c r="K1190" s="18"/>
    </row>
    <row r="1191" spans="1:11" s="5" customFormat="1" ht="15" customHeight="1" x14ac:dyDescent="0.2">
      <c r="A1191" s="13"/>
      <c r="B1191" s="14" t="str">
        <f>IF(A1191="","",_xlfn.XLOOKUP(A1191,'DISPATCH SHEET'!B$3:B$121,'DISPATCH SHEET'!C$3:C$121,""))</f>
        <v/>
      </c>
      <c r="C1191" s="14" t="str">
        <f>IF(ISBLANK(A1191),"",_xlfn.XLOOKUP(A1191,'DISPATCH SHEET'!C$3:C$121,'DISPATCH SHEET'!#REF!,""))</f>
        <v/>
      </c>
      <c r="D1191" s="14"/>
      <c r="E1191" s="15"/>
      <c r="F1191" s="16"/>
      <c r="G1191" s="17" t="s">
        <v>0</v>
      </c>
      <c r="H1191" s="15"/>
      <c r="I1191" s="14" t="s">
        <v>0</v>
      </c>
      <c r="J1191" s="14"/>
      <c r="K1191" s="18"/>
    </row>
    <row r="1192" spans="1:11" s="5" customFormat="1" ht="15" customHeight="1" x14ac:dyDescent="0.2">
      <c r="A1192" s="13"/>
      <c r="B1192" s="14" t="str">
        <f>IF(A1192="","",_xlfn.XLOOKUP(A1192,'DISPATCH SHEET'!B$3:B$121,'DISPATCH SHEET'!C$3:C$121,""))</f>
        <v/>
      </c>
      <c r="C1192" s="14" t="str">
        <f>IF(ISBLANK(A1192),"",_xlfn.XLOOKUP(A1192,'DISPATCH SHEET'!C$3:C$121,'DISPATCH SHEET'!#REF!,""))</f>
        <v/>
      </c>
      <c r="D1192" s="14"/>
      <c r="E1192" s="15"/>
      <c r="F1192" s="16"/>
      <c r="G1192" s="17" t="s">
        <v>0</v>
      </c>
      <c r="H1192" s="15"/>
      <c r="I1192" s="14" t="s">
        <v>0</v>
      </c>
      <c r="J1192" s="14"/>
      <c r="K1192" s="18"/>
    </row>
    <row r="1193" spans="1:11" s="5" customFormat="1" ht="15" customHeight="1" x14ac:dyDescent="0.2">
      <c r="A1193" s="13"/>
      <c r="B1193" s="14" t="str">
        <f>IF(A1193="","",_xlfn.XLOOKUP(A1193,'DISPATCH SHEET'!B$3:B$121,'DISPATCH SHEET'!C$3:C$121,""))</f>
        <v/>
      </c>
      <c r="C1193" s="14" t="str">
        <f>IF(ISBLANK(A1193),"",_xlfn.XLOOKUP(A1193,'DISPATCH SHEET'!C$3:C$121,'DISPATCH SHEET'!#REF!,""))</f>
        <v/>
      </c>
      <c r="D1193" s="14"/>
      <c r="E1193" s="15"/>
      <c r="F1193" s="16"/>
      <c r="G1193" s="17" t="s">
        <v>0</v>
      </c>
      <c r="H1193" s="15"/>
      <c r="I1193" s="14" t="s">
        <v>0</v>
      </c>
      <c r="J1193" s="14"/>
      <c r="K1193" s="18"/>
    </row>
    <row r="1194" spans="1:11" s="5" customFormat="1" ht="15" customHeight="1" x14ac:dyDescent="0.2">
      <c r="A1194" s="13"/>
      <c r="B1194" s="14" t="str">
        <f>IF(A1194="","",_xlfn.XLOOKUP(A1194,'DISPATCH SHEET'!B$3:B$121,'DISPATCH SHEET'!C$3:C$121,""))</f>
        <v/>
      </c>
      <c r="C1194" s="14" t="str">
        <f>IF(ISBLANK(A1194),"",_xlfn.XLOOKUP(A1194,'DISPATCH SHEET'!C$3:C$121,'DISPATCH SHEET'!#REF!,""))</f>
        <v/>
      </c>
      <c r="D1194" s="14"/>
      <c r="E1194" s="15"/>
      <c r="F1194" s="16"/>
      <c r="G1194" s="17" t="s">
        <v>0</v>
      </c>
      <c r="H1194" s="15"/>
      <c r="I1194" s="14" t="s">
        <v>0</v>
      </c>
      <c r="J1194" s="14"/>
      <c r="K1194" s="18"/>
    </row>
    <row r="1195" spans="1:11" s="5" customFormat="1" ht="15" customHeight="1" x14ac:dyDescent="0.2">
      <c r="A1195" s="13"/>
      <c r="B1195" s="14" t="str">
        <f>IF(A1195="","",_xlfn.XLOOKUP(A1195,'DISPATCH SHEET'!B$3:B$121,'DISPATCH SHEET'!C$3:C$121,""))</f>
        <v/>
      </c>
      <c r="C1195" s="14" t="str">
        <f>IF(ISBLANK(A1195),"",_xlfn.XLOOKUP(A1195,'DISPATCH SHEET'!C$3:C$121,'DISPATCH SHEET'!#REF!,""))</f>
        <v/>
      </c>
      <c r="D1195" s="14"/>
      <c r="E1195" s="15"/>
      <c r="F1195" s="16"/>
      <c r="G1195" s="17" t="s">
        <v>0</v>
      </c>
      <c r="H1195" s="15"/>
      <c r="I1195" s="14" t="s">
        <v>0</v>
      </c>
      <c r="J1195" s="14"/>
      <c r="K1195" s="18"/>
    </row>
    <row r="1196" spans="1:11" s="5" customFormat="1" ht="15" customHeight="1" x14ac:dyDescent="0.2">
      <c r="A1196" s="13"/>
      <c r="B1196" s="14" t="str">
        <f>IF(A1196="","",_xlfn.XLOOKUP(A1196,'DISPATCH SHEET'!B$3:B$121,'DISPATCH SHEET'!C$3:C$121,""))</f>
        <v/>
      </c>
      <c r="C1196" s="14" t="str">
        <f>IF(ISBLANK(A1196),"",_xlfn.XLOOKUP(A1196,'DISPATCH SHEET'!C$3:C$121,'DISPATCH SHEET'!#REF!,""))</f>
        <v/>
      </c>
      <c r="D1196" s="14"/>
      <c r="E1196" s="15"/>
      <c r="F1196" s="16"/>
      <c r="G1196" s="17" t="s">
        <v>0</v>
      </c>
      <c r="H1196" s="15"/>
      <c r="I1196" s="14" t="s">
        <v>0</v>
      </c>
      <c r="J1196" s="14"/>
      <c r="K1196" s="18"/>
    </row>
    <row r="1197" spans="1:11" s="5" customFormat="1" ht="15" customHeight="1" x14ac:dyDescent="0.2">
      <c r="A1197" s="13"/>
      <c r="B1197" s="14" t="str">
        <f>IF(A1197="","",_xlfn.XLOOKUP(A1197,'DISPATCH SHEET'!B$3:B$121,'DISPATCH SHEET'!C$3:C$121,""))</f>
        <v/>
      </c>
      <c r="C1197" s="14" t="str">
        <f>IF(ISBLANK(A1197),"",_xlfn.XLOOKUP(A1197,'DISPATCH SHEET'!C$3:C$121,'DISPATCH SHEET'!#REF!,""))</f>
        <v/>
      </c>
      <c r="D1197" s="14"/>
      <c r="E1197" s="15"/>
      <c r="F1197" s="16"/>
      <c r="G1197" s="17" t="s">
        <v>0</v>
      </c>
      <c r="H1197" s="15"/>
      <c r="I1197" s="14" t="s">
        <v>0</v>
      </c>
      <c r="J1197" s="14"/>
      <c r="K1197" s="18"/>
    </row>
    <row r="1198" spans="1:11" s="5" customFormat="1" ht="15" customHeight="1" x14ac:dyDescent="0.2">
      <c r="A1198" s="20"/>
      <c r="B1198" s="14" t="str">
        <f>IF(A1198="","",_xlfn.XLOOKUP(A1198,'DISPATCH SHEET'!B$3:B$121,'DISPATCH SHEET'!C$3:C$121,""))</f>
        <v/>
      </c>
      <c r="C1198" s="14" t="str">
        <f>IF(ISBLANK(A1198),"",_xlfn.XLOOKUP(A1198,'DISPATCH SHEET'!C$3:C$121,'DISPATCH SHEET'!#REF!,""))</f>
        <v/>
      </c>
      <c r="D1198" s="21"/>
      <c r="E1198" s="21"/>
      <c r="F1198" s="21"/>
      <c r="G1198" s="21"/>
      <c r="H1198" s="21"/>
      <c r="I1198" s="21"/>
      <c r="J1198" s="21"/>
      <c r="K1198" s="22"/>
    </row>
    <row r="1199" spans="1:11" s="5" customFormat="1" ht="15" customHeight="1" x14ac:dyDescent="0.2">
      <c r="A1199" s="20"/>
      <c r="B1199" s="14" t="str">
        <f>IF(A1199="","",_xlfn.XLOOKUP(A1199,'DISPATCH SHEET'!B$3:B$121,'DISPATCH SHEET'!C$3:C$121,""))</f>
        <v/>
      </c>
      <c r="C1199" s="14" t="str">
        <f>IF(ISBLANK(A1199),"",_xlfn.XLOOKUP(A1199,'DISPATCH SHEET'!C$3:C$121,'DISPATCH SHEET'!#REF!,""))</f>
        <v/>
      </c>
      <c r="D1199" s="21"/>
      <c r="E1199" s="21"/>
      <c r="F1199" s="21"/>
      <c r="G1199" s="21"/>
      <c r="H1199" s="21"/>
      <c r="I1199" s="21"/>
      <c r="J1199" s="21"/>
      <c r="K1199" s="22"/>
    </row>
    <row r="1200" spans="1:11" s="5" customFormat="1" ht="15" customHeight="1" x14ac:dyDescent="0.2">
      <c r="A1200" s="20"/>
      <c r="B1200" s="14" t="str">
        <f>IF(A1200="","",_xlfn.XLOOKUP(A1200,'DISPATCH SHEET'!B$3:B$121,'DISPATCH SHEET'!C$3:C$121,""))</f>
        <v/>
      </c>
      <c r="C1200" s="14" t="str">
        <f>IF(ISBLANK(A1200),"",_xlfn.XLOOKUP(A1200,'DISPATCH SHEET'!C$3:C$121,'DISPATCH SHEET'!#REF!,""))</f>
        <v/>
      </c>
      <c r="D1200" s="21"/>
      <c r="E1200" s="21"/>
      <c r="F1200" s="21"/>
      <c r="G1200" s="21"/>
      <c r="H1200" s="21"/>
      <c r="I1200" s="21"/>
      <c r="J1200" s="21"/>
      <c r="K1200" s="22"/>
    </row>
    <row r="1201" spans="1:11" s="5" customFormat="1" ht="15" customHeight="1" x14ac:dyDescent="0.2">
      <c r="A1201" s="20"/>
      <c r="B1201" s="14" t="str">
        <f>IF(A1201="","",_xlfn.XLOOKUP(A1201,'DISPATCH SHEET'!B$3:B$121,'DISPATCH SHEET'!C$3:C$121,""))</f>
        <v/>
      </c>
      <c r="C1201" s="14" t="str">
        <f>IF(ISBLANK(A1201),"",_xlfn.XLOOKUP(A1201,'DISPATCH SHEET'!C$3:C$121,'DISPATCH SHEET'!#REF!,""))</f>
        <v/>
      </c>
      <c r="D1201" s="21"/>
      <c r="E1201" s="21"/>
      <c r="F1201" s="21"/>
      <c r="G1201" s="21"/>
      <c r="H1201" s="21"/>
      <c r="I1201" s="21"/>
      <c r="J1201" s="21"/>
      <c r="K1201" s="22"/>
    </row>
    <row r="1202" spans="1:11" s="5" customFormat="1" ht="15" customHeight="1" x14ac:dyDescent="0.2">
      <c r="A1202" s="20"/>
      <c r="B1202" s="14" t="str">
        <f>IF(A1202="","",_xlfn.XLOOKUP(A1202,'DISPATCH SHEET'!B$3:B$121,'DISPATCH SHEET'!C$3:C$121,""))</f>
        <v/>
      </c>
      <c r="C1202" s="14" t="str">
        <f>IF(ISBLANK(A1202),"",_xlfn.XLOOKUP(A1202,'DISPATCH SHEET'!C$3:C$121,'DISPATCH SHEET'!#REF!,""))</f>
        <v/>
      </c>
      <c r="D1202" s="21"/>
      <c r="E1202" s="21"/>
      <c r="F1202" s="21"/>
      <c r="G1202" s="21"/>
      <c r="H1202" s="21"/>
      <c r="I1202" s="21"/>
      <c r="J1202" s="21"/>
      <c r="K1202" s="22"/>
    </row>
    <row r="1203" spans="1:11" s="5" customFormat="1" ht="15" customHeight="1" x14ac:dyDescent="0.2">
      <c r="A1203" s="20"/>
      <c r="B1203" s="14" t="str">
        <f>IF(A1203="","",_xlfn.XLOOKUP(A1203,'DISPATCH SHEET'!B$3:B$121,'DISPATCH SHEET'!C$3:C$121,""))</f>
        <v/>
      </c>
      <c r="C1203" s="14" t="str">
        <f>IF(ISBLANK(A1203),"",_xlfn.XLOOKUP(A1203,'DISPATCH SHEET'!C$3:C$121,'DISPATCH SHEET'!#REF!,""))</f>
        <v/>
      </c>
      <c r="D1203" s="21"/>
      <c r="E1203" s="21"/>
      <c r="F1203" s="21"/>
      <c r="G1203" s="21"/>
      <c r="H1203" s="21"/>
      <c r="I1203" s="21"/>
      <c r="J1203" s="21"/>
      <c r="K1203" s="22"/>
    </row>
    <row r="1204" spans="1:11" s="5" customFormat="1" ht="15" customHeight="1" x14ac:dyDescent="0.2">
      <c r="A1204" s="20"/>
      <c r="B1204" s="14" t="str">
        <f>IF(A1204="","",_xlfn.XLOOKUP(A1204,'DISPATCH SHEET'!B$3:B$121,'DISPATCH SHEET'!C$3:C$121,""))</f>
        <v/>
      </c>
      <c r="C1204" s="14" t="str">
        <f>IF(ISBLANK(A1204),"",_xlfn.XLOOKUP(A1204,'DISPATCH SHEET'!C$3:C$121,'DISPATCH SHEET'!#REF!,""))</f>
        <v/>
      </c>
      <c r="D1204" s="21"/>
      <c r="E1204" s="21"/>
      <c r="F1204" s="21"/>
      <c r="G1204" s="21"/>
      <c r="H1204" s="21"/>
      <c r="I1204" s="21"/>
      <c r="J1204" s="21"/>
      <c r="K1204" s="22"/>
    </row>
    <row r="1205" spans="1:11" s="5" customFormat="1" ht="15" customHeight="1" x14ac:dyDescent="0.2">
      <c r="A1205" s="20"/>
      <c r="B1205" s="14" t="str">
        <f>IF(A1205="","",_xlfn.XLOOKUP(A1205,'DISPATCH SHEET'!B$3:B$121,'DISPATCH SHEET'!C$3:C$121,""))</f>
        <v/>
      </c>
      <c r="C1205" s="14" t="str">
        <f>IF(ISBLANK(A1205),"",_xlfn.XLOOKUP(A1205,'DISPATCH SHEET'!C$3:C$121,'DISPATCH SHEET'!#REF!,""))</f>
        <v/>
      </c>
      <c r="D1205" s="21"/>
      <c r="E1205" s="21"/>
      <c r="F1205" s="21"/>
      <c r="G1205" s="21"/>
      <c r="H1205" s="21"/>
      <c r="I1205" s="21"/>
      <c r="J1205" s="21"/>
      <c r="K1205" s="22"/>
    </row>
    <row r="1206" spans="1:11" s="5" customFormat="1" ht="15" customHeight="1" x14ac:dyDescent="0.2">
      <c r="A1206" s="20"/>
      <c r="B1206" s="14" t="str">
        <f>IF(A1206="","",_xlfn.XLOOKUP(A1206,'DISPATCH SHEET'!B$3:B$121,'DISPATCH SHEET'!C$3:C$121,""))</f>
        <v/>
      </c>
      <c r="C1206" s="14" t="str">
        <f>IF(ISBLANK(A1206),"",_xlfn.XLOOKUP(A1206,'DISPATCH SHEET'!C$3:C$121,'DISPATCH SHEET'!#REF!,""))</f>
        <v/>
      </c>
      <c r="D1206" s="21"/>
      <c r="E1206" s="21"/>
      <c r="F1206" s="21"/>
      <c r="G1206" s="21"/>
      <c r="H1206" s="21"/>
      <c r="I1206" s="21"/>
      <c r="J1206" s="21"/>
      <c r="K1206" s="22"/>
    </row>
    <row r="1207" spans="1:11" s="5" customFormat="1" ht="15" customHeight="1" x14ac:dyDescent="0.2">
      <c r="A1207" s="20"/>
      <c r="B1207" s="14" t="str">
        <f>IF(A1207="","",_xlfn.XLOOKUP(A1207,'DISPATCH SHEET'!B$3:B$121,'DISPATCH SHEET'!C$3:C$121,""))</f>
        <v/>
      </c>
      <c r="C1207" s="14" t="str">
        <f>IF(ISBLANK(A1207),"",_xlfn.XLOOKUP(A1207,'DISPATCH SHEET'!C$3:C$121,'DISPATCH SHEET'!#REF!,""))</f>
        <v/>
      </c>
      <c r="D1207" s="21"/>
      <c r="E1207" s="21"/>
      <c r="F1207" s="21"/>
      <c r="G1207" s="21"/>
      <c r="H1207" s="21"/>
      <c r="I1207" s="21"/>
      <c r="J1207" s="21"/>
      <c r="K1207" s="22"/>
    </row>
    <row r="1208" spans="1:11" s="5" customFormat="1" ht="15" customHeight="1" x14ac:dyDescent="0.2">
      <c r="A1208" s="20"/>
      <c r="B1208" s="14" t="str">
        <f>IF(A1208="","",_xlfn.XLOOKUP(A1208,'DISPATCH SHEET'!B$3:B$121,'DISPATCH SHEET'!C$3:C$121,""))</f>
        <v/>
      </c>
      <c r="C1208" s="14" t="str">
        <f>IF(ISBLANK(A1208),"",_xlfn.XLOOKUP(A1208,'DISPATCH SHEET'!C$3:C$121,'DISPATCH SHEET'!#REF!,""))</f>
        <v/>
      </c>
      <c r="D1208" s="21"/>
      <c r="E1208" s="21"/>
      <c r="F1208" s="21"/>
      <c r="G1208" s="21"/>
      <c r="H1208" s="21"/>
      <c r="I1208" s="21"/>
      <c r="J1208" s="21"/>
      <c r="K1208" s="22"/>
    </row>
    <row r="1209" spans="1:11" s="5" customFormat="1" ht="15" customHeight="1" x14ac:dyDescent="0.2">
      <c r="A1209" s="20"/>
      <c r="B1209" s="14" t="str">
        <f>IF(A1209="","",_xlfn.XLOOKUP(A1209,'DISPATCH SHEET'!B$3:B$121,'DISPATCH SHEET'!C$3:C$121,""))</f>
        <v/>
      </c>
      <c r="C1209" s="14" t="str">
        <f>IF(ISBLANK(A1209),"",_xlfn.XLOOKUP(A1209,'DISPATCH SHEET'!C$3:C$121,'DISPATCH SHEET'!#REF!,""))</f>
        <v/>
      </c>
      <c r="D1209" s="21"/>
      <c r="E1209" s="21"/>
      <c r="F1209" s="21"/>
      <c r="G1209" s="21"/>
      <c r="H1209" s="21"/>
      <c r="I1209" s="21"/>
      <c r="J1209" s="21"/>
      <c r="K1209" s="22"/>
    </row>
    <row r="1210" spans="1:11" s="5" customFormat="1" ht="15" customHeight="1" x14ac:dyDescent="0.2">
      <c r="A1210" s="20"/>
      <c r="B1210" s="14" t="str">
        <f>IF(A1210="","",_xlfn.XLOOKUP(A1210,'DISPATCH SHEET'!B$3:B$121,'DISPATCH SHEET'!C$3:C$121,""))</f>
        <v/>
      </c>
      <c r="C1210" s="14" t="str">
        <f>IF(ISBLANK(A1210),"",_xlfn.XLOOKUP(A1210,'DISPATCH SHEET'!C$3:C$121,'DISPATCH SHEET'!#REF!,""))</f>
        <v/>
      </c>
      <c r="D1210" s="21"/>
      <c r="E1210" s="21"/>
      <c r="F1210" s="21"/>
      <c r="G1210" s="21"/>
      <c r="H1210" s="21"/>
      <c r="I1210" s="21"/>
      <c r="J1210" s="21"/>
      <c r="K1210" s="22"/>
    </row>
    <row r="1211" spans="1:11" s="5" customFormat="1" ht="15" customHeight="1" x14ac:dyDescent="0.2">
      <c r="A1211" s="20"/>
      <c r="B1211" s="14" t="str">
        <f>IF(A1211="","",_xlfn.XLOOKUP(A1211,'DISPATCH SHEET'!B$3:B$121,'DISPATCH SHEET'!C$3:C$121,""))</f>
        <v/>
      </c>
      <c r="C1211" s="14" t="str">
        <f>IF(ISBLANK(A1211),"",_xlfn.XLOOKUP(A1211,'DISPATCH SHEET'!C$3:C$121,'DISPATCH SHEET'!#REF!,""))</f>
        <v/>
      </c>
      <c r="D1211" s="21"/>
      <c r="E1211" s="21"/>
      <c r="F1211" s="21"/>
      <c r="G1211" s="21"/>
      <c r="H1211" s="21"/>
      <c r="I1211" s="21"/>
      <c r="J1211" s="21"/>
      <c r="K1211" s="22"/>
    </row>
    <row r="1212" spans="1:11" s="5" customFormat="1" ht="15" customHeight="1" x14ac:dyDescent="0.2">
      <c r="A1212" s="20"/>
      <c r="B1212" s="14" t="str">
        <f>IF(A1212="","",_xlfn.XLOOKUP(A1212,'DISPATCH SHEET'!B$3:B$121,'DISPATCH SHEET'!C$3:C$121,""))</f>
        <v/>
      </c>
      <c r="C1212" s="14" t="str">
        <f>IF(ISBLANK(A1212),"",_xlfn.XLOOKUP(A1212,'DISPATCH SHEET'!C$3:C$121,'DISPATCH SHEET'!#REF!,""))</f>
        <v/>
      </c>
      <c r="D1212" s="21"/>
      <c r="E1212" s="21"/>
      <c r="F1212" s="21"/>
      <c r="G1212" s="21"/>
      <c r="H1212" s="21"/>
      <c r="I1212" s="21"/>
      <c r="J1212" s="21"/>
      <c r="K1212" s="22"/>
    </row>
    <row r="1213" spans="1:11" s="5" customFormat="1" ht="15" customHeight="1" x14ac:dyDescent="0.2">
      <c r="A1213" s="20"/>
      <c r="B1213" s="14" t="str">
        <f>IF(A1213="","",_xlfn.XLOOKUP(A1213,'DISPATCH SHEET'!B$3:B$121,'DISPATCH SHEET'!C$3:C$121,""))</f>
        <v/>
      </c>
      <c r="C1213" s="14" t="str">
        <f>IF(ISBLANK(A1213),"",_xlfn.XLOOKUP(A1213,'DISPATCH SHEET'!C$3:C$121,'DISPATCH SHEET'!#REF!,""))</f>
        <v/>
      </c>
      <c r="D1213" s="21"/>
      <c r="E1213" s="21"/>
      <c r="F1213" s="21"/>
      <c r="G1213" s="21"/>
      <c r="H1213" s="21"/>
      <c r="I1213" s="21"/>
      <c r="J1213" s="21"/>
      <c r="K1213" s="22"/>
    </row>
    <row r="1214" spans="1:11" s="5" customFormat="1" ht="15" customHeight="1" x14ac:dyDescent="0.2">
      <c r="A1214" s="20"/>
      <c r="B1214" s="14" t="str">
        <f>IF(A1214="","",_xlfn.XLOOKUP(A1214,'DISPATCH SHEET'!B$3:B$121,'DISPATCH SHEET'!C$3:C$121,""))</f>
        <v/>
      </c>
      <c r="C1214" s="14" t="str">
        <f>IF(ISBLANK(A1214),"",_xlfn.XLOOKUP(A1214,'DISPATCH SHEET'!C$3:C$121,'DISPATCH SHEET'!#REF!,""))</f>
        <v/>
      </c>
      <c r="D1214" s="21"/>
      <c r="E1214" s="21"/>
      <c r="F1214" s="21"/>
      <c r="G1214" s="21"/>
      <c r="H1214" s="21"/>
      <c r="I1214" s="21"/>
      <c r="J1214" s="21"/>
      <c r="K1214" s="22"/>
    </row>
    <row r="1215" spans="1:11" s="5" customFormat="1" ht="15" customHeight="1" x14ac:dyDescent="0.2">
      <c r="A1215" s="20"/>
      <c r="B1215" s="14" t="str">
        <f>IF(A1215="","",_xlfn.XLOOKUP(A1215,'DISPATCH SHEET'!B$3:B$121,'DISPATCH SHEET'!C$3:C$121,""))</f>
        <v/>
      </c>
      <c r="C1215" s="14" t="str">
        <f>IF(ISBLANK(A1215),"",_xlfn.XLOOKUP(A1215,'DISPATCH SHEET'!C$3:C$121,'DISPATCH SHEET'!#REF!,""))</f>
        <v/>
      </c>
      <c r="D1215" s="21"/>
      <c r="E1215" s="21"/>
      <c r="F1215" s="21"/>
      <c r="G1215" s="21"/>
      <c r="H1215" s="21"/>
      <c r="I1215" s="21"/>
      <c r="J1215" s="21"/>
      <c r="K1215" s="22"/>
    </row>
    <row r="1216" spans="1:11" s="5" customFormat="1" ht="15" customHeight="1" x14ac:dyDescent="0.2">
      <c r="A1216" s="20"/>
      <c r="B1216" s="14" t="str">
        <f>IF(A1216="","",_xlfn.XLOOKUP(A1216,'DISPATCH SHEET'!B$3:B$121,'DISPATCH SHEET'!C$3:C$121,""))</f>
        <v/>
      </c>
      <c r="C1216" s="14" t="str">
        <f>IF(ISBLANK(A1216),"",_xlfn.XLOOKUP(A1216,'DISPATCH SHEET'!C$3:C$121,'DISPATCH SHEET'!#REF!,""))</f>
        <v/>
      </c>
      <c r="D1216" s="21"/>
      <c r="E1216" s="21"/>
      <c r="F1216" s="21"/>
      <c r="G1216" s="21"/>
      <c r="H1216" s="21"/>
      <c r="I1216" s="21"/>
      <c r="J1216" s="21"/>
      <c r="K1216" s="22"/>
    </row>
    <row r="1217" spans="1:11" s="5" customFormat="1" ht="15" customHeight="1" x14ac:dyDescent="0.2">
      <c r="A1217" s="20"/>
      <c r="B1217" s="14" t="str">
        <f>IF(A1217="","",_xlfn.XLOOKUP(A1217,'DISPATCH SHEET'!B$3:B$121,'DISPATCH SHEET'!C$3:C$121,""))</f>
        <v/>
      </c>
      <c r="C1217" s="14" t="str">
        <f>IF(ISBLANK(A1217),"",_xlfn.XLOOKUP(A1217,'DISPATCH SHEET'!C$3:C$121,'DISPATCH SHEET'!#REF!,""))</f>
        <v/>
      </c>
      <c r="D1217" s="21"/>
      <c r="E1217" s="21"/>
      <c r="F1217" s="21"/>
      <c r="G1217" s="21"/>
      <c r="H1217" s="21"/>
      <c r="I1217" s="21"/>
      <c r="J1217" s="21"/>
      <c r="K1217" s="22"/>
    </row>
    <row r="1218" spans="1:11" s="5" customFormat="1" ht="15" customHeight="1" x14ac:dyDescent="0.2">
      <c r="A1218" s="20"/>
      <c r="B1218" s="14" t="str">
        <f>IF(A1218="","",_xlfn.XLOOKUP(A1218,'DISPATCH SHEET'!B$3:B$121,'DISPATCH SHEET'!C$3:C$121,""))</f>
        <v/>
      </c>
      <c r="C1218" s="14" t="str">
        <f>IF(ISBLANK(A1218),"",_xlfn.XLOOKUP(A1218,'DISPATCH SHEET'!C$3:C$121,'DISPATCH SHEET'!#REF!,""))</f>
        <v/>
      </c>
      <c r="D1218" s="21"/>
      <c r="E1218" s="21"/>
      <c r="F1218" s="21"/>
      <c r="G1218" s="21"/>
      <c r="H1218" s="21"/>
      <c r="I1218" s="21"/>
      <c r="J1218" s="21"/>
      <c r="K1218" s="22"/>
    </row>
    <row r="1219" spans="1:11" s="5" customFormat="1" ht="15" customHeight="1" x14ac:dyDescent="0.2">
      <c r="A1219" s="20"/>
      <c r="B1219" s="14" t="str">
        <f>IF(A1219="","",_xlfn.XLOOKUP(A1219,'DISPATCH SHEET'!B$3:B$121,'DISPATCH SHEET'!C$3:C$121,""))</f>
        <v/>
      </c>
      <c r="C1219" s="14" t="str">
        <f>IF(ISBLANK(A1219),"",_xlfn.XLOOKUP(A1219,'DISPATCH SHEET'!C$3:C$121,'DISPATCH SHEET'!#REF!,""))</f>
        <v/>
      </c>
      <c r="D1219" s="21"/>
      <c r="E1219" s="21"/>
      <c r="F1219" s="21"/>
      <c r="G1219" s="21"/>
      <c r="H1219" s="21"/>
      <c r="I1219" s="21"/>
      <c r="J1219" s="21"/>
      <c r="K1219" s="22"/>
    </row>
    <row r="1220" spans="1:11" s="5" customFormat="1" ht="15" customHeight="1" x14ac:dyDescent="0.2">
      <c r="A1220" s="20"/>
      <c r="B1220" s="14" t="str">
        <f>IF(A1220="","",_xlfn.XLOOKUP(A1220,'DISPATCH SHEET'!B$3:B$121,'DISPATCH SHEET'!C$3:C$121,""))</f>
        <v/>
      </c>
      <c r="C1220" s="14" t="str">
        <f>IF(ISBLANK(A1220),"",_xlfn.XLOOKUP(A1220,'DISPATCH SHEET'!C$3:C$121,'DISPATCH SHEET'!#REF!,""))</f>
        <v/>
      </c>
      <c r="D1220" s="21"/>
      <c r="E1220" s="21"/>
      <c r="F1220" s="21"/>
      <c r="G1220" s="21"/>
      <c r="H1220" s="21"/>
      <c r="I1220" s="21"/>
      <c r="J1220" s="21"/>
      <c r="K1220" s="22"/>
    </row>
    <row r="1221" spans="1:11" s="5" customFormat="1" ht="15" customHeight="1" x14ac:dyDescent="0.2">
      <c r="A1221" s="20"/>
      <c r="B1221" s="14" t="str">
        <f>IF(A1221="","",_xlfn.XLOOKUP(A1221,'DISPATCH SHEET'!B$3:B$121,'DISPATCH SHEET'!C$3:C$121,""))</f>
        <v/>
      </c>
      <c r="C1221" s="14" t="str">
        <f>IF(ISBLANK(A1221),"",_xlfn.XLOOKUP(A1221,'DISPATCH SHEET'!C$3:C$121,'DISPATCH SHEET'!#REF!,""))</f>
        <v/>
      </c>
      <c r="D1221" s="21"/>
      <c r="E1221" s="21"/>
      <c r="F1221" s="21"/>
      <c r="G1221" s="21"/>
      <c r="H1221" s="21"/>
      <c r="I1221" s="21"/>
      <c r="J1221" s="21"/>
      <c r="K1221" s="22"/>
    </row>
    <row r="1222" spans="1:11" s="5" customFormat="1" ht="15" customHeight="1" x14ac:dyDescent="0.2">
      <c r="A1222" s="20"/>
      <c r="B1222" s="14" t="str">
        <f>IF(A1222="","",_xlfn.XLOOKUP(A1222,'DISPATCH SHEET'!B$3:B$121,'DISPATCH SHEET'!C$3:C$121,""))</f>
        <v/>
      </c>
      <c r="C1222" s="14" t="str">
        <f>IF(ISBLANK(A1222),"",_xlfn.XLOOKUP(A1222,'DISPATCH SHEET'!C$3:C$121,'DISPATCH SHEET'!#REF!,""))</f>
        <v/>
      </c>
      <c r="D1222" s="21"/>
      <c r="E1222" s="21"/>
      <c r="F1222" s="21"/>
      <c r="G1222" s="21"/>
      <c r="H1222" s="21"/>
      <c r="I1222" s="21"/>
      <c r="J1222" s="21"/>
      <c r="K1222" s="22"/>
    </row>
    <row r="1223" spans="1:11" s="5" customFormat="1" ht="15" customHeight="1" x14ac:dyDescent="0.2">
      <c r="A1223" s="20"/>
      <c r="B1223" s="14" t="str">
        <f>IF(A1223="","",_xlfn.XLOOKUP(A1223,'DISPATCH SHEET'!B$3:B$121,'DISPATCH SHEET'!C$3:C$121,""))</f>
        <v/>
      </c>
      <c r="C1223" s="14" t="str">
        <f>IF(ISBLANK(A1223),"",_xlfn.XLOOKUP(A1223,'DISPATCH SHEET'!C$3:C$121,'DISPATCH SHEET'!#REF!,""))</f>
        <v/>
      </c>
      <c r="D1223" s="21"/>
      <c r="E1223" s="21"/>
      <c r="F1223" s="21"/>
      <c r="G1223" s="21"/>
      <c r="H1223" s="21"/>
      <c r="I1223" s="21"/>
      <c r="J1223" s="21"/>
      <c r="K1223" s="22"/>
    </row>
    <row r="1224" spans="1:11" s="5" customFormat="1" ht="15" customHeight="1" x14ac:dyDescent="0.2">
      <c r="A1224" s="20"/>
      <c r="B1224" s="14" t="str">
        <f>IF(A1224="","",_xlfn.XLOOKUP(A1224,'DISPATCH SHEET'!B$3:B$121,'DISPATCH SHEET'!C$3:C$121,""))</f>
        <v/>
      </c>
      <c r="C1224" s="14" t="str">
        <f>IF(ISBLANK(A1224),"",_xlfn.XLOOKUP(A1224,'DISPATCH SHEET'!C$3:C$121,'DISPATCH SHEET'!#REF!,""))</f>
        <v/>
      </c>
      <c r="D1224" s="21"/>
      <c r="E1224" s="21"/>
      <c r="F1224" s="21"/>
      <c r="G1224" s="21"/>
      <c r="H1224" s="21"/>
      <c r="I1224" s="21"/>
      <c r="J1224" s="21"/>
      <c r="K1224" s="22"/>
    </row>
    <row r="1225" spans="1:11" s="5" customFormat="1" ht="15" customHeight="1" x14ac:dyDescent="0.2">
      <c r="A1225" s="20"/>
      <c r="B1225" s="14" t="str">
        <f>IF(A1225="","",_xlfn.XLOOKUP(A1225,'DISPATCH SHEET'!B$3:B$121,'DISPATCH SHEET'!C$3:C$121,""))</f>
        <v/>
      </c>
      <c r="C1225" s="14" t="str">
        <f>IF(ISBLANK(A1225),"",_xlfn.XLOOKUP(A1225,'DISPATCH SHEET'!C$3:C$121,'DISPATCH SHEET'!#REF!,""))</f>
        <v/>
      </c>
      <c r="D1225" s="21"/>
      <c r="E1225" s="21"/>
      <c r="F1225" s="21"/>
      <c r="G1225" s="21"/>
      <c r="H1225" s="21"/>
      <c r="I1225" s="21"/>
      <c r="J1225" s="21"/>
      <c r="K1225" s="22"/>
    </row>
    <row r="1226" spans="1:11" s="5" customFormat="1" ht="15" customHeight="1" x14ac:dyDescent="0.2">
      <c r="A1226" s="20"/>
      <c r="B1226" s="14" t="str">
        <f>IF(A1226="","",_xlfn.XLOOKUP(A1226,'DISPATCH SHEET'!B$3:B$121,'DISPATCH SHEET'!C$3:C$121,""))</f>
        <v/>
      </c>
      <c r="C1226" s="14" t="str">
        <f>IF(ISBLANK(A1226),"",_xlfn.XLOOKUP(A1226,'DISPATCH SHEET'!C$3:C$121,'DISPATCH SHEET'!#REF!,""))</f>
        <v/>
      </c>
      <c r="D1226" s="21"/>
      <c r="E1226" s="21"/>
      <c r="F1226" s="21"/>
      <c r="G1226" s="21"/>
      <c r="H1226" s="21"/>
      <c r="I1226" s="21"/>
      <c r="J1226" s="21"/>
      <c r="K1226" s="22"/>
    </row>
    <row r="1227" spans="1:11" s="5" customFormat="1" ht="15" customHeight="1" x14ac:dyDescent="0.2">
      <c r="A1227" s="20"/>
      <c r="B1227" s="14" t="str">
        <f>IF(A1227="","",_xlfn.XLOOKUP(A1227,'DISPATCH SHEET'!B$3:B$121,'DISPATCH SHEET'!C$3:C$121,""))</f>
        <v/>
      </c>
      <c r="C1227" s="14" t="str">
        <f>IF(ISBLANK(A1227),"",_xlfn.XLOOKUP(A1227,'DISPATCH SHEET'!C$3:C$121,'DISPATCH SHEET'!#REF!,""))</f>
        <v/>
      </c>
      <c r="D1227" s="21"/>
      <c r="E1227" s="21"/>
      <c r="F1227" s="21"/>
      <c r="G1227" s="21"/>
      <c r="H1227" s="21"/>
      <c r="I1227" s="21"/>
      <c r="J1227" s="21"/>
      <c r="K1227" s="22"/>
    </row>
    <row r="1228" spans="1:11" s="5" customFormat="1" ht="15" customHeight="1" x14ac:dyDescent="0.2">
      <c r="A1228" s="20"/>
      <c r="B1228" s="14" t="str">
        <f>IF(A1228="","",_xlfn.XLOOKUP(A1228,'DISPATCH SHEET'!B$3:B$121,'DISPATCH SHEET'!C$3:C$121,""))</f>
        <v/>
      </c>
      <c r="C1228" s="14" t="str">
        <f>IF(ISBLANK(A1228),"",_xlfn.XLOOKUP(A1228,'DISPATCH SHEET'!C$3:C$121,'DISPATCH SHEET'!#REF!,""))</f>
        <v/>
      </c>
      <c r="D1228" s="21"/>
      <c r="E1228" s="21"/>
      <c r="F1228" s="21"/>
      <c r="G1228" s="21"/>
      <c r="H1228" s="21"/>
      <c r="I1228" s="21"/>
      <c r="J1228" s="21"/>
      <c r="K1228" s="22"/>
    </row>
    <row r="1229" spans="1:11" s="5" customFormat="1" ht="15" customHeight="1" x14ac:dyDescent="0.2">
      <c r="A1229" s="20"/>
      <c r="B1229" s="14" t="str">
        <f>IF(A1229="","",_xlfn.XLOOKUP(A1229,'DISPATCH SHEET'!B$3:B$121,'DISPATCH SHEET'!C$3:C$121,""))</f>
        <v/>
      </c>
      <c r="C1229" s="14" t="str">
        <f>IF(ISBLANK(A1229),"",_xlfn.XLOOKUP(A1229,'DISPATCH SHEET'!C$3:C$121,'DISPATCH SHEET'!#REF!,""))</f>
        <v/>
      </c>
      <c r="D1229" s="21"/>
      <c r="E1229" s="21"/>
      <c r="F1229" s="21"/>
      <c r="G1229" s="21"/>
      <c r="H1229" s="21"/>
      <c r="I1229" s="21"/>
      <c r="J1229" s="21"/>
      <c r="K1229" s="22"/>
    </row>
    <row r="1230" spans="1:11" s="5" customFormat="1" ht="15" customHeight="1" x14ac:dyDescent="0.2">
      <c r="A1230" s="20"/>
      <c r="B1230" s="14" t="str">
        <f>IF(A1230="","",_xlfn.XLOOKUP(A1230,'DISPATCH SHEET'!B$3:B$121,'DISPATCH SHEET'!C$3:C$121,""))</f>
        <v/>
      </c>
      <c r="C1230" s="14" t="str">
        <f>IF(ISBLANK(A1230),"",_xlfn.XLOOKUP(A1230,'DISPATCH SHEET'!C$3:C$121,'DISPATCH SHEET'!#REF!,""))</f>
        <v/>
      </c>
      <c r="D1230" s="21"/>
      <c r="E1230" s="21"/>
      <c r="F1230" s="21"/>
      <c r="G1230" s="21"/>
      <c r="H1230" s="21"/>
      <c r="I1230" s="21"/>
      <c r="J1230" s="21"/>
      <c r="K1230" s="22"/>
    </row>
    <row r="1231" spans="1:11" s="5" customFormat="1" ht="15" customHeight="1" x14ac:dyDescent="0.2">
      <c r="A1231" s="20"/>
      <c r="B1231" s="14" t="str">
        <f>IF(A1231="","",_xlfn.XLOOKUP(A1231,'DISPATCH SHEET'!B$3:B$121,'DISPATCH SHEET'!C$3:C$121,""))</f>
        <v/>
      </c>
      <c r="C1231" s="14" t="str">
        <f>IF(ISBLANK(A1231),"",_xlfn.XLOOKUP(A1231,'DISPATCH SHEET'!C$3:C$121,'DISPATCH SHEET'!#REF!,""))</f>
        <v/>
      </c>
      <c r="D1231" s="21"/>
      <c r="E1231" s="21"/>
      <c r="F1231" s="21"/>
      <c r="G1231" s="21"/>
      <c r="H1231" s="21"/>
      <c r="I1231" s="21"/>
      <c r="J1231" s="21"/>
      <c r="K1231" s="22"/>
    </row>
    <row r="1232" spans="1:11" s="5" customFormat="1" ht="15" customHeight="1" x14ac:dyDescent="0.2">
      <c r="A1232" s="20"/>
      <c r="B1232" s="14" t="str">
        <f>IF(A1232="","",_xlfn.XLOOKUP(A1232,'DISPATCH SHEET'!B$3:B$121,'DISPATCH SHEET'!C$3:C$121,""))</f>
        <v/>
      </c>
      <c r="C1232" s="14" t="str">
        <f>IF(ISBLANK(A1232),"",_xlfn.XLOOKUP(A1232,'DISPATCH SHEET'!C$3:C$121,'DISPATCH SHEET'!#REF!,""))</f>
        <v/>
      </c>
      <c r="D1232" s="21"/>
      <c r="E1232" s="21"/>
      <c r="F1232" s="21"/>
      <c r="G1232" s="21"/>
      <c r="H1232" s="21"/>
      <c r="I1232" s="21"/>
      <c r="J1232" s="21"/>
      <c r="K1232" s="22"/>
    </row>
    <row r="1233" spans="1:11" s="5" customFormat="1" ht="15" customHeight="1" x14ac:dyDescent="0.2">
      <c r="A1233" s="20"/>
      <c r="B1233" s="14" t="str">
        <f>IF(A1233="","",_xlfn.XLOOKUP(A1233,'DISPATCH SHEET'!B$3:B$121,'DISPATCH SHEET'!C$3:C$121,""))</f>
        <v/>
      </c>
      <c r="C1233" s="14" t="str">
        <f>IF(ISBLANK(A1233),"",_xlfn.XLOOKUP(A1233,'DISPATCH SHEET'!C$3:C$121,'DISPATCH SHEET'!#REF!,""))</f>
        <v/>
      </c>
      <c r="D1233" s="21"/>
      <c r="E1233" s="21"/>
      <c r="F1233" s="21"/>
      <c r="G1233" s="21"/>
      <c r="H1233" s="21"/>
      <c r="I1233" s="21"/>
      <c r="J1233" s="21"/>
      <c r="K1233" s="22"/>
    </row>
    <row r="1234" spans="1:11" s="5" customFormat="1" ht="15" customHeight="1" x14ac:dyDescent="0.2">
      <c r="A1234" s="20"/>
      <c r="B1234" s="14" t="str">
        <f>IF(A1234="","",_xlfn.XLOOKUP(A1234,'DISPATCH SHEET'!B$3:B$121,'DISPATCH SHEET'!C$3:C$121,""))</f>
        <v/>
      </c>
      <c r="C1234" s="14" t="str">
        <f>IF(ISBLANK(A1234),"",_xlfn.XLOOKUP(A1234,'DISPATCH SHEET'!C$3:C$121,'DISPATCH SHEET'!#REF!,""))</f>
        <v/>
      </c>
      <c r="D1234" s="21"/>
      <c r="E1234" s="21"/>
      <c r="F1234" s="21"/>
      <c r="G1234" s="21"/>
      <c r="H1234" s="21"/>
      <c r="I1234" s="21"/>
      <c r="J1234" s="21"/>
      <c r="K1234" s="22"/>
    </row>
    <row r="1235" spans="1:11" s="5" customFormat="1" ht="15" customHeight="1" x14ac:dyDescent="0.2">
      <c r="A1235" s="20"/>
      <c r="B1235" s="14" t="str">
        <f>IF(A1235="","",_xlfn.XLOOKUP(A1235,'DISPATCH SHEET'!B$3:B$121,'DISPATCH SHEET'!C$3:C$121,""))</f>
        <v/>
      </c>
      <c r="C1235" s="14" t="str">
        <f>IF(ISBLANK(A1235),"",_xlfn.XLOOKUP(A1235,'DISPATCH SHEET'!C$3:C$121,'DISPATCH SHEET'!#REF!,""))</f>
        <v/>
      </c>
      <c r="D1235" s="21"/>
      <c r="E1235" s="21"/>
      <c r="F1235" s="21"/>
      <c r="G1235" s="21"/>
      <c r="H1235" s="21"/>
      <c r="I1235" s="21"/>
      <c r="J1235" s="21"/>
      <c r="K1235" s="22"/>
    </row>
    <row r="1236" spans="1:11" s="5" customFormat="1" ht="15" customHeight="1" x14ac:dyDescent="0.2">
      <c r="A1236" s="20"/>
      <c r="B1236" s="14" t="str">
        <f>IF(A1236="","",_xlfn.XLOOKUP(A1236,'DISPATCH SHEET'!B$3:B$121,'DISPATCH SHEET'!C$3:C$121,""))</f>
        <v/>
      </c>
      <c r="C1236" s="14" t="str">
        <f>IF(ISBLANK(A1236),"",_xlfn.XLOOKUP(A1236,'DISPATCH SHEET'!C$3:C$121,'DISPATCH SHEET'!#REF!,""))</f>
        <v/>
      </c>
      <c r="D1236" s="21"/>
      <c r="E1236" s="21"/>
      <c r="F1236" s="21"/>
      <c r="G1236" s="21"/>
      <c r="H1236" s="21"/>
      <c r="I1236" s="21"/>
      <c r="J1236" s="21"/>
      <c r="K1236" s="22"/>
    </row>
    <row r="1237" spans="1:11" s="5" customFormat="1" ht="15" customHeight="1" x14ac:dyDescent="0.2">
      <c r="A1237" s="20"/>
      <c r="B1237" s="14" t="str">
        <f>IF(A1237="","",_xlfn.XLOOKUP(A1237,'DISPATCH SHEET'!B$3:B$121,'DISPATCH SHEET'!C$3:C$121,""))</f>
        <v/>
      </c>
      <c r="C1237" s="14" t="str">
        <f>IF(ISBLANK(A1237),"",_xlfn.XLOOKUP(A1237,'DISPATCH SHEET'!C$3:C$121,'DISPATCH SHEET'!#REF!,""))</f>
        <v/>
      </c>
      <c r="D1237" s="21"/>
      <c r="E1237" s="21"/>
      <c r="F1237" s="21"/>
      <c r="G1237" s="21"/>
      <c r="H1237" s="21"/>
      <c r="I1237" s="21"/>
      <c r="J1237" s="21"/>
      <c r="K1237" s="22"/>
    </row>
    <row r="1238" spans="1:11" s="5" customFormat="1" ht="15" customHeight="1" x14ac:dyDescent="0.2">
      <c r="A1238" s="20"/>
      <c r="B1238" s="14" t="str">
        <f>IF(A1238="","",_xlfn.XLOOKUP(A1238,'DISPATCH SHEET'!B$3:B$121,'DISPATCH SHEET'!C$3:C$121,""))</f>
        <v/>
      </c>
      <c r="C1238" s="14" t="str">
        <f>IF(ISBLANK(A1238),"",_xlfn.XLOOKUP(A1238,'DISPATCH SHEET'!C$3:C$121,'DISPATCH SHEET'!#REF!,""))</f>
        <v/>
      </c>
      <c r="D1238" s="21"/>
      <c r="E1238" s="21"/>
      <c r="F1238" s="21"/>
      <c r="G1238" s="21"/>
      <c r="H1238" s="21"/>
      <c r="I1238" s="21"/>
      <c r="J1238" s="21"/>
      <c r="K1238" s="22"/>
    </row>
    <row r="1239" spans="1:11" s="5" customFormat="1" ht="15" customHeight="1" x14ac:dyDescent="0.2">
      <c r="A1239" s="20"/>
      <c r="B1239" s="14" t="str">
        <f>IF(A1239="","",_xlfn.XLOOKUP(A1239,'DISPATCH SHEET'!B$3:B$121,'DISPATCH SHEET'!C$3:C$121,""))</f>
        <v/>
      </c>
      <c r="C1239" s="14" t="str">
        <f>IF(ISBLANK(A1239),"",_xlfn.XLOOKUP(A1239,'DISPATCH SHEET'!C$3:C$121,'DISPATCH SHEET'!#REF!,""))</f>
        <v/>
      </c>
      <c r="D1239" s="21"/>
      <c r="E1239" s="21"/>
      <c r="F1239" s="21"/>
      <c r="G1239" s="21"/>
      <c r="H1239" s="21"/>
      <c r="I1239" s="21"/>
      <c r="J1239" s="21"/>
      <c r="K1239" s="22"/>
    </row>
    <row r="1240" spans="1:11" s="5" customFormat="1" ht="15" customHeight="1" x14ac:dyDescent="0.2">
      <c r="A1240" s="20"/>
      <c r="B1240" s="14" t="str">
        <f>IF(A1240="","",_xlfn.XLOOKUP(A1240,'DISPATCH SHEET'!B$3:B$121,'DISPATCH SHEET'!C$3:C$121,""))</f>
        <v/>
      </c>
      <c r="C1240" s="14" t="str">
        <f>IF(ISBLANK(A1240),"",_xlfn.XLOOKUP(A1240,'DISPATCH SHEET'!C$3:C$121,'DISPATCH SHEET'!#REF!,""))</f>
        <v/>
      </c>
      <c r="D1240" s="21"/>
      <c r="E1240" s="21"/>
      <c r="F1240" s="21"/>
      <c r="G1240" s="21"/>
      <c r="H1240" s="21"/>
      <c r="I1240" s="21"/>
      <c r="J1240" s="21"/>
      <c r="K1240" s="22"/>
    </row>
    <row r="1241" spans="1:11" s="5" customFormat="1" ht="15" customHeight="1" x14ac:dyDescent="0.2">
      <c r="A1241" s="20"/>
      <c r="B1241" s="14" t="str">
        <f>IF(A1241="","",_xlfn.XLOOKUP(A1241,'DISPATCH SHEET'!B$3:B$121,'DISPATCH SHEET'!C$3:C$121,""))</f>
        <v/>
      </c>
      <c r="C1241" s="14" t="str">
        <f>IF(ISBLANK(A1241),"",_xlfn.XLOOKUP(A1241,'DISPATCH SHEET'!C$3:C$121,'DISPATCH SHEET'!#REF!,""))</f>
        <v/>
      </c>
      <c r="D1241" s="21"/>
      <c r="E1241" s="21"/>
      <c r="F1241" s="21"/>
      <c r="G1241" s="21"/>
      <c r="H1241" s="21"/>
      <c r="I1241" s="21"/>
      <c r="J1241" s="21"/>
      <c r="K1241" s="22"/>
    </row>
    <row r="1242" spans="1:11" s="5" customFormat="1" ht="15" customHeight="1" x14ac:dyDescent="0.2">
      <c r="A1242" s="20"/>
      <c r="B1242" s="14" t="str">
        <f>IF(A1242="","",_xlfn.XLOOKUP(A1242,'DISPATCH SHEET'!B$3:B$121,'DISPATCH SHEET'!C$3:C$121,""))</f>
        <v/>
      </c>
      <c r="C1242" s="14" t="str">
        <f>IF(ISBLANK(A1242),"",_xlfn.XLOOKUP(A1242,'DISPATCH SHEET'!C$3:C$121,'DISPATCH SHEET'!#REF!,""))</f>
        <v/>
      </c>
      <c r="D1242" s="21"/>
      <c r="E1242" s="21"/>
      <c r="F1242" s="21"/>
      <c r="G1242" s="21"/>
      <c r="H1242" s="21"/>
      <c r="I1242" s="21"/>
      <c r="J1242" s="21"/>
      <c r="K1242" s="22"/>
    </row>
    <row r="1243" spans="1:11" s="5" customFormat="1" ht="15" customHeight="1" x14ac:dyDescent="0.2">
      <c r="A1243" s="20"/>
      <c r="B1243" s="14" t="str">
        <f>IF(A1243="","",_xlfn.XLOOKUP(A1243,'DISPATCH SHEET'!B$3:B$121,'DISPATCH SHEET'!C$3:C$121,""))</f>
        <v/>
      </c>
      <c r="C1243" s="14" t="str">
        <f>IF(ISBLANK(A1243),"",_xlfn.XLOOKUP(A1243,'DISPATCH SHEET'!C$3:C$121,'DISPATCH SHEET'!#REF!,""))</f>
        <v/>
      </c>
      <c r="D1243" s="21"/>
      <c r="E1243" s="21"/>
      <c r="F1243" s="21"/>
      <c r="G1243" s="21"/>
      <c r="H1243" s="21"/>
      <c r="I1243" s="21"/>
      <c r="J1243" s="21"/>
      <c r="K1243" s="22"/>
    </row>
    <row r="1244" spans="1:11" s="5" customFormat="1" ht="15" customHeight="1" x14ac:dyDescent="0.2">
      <c r="A1244" s="20"/>
      <c r="B1244" s="14" t="str">
        <f>IF(A1244="","",_xlfn.XLOOKUP(A1244,'DISPATCH SHEET'!B$3:B$121,'DISPATCH SHEET'!C$3:C$121,""))</f>
        <v/>
      </c>
      <c r="C1244" s="14" t="str">
        <f>IF(ISBLANK(A1244),"",_xlfn.XLOOKUP(A1244,'DISPATCH SHEET'!C$3:C$121,'DISPATCH SHEET'!#REF!,""))</f>
        <v/>
      </c>
      <c r="D1244" s="21"/>
      <c r="E1244" s="21"/>
      <c r="F1244" s="21"/>
      <c r="G1244" s="21"/>
      <c r="H1244" s="21"/>
      <c r="I1244" s="21"/>
      <c r="J1244" s="21"/>
      <c r="K1244" s="22"/>
    </row>
    <row r="1245" spans="1:11" s="5" customFormat="1" ht="15" customHeight="1" x14ac:dyDescent="0.2">
      <c r="A1245" s="20"/>
      <c r="B1245" s="14" t="str">
        <f>IF(A1245="","",_xlfn.XLOOKUP(A1245,'DISPATCH SHEET'!B$3:B$121,'DISPATCH SHEET'!C$3:C$121,""))</f>
        <v/>
      </c>
      <c r="C1245" s="14" t="str">
        <f>IF(ISBLANK(A1245),"",_xlfn.XLOOKUP(A1245,'DISPATCH SHEET'!C$3:C$121,'DISPATCH SHEET'!#REF!,""))</f>
        <v/>
      </c>
      <c r="D1245" s="21"/>
      <c r="E1245" s="21"/>
      <c r="F1245" s="21"/>
      <c r="G1245" s="21"/>
      <c r="H1245" s="21"/>
      <c r="I1245" s="21"/>
      <c r="J1245" s="21"/>
      <c r="K1245" s="22"/>
    </row>
    <row r="1246" spans="1:11" s="5" customFormat="1" ht="15" customHeight="1" x14ac:dyDescent="0.2">
      <c r="A1246" s="20"/>
      <c r="B1246" s="14" t="str">
        <f>IF(A1246="","",_xlfn.XLOOKUP(A1246,'DISPATCH SHEET'!B$3:B$121,'DISPATCH SHEET'!C$3:C$121,""))</f>
        <v/>
      </c>
      <c r="C1246" s="14" t="str">
        <f>IF(ISBLANK(A1246),"",_xlfn.XLOOKUP(A1246,'DISPATCH SHEET'!C$3:C$121,'DISPATCH SHEET'!#REF!,""))</f>
        <v/>
      </c>
      <c r="D1246" s="21"/>
      <c r="E1246" s="21"/>
      <c r="F1246" s="21"/>
      <c r="G1246" s="21"/>
      <c r="H1246" s="21"/>
      <c r="I1246" s="21"/>
      <c r="J1246" s="21"/>
      <c r="K1246" s="22"/>
    </row>
    <row r="1247" spans="1:11" s="5" customFormat="1" ht="15" customHeight="1" x14ac:dyDescent="0.2">
      <c r="A1247" s="20"/>
      <c r="B1247" s="14" t="str">
        <f>IF(A1247="","",_xlfn.XLOOKUP(A1247,'DISPATCH SHEET'!B$3:B$121,'DISPATCH SHEET'!C$3:C$121,""))</f>
        <v/>
      </c>
      <c r="C1247" s="14" t="str">
        <f>IF(ISBLANK(A1247),"",_xlfn.XLOOKUP(A1247,'DISPATCH SHEET'!C$3:C$121,'DISPATCH SHEET'!#REF!,""))</f>
        <v/>
      </c>
      <c r="D1247" s="21"/>
      <c r="E1247" s="21"/>
      <c r="F1247" s="21"/>
      <c r="G1247" s="21"/>
      <c r="H1247" s="21"/>
      <c r="I1247" s="21"/>
      <c r="J1247" s="21"/>
      <c r="K1247" s="22"/>
    </row>
    <row r="1248" spans="1:11" s="5" customFormat="1" ht="15" customHeight="1" x14ac:dyDescent="0.2">
      <c r="A1248" s="20"/>
      <c r="B1248" s="14" t="str">
        <f>IF(A1248="","",_xlfn.XLOOKUP(A1248,'DISPATCH SHEET'!B$3:B$121,'DISPATCH SHEET'!C$3:C$121,""))</f>
        <v/>
      </c>
      <c r="C1248" s="14" t="str">
        <f>IF(ISBLANK(A1248),"",_xlfn.XLOOKUP(A1248,'DISPATCH SHEET'!C$3:C$121,'DISPATCH SHEET'!#REF!,""))</f>
        <v/>
      </c>
      <c r="D1248" s="21"/>
      <c r="E1248" s="21"/>
      <c r="F1248" s="21"/>
      <c r="G1248" s="21"/>
      <c r="H1248" s="21"/>
      <c r="I1248" s="21"/>
      <c r="J1248" s="21"/>
      <c r="K1248" s="22"/>
    </row>
    <row r="1249" spans="1:11" s="5" customFormat="1" ht="15" customHeight="1" x14ac:dyDescent="0.2">
      <c r="A1249" s="20"/>
      <c r="B1249" s="14" t="str">
        <f>IF(A1249="","",_xlfn.XLOOKUP(A1249,'DISPATCH SHEET'!B$3:B$121,'DISPATCH SHEET'!C$3:C$121,""))</f>
        <v/>
      </c>
      <c r="C1249" s="14" t="str">
        <f>IF(ISBLANK(A1249),"",_xlfn.XLOOKUP(A1249,'DISPATCH SHEET'!C$3:C$121,'DISPATCH SHEET'!#REF!,""))</f>
        <v/>
      </c>
      <c r="D1249" s="21"/>
      <c r="E1249" s="21"/>
      <c r="F1249" s="21"/>
      <c r="G1249" s="21"/>
      <c r="H1249" s="21"/>
      <c r="I1249" s="21"/>
      <c r="J1249" s="21"/>
      <c r="K1249" s="22"/>
    </row>
    <row r="1250" spans="1:11" s="5" customFormat="1" ht="15" customHeight="1" x14ac:dyDescent="0.2">
      <c r="A1250" s="20"/>
      <c r="B1250" s="14" t="str">
        <f>IF(A1250="","",_xlfn.XLOOKUP(A1250,'DISPATCH SHEET'!B$3:B$121,'DISPATCH SHEET'!C$3:C$121,""))</f>
        <v/>
      </c>
      <c r="C1250" s="14" t="str">
        <f>IF(ISBLANK(A1250),"",_xlfn.XLOOKUP(A1250,'DISPATCH SHEET'!C$3:C$121,'DISPATCH SHEET'!#REF!,""))</f>
        <v/>
      </c>
      <c r="D1250" s="21"/>
      <c r="E1250" s="21"/>
      <c r="F1250" s="21"/>
      <c r="G1250" s="21"/>
      <c r="H1250" s="21"/>
      <c r="I1250" s="21"/>
      <c r="J1250" s="21"/>
      <c r="K1250" s="22"/>
    </row>
    <row r="1251" spans="1:11" s="5" customFormat="1" ht="15" customHeight="1" x14ac:dyDescent="0.2">
      <c r="A1251" s="20"/>
      <c r="B1251" s="14" t="str">
        <f>IF(A1251="","",_xlfn.XLOOKUP(A1251,'DISPATCH SHEET'!B$3:B$121,'DISPATCH SHEET'!C$3:C$121,""))</f>
        <v/>
      </c>
      <c r="C1251" s="14" t="str">
        <f>IF(ISBLANK(A1251),"",_xlfn.XLOOKUP(A1251,'DISPATCH SHEET'!C$3:C$121,'DISPATCH SHEET'!#REF!,""))</f>
        <v/>
      </c>
      <c r="D1251" s="21"/>
      <c r="E1251" s="21"/>
      <c r="F1251" s="21"/>
      <c r="G1251" s="21"/>
      <c r="H1251" s="21"/>
      <c r="I1251" s="21"/>
      <c r="J1251" s="21"/>
      <c r="K1251" s="22"/>
    </row>
    <row r="1252" spans="1:11" s="5" customFormat="1" ht="15" customHeight="1" x14ac:dyDescent="0.2">
      <c r="A1252" s="20"/>
      <c r="B1252" s="14" t="str">
        <f>IF(A1252="","",_xlfn.XLOOKUP(A1252,'DISPATCH SHEET'!B$3:B$121,'DISPATCH SHEET'!C$3:C$121,""))</f>
        <v/>
      </c>
      <c r="C1252" s="14" t="str">
        <f>IF(ISBLANK(A1252),"",_xlfn.XLOOKUP(A1252,'DISPATCH SHEET'!C$3:C$121,'DISPATCH SHEET'!#REF!,""))</f>
        <v/>
      </c>
      <c r="D1252" s="21"/>
      <c r="E1252" s="21"/>
      <c r="F1252" s="21"/>
      <c r="G1252" s="21"/>
      <c r="H1252" s="21"/>
      <c r="I1252" s="21"/>
      <c r="J1252" s="21"/>
      <c r="K1252" s="22"/>
    </row>
    <row r="1253" spans="1:11" s="5" customFormat="1" ht="15" customHeight="1" x14ac:dyDescent="0.2">
      <c r="A1253" s="20"/>
      <c r="B1253" s="14" t="str">
        <f>IF(A1253="","",_xlfn.XLOOKUP(A1253,'DISPATCH SHEET'!B$3:B$121,'DISPATCH SHEET'!C$3:C$121,""))</f>
        <v/>
      </c>
      <c r="C1253" s="14" t="str">
        <f>IF(ISBLANK(A1253),"",_xlfn.XLOOKUP(A1253,'DISPATCH SHEET'!C$3:C$121,'DISPATCH SHEET'!#REF!,""))</f>
        <v/>
      </c>
      <c r="D1253" s="21"/>
      <c r="E1253" s="21"/>
      <c r="F1253" s="21"/>
      <c r="G1253" s="21"/>
      <c r="H1253" s="21"/>
      <c r="I1253" s="21"/>
      <c r="J1253" s="21"/>
      <c r="K1253" s="22"/>
    </row>
    <row r="1254" spans="1:11" s="5" customFormat="1" ht="15" customHeight="1" x14ac:dyDescent="0.2">
      <c r="A1254" s="20"/>
      <c r="B1254" s="14" t="str">
        <f>IF(A1254="","",_xlfn.XLOOKUP(A1254,'DISPATCH SHEET'!B$3:B$121,'DISPATCH SHEET'!C$3:C$121,""))</f>
        <v/>
      </c>
      <c r="C1254" s="14" t="str">
        <f>IF(ISBLANK(A1254),"",_xlfn.XLOOKUP(A1254,'DISPATCH SHEET'!C$3:C$121,'DISPATCH SHEET'!#REF!,""))</f>
        <v/>
      </c>
      <c r="D1254" s="21"/>
      <c r="E1254" s="21"/>
      <c r="F1254" s="21"/>
      <c r="G1254" s="21"/>
      <c r="H1254" s="21"/>
      <c r="I1254" s="21"/>
      <c r="J1254" s="21"/>
      <c r="K1254" s="22"/>
    </row>
    <row r="1255" spans="1:11" s="5" customFormat="1" ht="15" customHeight="1" x14ac:dyDescent="0.2">
      <c r="A1255" s="20"/>
      <c r="B1255" s="14" t="str">
        <f>IF(A1255="","",_xlfn.XLOOKUP(A1255,'DISPATCH SHEET'!B$3:B$121,'DISPATCH SHEET'!C$3:C$121,""))</f>
        <v/>
      </c>
      <c r="C1255" s="14" t="str">
        <f>IF(ISBLANK(A1255),"",_xlfn.XLOOKUP(A1255,'DISPATCH SHEET'!C$3:C$121,'DISPATCH SHEET'!#REF!,""))</f>
        <v/>
      </c>
      <c r="D1255" s="21"/>
      <c r="E1255" s="21"/>
      <c r="F1255" s="21"/>
      <c r="G1255" s="21"/>
      <c r="H1255" s="21"/>
      <c r="I1255" s="21"/>
      <c r="J1255" s="21"/>
      <c r="K1255" s="22"/>
    </row>
    <row r="1256" spans="1:11" s="5" customFormat="1" ht="15" customHeight="1" x14ac:dyDescent="0.2">
      <c r="A1256" s="20"/>
      <c r="B1256" s="14" t="str">
        <f>IF(A1256="","",_xlfn.XLOOKUP(A1256,'DISPATCH SHEET'!B$3:B$121,'DISPATCH SHEET'!C$3:C$121,""))</f>
        <v/>
      </c>
      <c r="C1256" s="14" t="str">
        <f>IF(ISBLANK(A1256),"",_xlfn.XLOOKUP(A1256,'DISPATCH SHEET'!C$3:C$121,'DISPATCH SHEET'!#REF!,""))</f>
        <v/>
      </c>
      <c r="D1256" s="21"/>
      <c r="E1256" s="21"/>
      <c r="F1256" s="21"/>
      <c r="G1256" s="21"/>
      <c r="H1256" s="21"/>
      <c r="I1256" s="21"/>
      <c r="J1256" s="21"/>
      <c r="K1256" s="22"/>
    </row>
    <row r="1257" spans="1:11" s="5" customFormat="1" ht="15" customHeight="1" x14ac:dyDescent="0.2">
      <c r="A1257" s="20"/>
      <c r="B1257" s="14" t="str">
        <f>IF(A1257="","",_xlfn.XLOOKUP(A1257,'DISPATCH SHEET'!B$3:B$121,'DISPATCH SHEET'!C$3:C$121,""))</f>
        <v/>
      </c>
      <c r="C1257" s="14" t="str">
        <f>IF(ISBLANK(A1257),"",_xlfn.XLOOKUP(A1257,'DISPATCH SHEET'!C$3:C$121,'DISPATCH SHEET'!#REF!,""))</f>
        <v/>
      </c>
      <c r="D1257" s="21"/>
      <c r="E1257" s="21"/>
      <c r="F1257" s="21"/>
      <c r="G1257" s="21"/>
      <c r="H1257" s="21"/>
      <c r="I1257" s="21"/>
      <c r="J1257" s="21"/>
      <c r="K1257" s="22"/>
    </row>
    <row r="1258" spans="1:11" s="5" customFormat="1" ht="15" customHeight="1" x14ac:dyDescent="0.2">
      <c r="A1258" s="20"/>
      <c r="B1258" s="14" t="str">
        <f>IF(A1258="","",_xlfn.XLOOKUP(A1258,'DISPATCH SHEET'!B$3:B$121,'DISPATCH SHEET'!C$3:C$121,""))</f>
        <v/>
      </c>
      <c r="C1258" s="14" t="str">
        <f>IF(ISBLANK(A1258),"",_xlfn.XLOOKUP(A1258,'DISPATCH SHEET'!C$3:C$121,'DISPATCH SHEET'!#REF!,""))</f>
        <v/>
      </c>
      <c r="D1258" s="21"/>
      <c r="E1258" s="21"/>
      <c r="F1258" s="21"/>
      <c r="G1258" s="21"/>
      <c r="H1258" s="21"/>
      <c r="I1258" s="21"/>
      <c r="J1258" s="21"/>
      <c r="K1258" s="22"/>
    </row>
    <row r="1259" spans="1:11" s="5" customFormat="1" ht="15" customHeight="1" x14ac:dyDescent="0.2">
      <c r="A1259" s="20"/>
      <c r="B1259" s="14" t="str">
        <f>IF(A1259="","",_xlfn.XLOOKUP(A1259,'DISPATCH SHEET'!B$3:B$121,'DISPATCH SHEET'!C$3:C$121,""))</f>
        <v/>
      </c>
      <c r="C1259" s="14" t="str">
        <f>IF(ISBLANK(A1259),"",_xlfn.XLOOKUP(A1259,'DISPATCH SHEET'!C$3:C$121,'DISPATCH SHEET'!#REF!,""))</f>
        <v/>
      </c>
      <c r="D1259" s="21"/>
      <c r="E1259" s="21"/>
      <c r="F1259" s="21"/>
      <c r="G1259" s="21"/>
      <c r="H1259" s="21"/>
      <c r="I1259" s="21"/>
      <c r="J1259" s="21"/>
      <c r="K1259" s="22"/>
    </row>
    <row r="1260" spans="1:11" s="5" customFormat="1" ht="15" customHeight="1" x14ac:dyDescent="0.2">
      <c r="A1260" s="20"/>
      <c r="B1260" s="14" t="str">
        <f>IF(A1260="","",_xlfn.XLOOKUP(A1260,'DISPATCH SHEET'!B$3:B$121,'DISPATCH SHEET'!C$3:C$121,""))</f>
        <v/>
      </c>
      <c r="C1260" s="14" t="str">
        <f>IF(ISBLANK(A1260),"",_xlfn.XLOOKUP(A1260,'DISPATCH SHEET'!C$3:C$121,'DISPATCH SHEET'!#REF!,""))</f>
        <v/>
      </c>
      <c r="D1260" s="21"/>
      <c r="E1260" s="21"/>
      <c r="F1260" s="21"/>
      <c r="G1260" s="21"/>
      <c r="H1260" s="21"/>
      <c r="I1260" s="21"/>
      <c r="J1260" s="21"/>
      <c r="K1260" s="22"/>
    </row>
    <row r="1261" spans="1:11" s="5" customFormat="1" ht="15" customHeight="1" x14ac:dyDescent="0.2">
      <c r="A1261" s="20"/>
      <c r="B1261" s="14" t="str">
        <f>IF(A1261="","",_xlfn.XLOOKUP(A1261,'DISPATCH SHEET'!B$3:B$121,'DISPATCH SHEET'!C$3:C$121,""))</f>
        <v/>
      </c>
      <c r="C1261" s="14" t="str">
        <f>IF(ISBLANK(A1261),"",_xlfn.XLOOKUP(A1261,'DISPATCH SHEET'!C$3:C$121,'DISPATCH SHEET'!#REF!,""))</f>
        <v/>
      </c>
      <c r="D1261" s="21"/>
      <c r="E1261" s="21"/>
      <c r="F1261" s="21"/>
      <c r="G1261" s="21"/>
      <c r="H1261" s="21"/>
      <c r="I1261" s="21"/>
      <c r="J1261" s="21"/>
      <c r="K1261" s="22"/>
    </row>
    <row r="1262" spans="1:11" s="5" customFormat="1" ht="15" customHeight="1" x14ac:dyDescent="0.2">
      <c r="A1262" s="20"/>
      <c r="B1262" s="14" t="str">
        <f>IF(A1262="","",_xlfn.XLOOKUP(A1262,'DISPATCH SHEET'!B$3:B$121,'DISPATCH SHEET'!C$3:C$121,""))</f>
        <v/>
      </c>
      <c r="C1262" s="14" t="str">
        <f>IF(ISBLANK(A1262),"",_xlfn.XLOOKUP(A1262,'DISPATCH SHEET'!C$3:C$121,'DISPATCH SHEET'!#REF!,""))</f>
        <v/>
      </c>
      <c r="D1262" s="21"/>
      <c r="E1262" s="21"/>
      <c r="F1262" s="21"/>
      <c r="G1262" s="21"/>
      <c r="H1262" s="21"/>
      <c r="I1262" s="21"/>
      <c r="J1262" s="21"/>
      <c r="K1262" s="22"/>
    </row>
    <row r="1263" spans="1:11" s="5" customFormat="1" ht="15" customHeight="1" x14ac:dyDescent="0.2">
      <c r="A1263" s="20"/>
      <c r="B1263" s="14" t="str">
        <f>IF(A1263="","",_xlfn.XLOOKUP(A1263,'DISPATCH SHEET'!B$3:B$121,'DISPATCH SHEET'!C$3:C$121,""))</f>
        <v/>
      </c>
      <c r="C1263" s="14" t="str">
        <f>IF(ISBLANK(A1263),"",_xlfn.XLOOKUP(A1263,'DISPATCH SHEET'!C$3:C$121,'DISPATCH SHEET'!#REF!,""))</f>
        <v/>
      </c>
      <c r="D1263" s="21"/>
      <c r="E1263" s="21"/>
      <c r="F1263" s="21"/>
      <c r="G1263" s="21"/>
      <c r="H1263" s="21"/>
      <c r="I1263" s="21"/>
      <c r="J1263" s="21"/>
      <c r="K1263" s="22"/>
    </row>
    <row r="1264" spans="1:11" s="5" customFormat="1" ht="15" customHeight="1" x14ac:dyDescent="0.2">
      <c r="A1264" s="20"/>
      <c r="B1264" s="14" t="str">
        <f>IF(A1264="","",_xlfn.XLOOKUP(A1264,'DISPATCH SHEET'!B$3:B$121,'DISPATCH SHEET'!C$3:C$121,""))</f>
        <v/>
      </c>
      <c r="C1264" s="14" t="str">
        <f>IF(ISBLANK(A1264),"",_xlfn.XLOOKUP(A1264,'DISPATCH SHEET'!C$3:C$121,'DISPATCH SHEET'!#REF!,""))</f>
        <v/>
      </c>
      <c r="D1264" s="21"/>
      <c r="E1264" s="21"/>
      <c r="F1264" s="21"/>
      <c r="G1264" s="21"/>
      <c r="H1264" s="21"/>
      <c r="I1264" s="21"/>
      <c r="J1264" s="21"/>
      <c r="K1264" s="22"/>
    </row>
    <row r="1265" spans="1:11" s="5" customFormat="1" ht="15" customHeight="1" x14ac:dyDescent="0.2">
      <c r="A1265" s="20"/>
      <c r="B1265" s="14" t="str">
        <f>IF(A1265="","",_xlfn.XLOOKUP(A1265,'DISPATCH SHEET'!B$3:B$121,'DISPATCH SHEET'!C$3:C$121,""))</f>
        <v/>
      </c>
      <c r="C1265" s="14" t="str">
        <f>IF(ISBLANK(A1265),"",_xlfn.XLOOKUP(A1265,'DISPATCH SHEET'!C$3:C$121,'DISPATCH SHEET'!#REF!,""))</f>
        <v/>
      </c>
      <c r="D1265" s="21"/>
      <c r="E1265" s="21"/>
      <c r="F1265" s="21"/>
      <c r="G1265" s="21"/>
      <c r="H1265" s="21"/>
      <c r="I1265" s="21"/>
      <c r="J1265" s="21"/>
      <c r="K1265" s="22"/>
    </row>
    <row r="1266" spans="1:11" s="5" customFormat="1" ht="15" customHeight="1" x14ac:dyDescent="0.2">
      <c r="A1266" s="20"/>
      <c r="B1266" s="14" t="str">
        <f>IF(A1266="","",_xlfn.XLOOKUP(A1266,'DISPATCH SHEET'!B$3:B$121,'DISPATCH SHEET'!C$3:C$121,""))</f>
        <v/>
      </c>
      <c r="C1266" s="14" t="str">
        <f>IF(ISBLANK(A1266),"",_xlfn.XLOOKUP(A1266,'DISPATCH SHEET'!C$3:C$121,'DISPATCH SHEET'!#REF!,""))</f>
        <v/>
      </c>
      <c r="D1266" s="21"/>
      <c r="E1266" s="21"/>
      <c r="F1266" s="21"/>
      <c r="G1266" s="21"/>
      <c r="H1266" s="21"/>
      <c r="I1266" s="21"/>
      <c r="J1266" s="21"/>
      <c r="K1266" s="22"/>
    </row>
    <row r="1267" spans="1:11" s="5" customFormat="1" ht="15" customHeight="1" x14ac:dyDescent="0.2">
      <c r="A1267" s="20"/>
      <c r="B1267" s="14" t="str">
        <f>IF(A1267="","",_xlfn.XLOOKUP(A1267,'DISPATCH SHEET'!B$3:B$121,'DISPATCH SHEET'!C$3:C$121,""))</f>
        <v/>
      </c>
      <c r="C1267" s="14" t="str">
        <f>IF(ISBLANK(A1267),"",_xlfn.XLOOKUP(A1267,'DISPATCH SHEET'!C$3:C$121,'DISPATCH SHEET'!#REF!,""))</f>
        <v/>
      </c>
      <c r="D1267" s="21"/>
      <c r="E1267" s="21"/>
      <c r="F1267" s="21"/>
      <c r="G1267" s="21"/>
      <c r="H1267" s="21"/>
      <c r="I1267" s="21"/>
      <c r="J1267" s="21"/>
      <c r="K1267" s="22"/>
    </row>
    <row r="1268" spans="1:11" s="5" customFormat="1" ht="15" customHeight="1" x14ac:dyDescent="0.2">
      <c r="A1268" s="20"/>
      <c r="B1268" s="14" t="str">
        <f>IF(A1268="","",_xlfn.XLOOKUP(A1268,'DISPATCH SHEET'!B$3:B$121,'DISPATCH SHEET'!C$3:C$121,""))</f>
        <v/>
      </c>
      <c r="C1268" s="14" t="str">
        <f>IF(ISBLANK(A1268),"",_xlfn.XLOOKUP(A1268,'DISPATCH SHEET'!C$3:C$121,'DISPATCH SHEET'!#REF!,""))</f>
        <v/>
      </c>
      <c r="D1268" s="21"/>
      <c r="E1268" s="21"/>
      <c r="F1268" s="21"/>
      <c r="G1268" s="21"/>
      <c r="H1268" s="21"/>
      <c r="I1268" s="21"/>
      <c r="J1268" s="21"/>
      <c r="K1268" s="22"/>
    </row>
    <row r="1269" spans="1:11" s="5" customFormat="1" ht="15" customHeight="1" x14ac:dyDescent="0.2">
      <c r="A1269" s="20"/>
      <c r="B1269" s="14" t="str">
        <f>IF(A1269="","",_xlfn.XLOOKUP(A1269,'DISPATCH SHEET'!B$3:B$121,'DISPATCH SHEET'!C$3:C$121,""))</f>
        <v/>
      </c>
      <c r="C1269" s="14" t="str">
        <f>IF(ISBLANK(A1269),"",_xlfn.XLOOKUP(A1269,'DISPATCH SHEET'!C$3:C$121,'DISPATCH SHEET'!#REF!,""))</f>
        <v/>
      </c>
      <c r="D1269" s="21"/>
      <c r="E1269" s="21"/>
      <c r="F1269" s="21"/>
      <c r="G1269" s="21"/>
      <c r="H1269" s="21"/>
      <c r="I1269" s="21"/>
      <c r="J1269" s="21"/>
      <c r="K1269" s="22"/>
    </row>
    <row r="1270" spans="1:11" s="5" customFormat="1" ht="15" customHeight="1" x14ac:dyDescent="0.2">
      <c r="A1270" s="20"/>
      <c r="B1270" s="14" t="str">
        <f>IF(A1270="","",_xlfn.XLOOKUP(A1270,'DISPATCH SHEET'!B$3:B$121,'DISPATCH SHEET'!C$3:C$121,""))</f>
        <v/>
      </c>
      <c r="C1270" s="14" t="str">
        <f>IF(ISBLANK(A1270),"",_xlfn.XLOOKUP(A1270,'DISPATCH SHEET'!C$3:C$121,'DISPATCH SHEET'!#REF!,""))</f>
        <v/>
      </c>
      <c r="D1270" s="21"/>
      <c r="E1270" s="21"/>
      <c r="F1270" s="21"/>
      <c r="G1270" s="21"/>
      <c r="H1270" s="21"/>
      <c r="I1270" s="21"/>
      <c r="J1270" s="21"/>
      <c r="K1270" s="22"/>
    </row>
    <row r="1271" spans="1:11" s="5" customFormat="1" ht="15" customHeight="1" x14ac:dyDescent="0.2">
      <c r="A1271" s="20"/>
      <c r="B1271" s="14" t="str">
        <f>IF(A1271="","",_xlfn.XLOOKUP(A1271,'DISPATCH SHEET'!B$3:B$121,'DISPATCH SHEET'!C$3:C$121,""))</f>
        <v/>
      </c>
      <c r="C1271" s="14" t="str">
        <f>IF(ISBLANK(A1271),"",_xlfn.XLOOKUP(A1271,'DISPATCH SHEET'!C$3:C$121,'DISPATCH SHEET'!#REF!,""))</f>
        <v/>
      </c>
      <c r="D1271" s="21"/>
      <c r="E1271" s="21"/>
      <c r="F1271" s="21"/>
      <c r="G1271" s="21"/>
      <c r="H1271" s="21"/>
      <c r="I1271" s="21"/>
      <c r="J1271" s="21"/>
      <c r="K1271" s="22"/>
    </row>
    <row r="1272" spans="1:11" s="5" customFormat="1" ht="15" customHeight="1" x14ac:dyDescent="0.2">
      <c r="A1272" s="20"/>
      <c r="B1272" s="14" t="str">
        <f>IF(A1272="","",_xlfn.XLOOKUP(A1272,'DISPATCH SHEET'!B$3:B$121,'DISPATCH SHEET'!C$3:C$121,""))</f>
        <v/>
      </c>
      <c r="C1272" s="14" t="str">
        <f>IF(ISBLANK(A1272),"",_xlfn.XLOOKUP(A1272,'DISPATCH SHEET'!C$3:C$121,'DISPATCH SHEET'!#REF!,""))</f>
        <v/>
      </c>
      <c r="D1272" s="21"/>
      <c r="E1272" s="21"/>
      <c r="F1272" s="21"/>
      <c r="G1272" s="21"/>
      <c r="H1272" s="21"/>
      <c r="I1272" s="21"/>
      <c r="J1272" s="21"/>
      <c r="K1272" s="22"/>
    </row>
    <row r="1273" spans="1:11" s="5" customFormat="1" ht="15" customHeight="1" x14ac:dyDescent="0.2">
      <c r="A1273" s="20"/>
      <c r="B1273" s="14" t="str">
        <f>IF(A1273="","",_xlfn.XLOOKUP(A1273,'DISPATCH SHEET'!B$3:B$121,'DISPATCH SHEET'!C$3:C$121,""))</f>
        <v/>
      </c>
      <c r="C1273" s="14" t="str">
        <f>IF(ISBLANK(A1273),"",_xlfn.XLOOKUP(A1273,'DISPATCH SHEET'!C$3:C$121,'DISPATCH SHEET'!#REF!,""))</f>
        <v/>
      </c>
      <c r="D1273" s="21"/>
      <c r="E1273" s="21"/>
      <c r="F1273" s="21"/>
      <c r="G1273" s="21"/>
      <c r="H1273" s="21"/>
      <c r="I1273" s="21"/>
      <c r="J1273" s="21"/>
      <c r="K1273" s="22"/>
    </row>
    <row r="1274" spans="1:11" s="5" customFormat="1" ht="15" customHeight="1" x14ac:dyDescent="0.2">
      <c r="A1274" s="20"/>
      <c r="B1274" s="14" t="str">
        <f>IF(A1274="","",_xlfn.XLOOKUP(A1274,'DISPATCH SHEET'!B$3:B$121,'DISPATCH SHEET'!C$3:C$121,""))</f>
        <v/>
      </c>
      <c r="C1274" s="14" t="str">
        <f>IF(ISBLANK(A1274),"",_xlfn.XLOOKUP(A1274,'DISPATCH SHEET'!C$3:C$121,'DISPATCH SHEET'!#REF!,""))</f>
        <v/>
      </c>
      <c r="D1274" s="21"/>
      <c r="E1274" s="21"/>
      <c r="F1274" s="21"/>
      <c r="G1274" s="21"/>
      <c r="H1274" s="21"/>
      <c r="I1274" s="21"/>
      <c r="J1274" s="21"/>
      <c r="K1274" s="22"/>
    </row>
    <row r="1275" spans="1:11" s="5" customFormat="1" ht="15" customHeight="1" x14ac:dyDescent="0.2">
      <c r="A1275" s="20"/>
      <c r="B1275" s="14" t="str">
        <f>IF(A1275="","",_xlfn.XLOOKUP(A1275,'DISPATCH SHEET'!B$3:B$121,'DISPATCH SHEET'!C$3:C$121,""))</f>
        <v/>
      </c>
      <c r="C1275" s="14" t="str">
        <f>IF(ISBLANK(A1275),"",_xlfn.XLOOKUP(A1275,'DISPATCH SHEET'!C$3:C$121,'DISPATCH SHEET'!#REF!,""))</f>
        <v/>
      </c>
      <c r="D1275" s="21"/>
      <c r="E1275" s="21"/>
      <c r="F1275" s="21"/>
      <c r="G1275" s="21"/>
      <c r="H1275" s="21"/>
      <c r="I1275" s="21"/>
      <c r="J1275" s="21"/>
      <c r="K1275" s="22"/>
    </row>
    <row r="1276" spans="1:11" s="5" customFormat="1" ht="15" customHeight="1" x14ac:dyDescent="0.2">
      <c r="A1276" s="20"/>
      <c r="B1276" s="14" t="str">
        <f>IF(A1276="","",_xlfn.XLOOKUP(A1276,'DISPATCH SHEET'!B$3:B$121,'DISPATCH SHEET'!C$3:C$121,""))</f>
        <v/>
      </c>
      <c r="C1276" s="14" t="str">
        <f>IF(ISBLANK(A1276),"",_xlfn.XLOOKUP(A1276,'DISPATCH SHEET'!C$3:C$121,'DISPATCH SHEET'!#REF!,""))</f>
        <v/>
      </c>
      <c r="D1276" s="21"/>
      <c r="E1276" s="21"/>
      <c r="F1276" s="21"/>
      <c r="G1276" s="21"/>
      <c r="H1276" s="21"/>
      <c r="I1276" s="21"/>
      <c r="J1276" s="21"/>
      <c r="K1276" s="22"/>
    </row>
    <row r="1277" spans="1:11" s="5" customFormat="1" ht="15" customHeight="1" x14ac:dyDescent="0.2">
      <c r="A1277" s="20"/>
      <c r="B1277" s="14" t="str">
        <f>IF(A1277="","",_xlfn.XLOOKUP(A1277,'DISPATCH SHEET'!B$3:B$121,'DISPATCH SHEET'!C$3:C$121,""))</f>
        <v/>
      </c>
      <c r="C1277" s="14" t="str">
        <f>IF(ISBLANK(A1277),"",_xlfn.XLOOKUP(A1277,'DISPATCH SHEET'!C$3:C$121,'DISPATCH SHEET'!#REF!,""))</f>
        <v/>
      </c>
      <c r="D1277" s="21"/>
      <c r="E1277" s="21"/>
      <c r="F1277" s="21"/>
      <c r="G1277" s="21"/>
      <c r="H1277" s="21"/>
      <c r="I1277" s="21"/>
      <c r="J1277" s="21"/>
      <c r="K1277" s="22"/>
    </row>
    <row r="1278" spans="1:11" s="5" customFormat="1" ht="15" customHeight="1" x14ac:dyDescent="0.2">
      <c r="A1278" s="20"/>
      <c r="B1278" s="14" t="str">
        <f>IF(A1278="","",_xlfn.XLOOKUP(A1278,'DISPATCH SHEET'!B$3:B$121,'DISPATCH SHEET'!C$3:C$121,""))</f>
        <v/>
      </c>
      <c r="C1278" s="14" t="str">
        <f>IF(ISBLANK(A1278),"",_xlfn.XLOOKUP(A1278,'DISPATCH SHEET'!C$3:C$121,'DISPATCH SHEET'!#REF!,""))</f>
        <v/>
      </c>
      <c r="D1278" s="21"/>
      <c r="E1278" s="21"/>
      <c r="F1278" s="21"/>
      <c r="G1278" s="21"/>
      <c r="H1278" s="21"/>
      <c r="I1278" s="21"/>
      <c r="J1278" s="21"/>
      <c r="K1278" s="22"/>
    </row>
    <row r="1279" spans="1:11" s="5" customFormat="1" ht="15" customHeight="1" x14ac:dyDescent="0.2">
      <c r="A1279" s="20"/>
      <c r="B1279" s="14" t="str">
        <f>IF(A1279="","",_xlfn.XLOOKUP(A1279,'DISPATCH SHEET'!B$3:B$121,'DISPATCH SHEET'!C$3:C$121,""))</f>
        <v/>
      </c>
      <c r="C1279" s="14" t="str">
        <f>IF(ISBLANK(A1279),"",_xlfn.XLOOKUP(A1279,'DISPATCH SHEET'!C$3:C$121,'DISPATCH SHEET'!#REF!,""))</f>
        <v/>
      </c>
      <c r="D1279" s="21"/>
      <c r="E1279" s="21"/>
      <c r="F1279" s="21"/>
      <c r="G1279" s="21"/>
      <c r="H1279" s="21"/>
      <c r="I1279" s="21"/>
      <c r="J1279" s="21"/>
      <c r="K1279" s="22"/>
    </row>
    <row r="1280" spans="1:11" s="5" customFormat="1" ht="15" customHeight="1" x14ac:dyDescent="0.2">
      <c r="A1280" s="20"/>
      <c r="B1280" s="14" t="str">
        <f>IF(A1280="","",_xlfn.XLOOKUP(A1280,'DISPATCH SHEET'!B$3:B$121,'DISPATCH SHEET'!C$3:C$121,""))</f>
        <v/>
      </c>
      <c r="C1280" s="14" t="str">
        <f>IF(ISBLANK(A1280),"",_xlfn.XLOOKUP(A1280,'DISPATCH SHEET'!C$3:C$121,'DISPATCH SHEET'!#REF!,""))</f>
        <v/>
      </c>
      <c r="D1280" s="21"/>
      <c r="E1280" s="21"/>
      <c r="F1280" s="21"/>
      <c r="G1280" s="21"/>
      <c r="H1280" s="21"/>
      <c r="I1280" s="21"/>
      <c r="J1280" s="21"/>
      <c r="K1280" s="22"/>
    </row>
    <row r="1281" spans="1:11" s="5" customFormat="1" ht="15" customHeight="1" x14ac:dyDescent="0.2">
      <c r="A1281" s="20"/>
      <c r="B1281" s="14" t="str">
        <f>IF(A1281="","",_xlfn.XLOOKUP(A1281,'DISPATCH SHEET'!B$3:B$121,'DISPATCH SHEET'!C$3:C$121,""))</f>
        <v/>
      </c>
      <c r="C1281" s="14" t="str">
        <f>IF(ISBLANK(A1281),"",_xlfn.XLOOKUP(A1281,'DISPATCH SHEET'!C$3:C$121,'DISPATCH SHEET'!#REF!,""))</f>
        <v/>
      </c>
      <c r="D1281" s="21"/>
      <c r="E1281" s="21"/>
      <c r="F1281" s="21"/>
      <c r="G1281" s="21"/>
      <c r="H1281" s="21"/>
      <c r="I1281" s="21"/>
      <c r="J1281" s="21"/>
      <c r="K1281" s="22"/>
    </row>
    <row r="1282" spans="1:11" s="5" customFormat="1" ht="15" customHeight="1" x14ac:dyDescent="0.2">
      <c r="A1282" s="20"/>
      <c r="B1282" s="14" t="str">
        <f>IF(A1282="","",_xlfn.XLOOKUP(A1282,'DISPATCH SHEET'!B$3:B$121,'DISPATCH SHEET'!C$3:C$121,""))</f>
        <v/>
      </c>
      <c r="C1282" s="14" t="str">
        <f>IF(ISBLANK(A1282),"",_xlfn.XLOOKUP(A1282,'DISPATCH SHEET'!C$3:C$121,'DISPATCH SHEET'!#REF!,""))</f>
        <v/>
      </c>
      <c r="D1282" s="21"/>
      <c r="E1282" s="21"/>
      <c r="F1282" s="21"/>
      <c r="G1282" s="21"/>
      <c r="H1282" s="21"/>
      <c r="I1282" s="21"/>
      <c r="J1282" s="21"/>
      <c r="K1282" s="22"/>
    </row>
    <row r="1283" spans="1:11" s="5" customFormat="1" ht="15" customHeight="1" x14ac:dyDescent="0.2">
      <c r="A1283" s="20"/>
      <c r="B1283" s="14" t="str">
        <f>IF(A1283="","",_xlfn.XLOOKUP(A1283,'DISPATCH SHEET'!B$3:B$121,'DISPATCH SHEET'!C$3:C$121,""))</f>
        <v/>
      </c>
      <c r="C1283" s="14" t="str">
        <f>IF(ISBLANK(A1283),"",_xlfn.XLOOKUP(A1283,'DISPATCH SHEET'!C$3:C$121,'DISPATCH SHEET'!#REF!,""))</f>
        <v/>
      </c>
      <c r="D1283" s="21"/>
      <c r="E1283" s="21"/>
      <c r="F1283" s="21"/>
      <c r="G1283" s="21"/>
      <c r="H1283" s="21"/>
      <c r="I1283" s="21"/>
      <c r="J1283" s="21"/>
      <c r="K1283" s="22"/>
    </row>
    <row r="1284" spans="1:11" s="5" customFormat="1" ht="15" customHeight="1" x14ac:dyDescent="0.2">
      <c r="A1284" s="20"/>
      <c r="B1284" s="14" t="str">
        <f>IF(A1284="","",_xlfn.XLOOKUP(A1284,'DISPATCH SHEET'!B$3:B$121,'DISPATCH SHEET'!C$3:C$121,""))</f>
        <v/>
      </c>
      <c r="C1284" s="14" t="str">
        <f>IF(ISBLANK(A1284),"",_xlfn.XLOOKUP(A1284,'DISPATCH SHEET'!C$3:C$121,'DISPATCH SHEET'!#REF!,""))</f>
        <v/>
      </c>
      <c r="D1284" s="21"/>
      <c r="E1284" s="21"/>
      <c r="F1284" s="21"/>
      <c r="G1284" s="21"/>
      <c r="H1284" s="21"/>
      <c r="I1284" s="21"/>
      <c r="J1284" s="21"/>
      <c r="K1284" s="22"/>
    </row>
    <row r="1285" spans="1:11" s="5" customFormat="1" ht="15" customHeight="1" x14ac:dyDescent="0.2">
      <c r="A1285" s="20"/>
      <c r="B1285" s="14" t="str">
        <f>IF(A1285="","",_xlfn.XLOOKUP(A1285,'DISPATCH SHEET'!B$3:B$121,'DISPATCH SHEET'!C$3:C$121,""))</f>
        <v/>
      </c>
      <c r="C1285" s="14" t="str">
        <f>IF(ISBLANK(A1285),"",_xlfn.XLOOKUP(A1285,'DISPATCH SHEET'!C$3:C$121,'DISPATCH SHEET'!#REF!,""))</f>
        <v/>
      </c>
      <c r="D1285" s="21"/>
      <c r="E1285" s="21"/>
      <c r="F1285" s="21"/>
      <c r="G1285" s="21"/>
      <c r="H1285" s="21"/>
      <c r="I1285" s="21"/>
      <c r="J1285" s="21"/>
      <c r="K1285" s="22"/>
    </row>
    <row r="1286" spans="1:11" s="5" customFormat="1" ht="15" customHeight="1" x14ac:dyDescent="0.2">
      <c r="A1286" s="20"/>
      <c r="B1286" s="14" t="str">
        <f>IF(A1286="","",_xlfn.XLOOKUP(A1286,'DISPATCH SHEET'!B$3:B$121,'DISPATCH SHEET'!C$3:C$121,""))</f>
        <v/>
      </c>
      <c r="C1286" s="14" t="str">
        <f>IF(ISBLANK(A1286),"",_xlfn.XLOOKUP(A1286,'DISPATCH SHEET'!C$3:C$121,'DISPATCH SHEET'!#REF!,""))</f>
        <v/>
      </c>
      <c r="D1286" s="21"/>
      <c r="E1286" s="21"/>
      <c r="F1286" s="21"/>
      <c r="G1286" s="21"/>
      <c r="H1286" s="21"/>
      <c r="I1286" s="21"/>
      <c r="J1286" s="21"/>
      <c r="K1286" s="22"/>
    </row>
    <row r="1287" spans="1:11" s="5" customFormat="1" ht="15" customHeight="1" x14ac:dyDescent="0.2">
      <c r="A1287" s="20"/>
      <c r="B1287" s="14" t="str">
        <f>IF(A1287="","",_xlfn.XLOOKUP(A1287,'DISPATCH SHEET'!B$3:B$121,'DISPATCH SHEET'!C$3:C$121,""))</f>
        <v/>
      </c>
      <c r="C1287" s="14" t="str">
        <f>IF(ISBLANK(A1287),"",_xlfn.XLOOKUP(A1287,'DISPATCH SHEET'!C$3:C$121,'DISPATCH SHEET'!#REF!,""))</f>
        <v/>
      </c>
      <c r="D1287" s="21"/>
      <c r="E1287" s="21"/>
      <c r="F1287" s="21"/>
      <c r="G1287" s="21"/>
      <c r="H1287" s="21"/>
      <c r="I1287" s="21"/>
      <c r="J1287" s="21"/>
      <c r="K1287" s="22"/>
    </row>
    <row r="1288" spans="1:11" s="5" customFormat="1" ht="15" customHeight="1" x14ac:dyDescent="0.2">
      <c r="A1288" s="20"/>
      <c r="B1288" s="14" t="str">
        <f>IF(A1288="","",_xlfn.XLOOKUP(A1288,'DISPATCH SHEET'!B$3:B$121,'DISPATCH SHEET'!C$3:C$121,""))</f>
        <v/>
      </c>
      <c r="C1288" s="14" t="str">
        <f>IF(ISBLANK(A1288),"",_xlfn.XLOOKUP(A1288,'DISPATCH SHEET'!C$3:C$121,'DISPATCH SHEET'!#REF!,""))</f>
        <v/>
      </c>
      <c r="D1288" s="21"/>
      <c r="E1288" s="21"/>
      <c r="F1288" s="21"/>
      <c r="G1288" s="21"/>
      <c r="H1288" s="21"/>
      <c r="I1288" s="21"/>
      <c r="J1288" s="21"/>
      <c r="K1288" s="22"/>
    </row>
    <row r="1289" spans="1:11" s="5" customFormat="1" ht="15" customHeight="1" x14ac:dyDescent="0.2">
      <c r="A1289" s="20"/>
      <c r="B1289" s="14" t="str">
        <f>IF(A1289="","",_xlfn.XLOOKUP(A1289,'DISPATCH SHEET'!B$3:B$121,'DISPATCH SHEET'!C$3:C$121,""))</f>
        <v/>
      </c>
      <c r="C1289" s="14" t="str">
        <f>IF(ISBLANK(A1289),"",_xlfn.XLOOKUP(A1289,'DISPATCH SHEET'!C$3:C$121,'DISPATCH SHEET'!#REF!,""))</f>
        <v/>
      </c>
      <c r="D1289" s="21"/>
      <c r="E1289" s="21"/>
      <c r="F1289" s="21"/>
      <c r="G1289" s="21"/>
      <c r="H1289" s="21"/>
      <c r="I1289" s="21"/>
      <c r="J1289" s="21"/>
      <c r="K1289" s="22"/>
    </row>
    <row r="1290" spans="1:11" s="5" customFormat="1" ht="15" customHeight="1" x14ac:dyDescent="0.2">
      <c r="A1290" s="20"/>
      <c r="B1290" s="14" t="str">
        <f>IF(A1290="","",_xlfn.XLOOKUP(A1290,'DISPATCH SHEET'!B$3:B$121,'DISPATCH SHEET'!C$3:C$121,""))</f>
        <v/>
      </c>
      <c r="C1290" s="14" t="str">
        <f>IF(ISBLANK(A1290),"",_xlfn.XLOOKUP(A1290,'DISPATCH SHEET'!C$3:C$121,'DISPATCH SHEET'!#REF!,""))</f>
        <v/>
      </c>
      <c r="D1290" s="21"/>
      <c r="E1290" s="21"/>
      <c r="F1290" s="21"/>
      <c r="G1290" s="21"/>
      <c r="H1290" s="21"/>
      <c r="I1290" s="21"/>
      <c r="J1290" s="21"/>
      <c r="K1290" s="22"/>
    </row>
    <row r="1291" spans="1:11" s="5" customFormat="1" ht="15" customHeight="1" x14ac:dyDescent="0.2">
      <c r="A1291" s="20"/>
      <c r="B1291" s="14" t="str">
        <f>IF(A1291="","",_xlfn.XLOOKUP(A1291,'DISPATCH SHEET'!B$3:B$121,'DISPATCH SHEET'!C$3:C$121,""))</f>
        <v/>
      </c>
      <c r="C1291" s="14" t="str">
        <f>IF(ISBLANK(A1291),"",_xlfn.XLOOKUP(A1291,'DISPATCH SHEET'!C$3:C$121,'DISPATCH SHEET'!#REF!,""))</f>
        <v/>
      </c>
      <c r="D1291" s="21"/>
      <c r="E1291" s="21"/>
      <c r="F1291" s="21"/>
      <c r="G1291" s="21"/>
      <c r="H1291" s="21"/>
      <c r="I1291" s="21"/>
      <c r="J1291" s="21"/>
      <c r="K1291" s="22"/>
    </row>
    <row r="1292" spans="1:11" s="5" customFormat="1" ht="15" customHeight="1" x14ac:dyDescent="0.2">
      <c r="A1292" s="20"/>
      <c r="B1292" s="14" t="str">
        <f>IF(A1292="","",_xlfn.XLOOKUP(A1292,'DISPATCH SHEET'!B$3:B$121,'DISPATCH SHEET'!C$3:C$121,""))</f>
        <v/>
      </c>
      <c r="C1292" s="14" t="str">
        <f>IF(ISBLANK(A1292),"",_xlfn.XLOOKUP(A1292,'DISPATCH SHEET'!C$3:C$121,'DISPATCH SHEET'!#REF!,""))</f>
        <v/>
      </c>
      <c r="D1292" s="21"/>
      <c r="E1292" s="21"/>
      <c r="F1292" s="21"/>
      <c r="G1292" s="21"/>
      <c r="H1292" s="21"/>
      <c r="I1292" s="21"/>
      <c r="J1292" s="21"/>
      <c r="K1292" s="22"/>
    </row>
    <row r="1293" spans="1:11" s="5" customFormat="1" ht="15" customHeight="1" x14ac:dyDescent="0.2">
      <c r="A1293" s="20"/>
      <c r="B1293" s="14" t="str">
        <f>IF(A1293="","",_xlfn.XLOOKUP(A1293,'DISPATCH SHEET'!B$3:B$121,'DISPATCH SHEET'!C$3:C$121,""))</f>
        <v/>
      </c>
      <c r="C1293" s="14" t="str">
        <f>IF(ISBLANK(A1293),"",_xlfn.XLOOKUP(A1293,'DISPATCH SHEET'!C$3:C$121,'DISPATCH SHEET'!#REF!,""))</f>
        <v/>
      </c>
      <c r="D1293" s="21"/>
      <c r="E1293" s="21"/>
      <c r="F1293" s="21"/>
      <c r="G1293" s="21"/>
      <c r="H1293" s="21"/>
      <c r="I1293" s="21"/>
      <c r="J1293" s="21"/>
      <c r="K1293" s="22"/>
    </row>
    <row r="1294" spans="1:11" s="5" customFormat="1" ht="15" customHeight="1" x14ac:dyDescent="0.2">
      <c r="A1294" s="20"/>
      <c r="B1294" s="14" t="str">
        <f>IF(A1294="","",_xlfn.XLOOKUP(A1294,'DISPATCH SHEET'!B$3:B$121,'DISPATCH SHEET'!C$3:C$121,""))</f>
        <v/>
      </c>
      <c r="C1294" s="14" t="str">
        <f>IF(ISBLANK(A1294),"",_xlfn.XLOOKUP(A1294,'DISPATCH SHEET'!C$3:C$121,'DISPATCH SHEET'!#REF!,""))</f>
        <v/>
      </c>
      <c r="D1294" s="21"/>
      <c r="E1294" s="21"/>
      <c r="F1294" s="21"/>
      <c r="G1294" s="21"/>
      <c r="H1294" s="21"/>
      <c r="I1294" s="21"/>
      <c r="J1294" s="21"/>
      <c r="K1294" s="22"/>
    </row>
    <row r="1295" spans="1:11" s="5" customFormat="1" ht="15" customHeight="1" x14ac:dyDescent="0.2">
      <c r="A1295" s="20"/>
      <c r="B1295" s="14" t="str">
        <f>IF(A1295="","",_xlfn.XLOOKUP(A1295,'DISPATCH SHEET'!B$3:B$121,'DISPATCH SHEET'!C$3:C$121,""))</f>
        <v/>
      </c>
      <c r="C1295" s="14" t="str">
        <f>IF(ISBLANK(A1295),"",_xlfn.XLOOKUP(A1295,'DISPATCH SHEET'!C$3:C$121,'DISPATCH SHEET'!#REF!,""))</f>
        <v/>
      </c>
      <c r="D1295" s="21"/>
      <c r="E1295" s="21"/>
      <c r="F1295" s="21"/>
      <c r="G1295" s="21"/>
      <c r="H1295" s="21"/>
      <c r="I1295" s="21"/>
      <c r="J1295" s="21"/>
      <c r="K1295" s="22"/>
    </row>
    <row r="1296" spans="1:11" s="5" customFormat="1" ht="15" customHeight="1" x14ac:dyDescent="0.2">
      <c r="A1296" s="20"/>
      <c r="B1296" s="14" t="str">
        <f>IF(A1296="","",_xlfn.XLOOKUP(A1296,'DISPATCH SHEET'!B$3:B$121,'DISPATCH SHEET'!C$3:C$121,""))</f>
        <v/>
      </c>
      <c r="C1296" s="14" t="str">
        <f>IF(ISBLANK(A1296),"",_xlfn.XLOOKUP(A1296,'DISPATCH SHEET'!C$3:C$121,'DISPATCH SHEET'!#REF!,""))</f>
        <v/>
      </c>
      <c r="D1296" s="21"/>
      <c r="E1296" s="21"/>
      <c r="F1296" s="21"/>
      <c r="G1296" s="21"/>
      <c r="H1296" s="21"/>
      <c r="I1296" s="21"/>
      <c r="J1296" s="21"/>
      <c r="K1296" s="22"/>
    </row>
    <row r="1297" spans="1:11" s="5" customFormat="1" ht="15" customHeight="1" x14ac:dyDescent="0.2">
      <c r="A1297" s="20"/>
      <c r="B1297" s="14" t="str">
        <f>IF(A1297="","",_xlfn.XLOOKUP(A1297,'DISPATCH SHEET'!B$3:B$121,'DISPATCH SHEET'!C$3:C$121,""))</f>
        <v/>
      </c>
      <c r="C1297" s="14" t="str">
        <f>IF(ISBLANK(A1297),"",_xlfn.XLOOKUP(A1297,'DISPATCH SHEET'!C$3:C$121,'DISPATCH SHEET'!#REF!,""))</f>
        <v/>
      </c>
      <c r="D1297" s="21"/>
      <c r="E1297" s="21"/>
      <c r="F1297" s="21"/>
      <c r="G1297" s="21"/>
      <c r="H1297" s="21"/>
      <c r="I1297" s="21"/>
      <c r="J1297" s="21"/>
      <c r="K1297" s="22"/>
    </row>
    <row r="1298" spans="1:11" s="5" customFormat="1" ht="15" customHeight="1" x14ac:dyDescent="0.2">
      <c r="A1298" s="20"/>
      <c r="B1298" s="14" t="str">
        <f>IF(A1298="","",_xlfn.XLOOKUP(A1298,'DISPATCH SHEET'!B$3:B$121,'DISPATCH SHEET'!C$3:C$121,""))</f>
        <v/>
      </c>
      <c r="C1298" s="14" t="str">
        <f>IF(ISBLANK(A1298),"",_xlfn.XLOOKUP(A1298,'DISPATCH SHEET'!C$3:C$121,'DISPATCH SHEET'!#REF!,""))</f>
        <v/>
      </c>
      <c r="D1298" s="21"/>
      <c r="E1298" s="21"/>
      <c r="F1298" s="21"/>
      <c r="G1298" s="21"/>
      <c r="H1298" s="21"/>
      <c r="I1298" s="21"/>
      <c r="J1298" s="21"/>
      <c r="K1298" s="22"/>
    </row>
    <row r="1299" spans="1:11" s="5" customFormat="1" ht="15" customHeight="1" x14ac:dyDescent="0.2">
      <c r="A1299" s="20"/>
      <c r="B1299" s="14" t="str">
        <f>IF(A1299="","",_xlfn.XLOOKUP(A1299,'DISPATCH SHEET'!B$3:B$121,'DISPATCH SHEET'!C$3:C$121,""))</f>
        <v/>
      </c>
      <c r="C1299" s="14" t="str">
        <f>IF(ISBLANK(A1299),"",_xlfn.XLOOKUP(A1299,'DISPATCH SHEET'!C$3:C$121,'DISPATCH SHEET'!#REF!,""))</f>
        <v/>
      </c>
      <c r="D1299" s="21"/>
      <c r="E1299" s="21"/>
      <c r="F1299" s="21"/>
      <c r="G1299" s="21"/>
      <c r="H1299" s="21"/>
      <c r="I1299" s="21"/>
      <c r="J1299" s="21"/>
      <c r="K1299" s="22"/>
    </row>
    <row r="1300" spans="1:11" s="5" customFormat="1" ht="15" customHeight="1" x14ac:dyDescent="0.2">
      <c r="A1300" s="20"/>
      <c r="B1300" s="14" t="str">
        <f>IF(A1300="","",_xlfn.XLOOKUP(A1300,'DISPATCH SHEET'!B$3:B$121,'DISPATCH SHEET'!C$3:C$121,""))</f>
        <v/>
      </c>
      <c r="C1300" s="14" t="str">
        <f>IF(ISBLANK(A1300),"",_xlfn.XLOOKUP(A1300,'DISPATCH SHEET'!C$3:C$121,'DISPATCH SHEET'!#REF!,""))</f>
        <v/>
      </c>
      <c r="D1300" s="21"/>
      <c r="E1300" s="21"/>
      <c r="F1300" s="21"/>
      <c r="G1300" s="21"/>
      <c r="H1300" s="21"/>
      <c r="I1300" s="21"/>
      <c r="J1300" s="21"/>
      <c r="K1300" s="22"/>
    </row>
    <row r="1301" spans="1:11" s="5" customFormat="1" ht="15" customHeight="1" x14ac:dyDescent="0.2">
      <c r="A1301" s="20"/>
      <c r="B1301" s="14" t="str">
        <f>IF(A1301="","",_xlfn.XLOOKUP(A1301,'DISPATCH SHEET'!B$3:B$121,'DISPATCH SHEET'!C$3:C$121,""))</f>
        <v/>
      </c>
      <c r="C1301" s="14" t="str">
        <f>IF(ISBLANK(A1301),"",_xlfn.XLOOKUP(A1301,'DISPATCH SHEET'!C$3:C$121,'DISPATCH SHEET'!#REF!,""))</f>
        <v/>
      </c>
      <c r="D1301" s="21"/>
      <c r="E1301" s="21"/>
      <c r="F1301" s="21"/>
      <c r="G1301" s="21"/>
      <c r="H1301" s="21"/>
      <c r="I1301" s="21"/>
      <c r="J1301" s="21"/>
      <c r="K1301" s="22"/>
    </row>
    <row r="1302" spans="1:11" s="5" customFormat="1" ht="15" customHeight="1" x14ac:dyDescent="0.2">
      <c r="A1302" s="20"/>
      <c r="B1302" s="14" t="str">
        <f>IF(A1302="","",_xlfn.XLOOKUP(A1302,'DISPATCH SHEET'!B$3:B$121,'DISPATCH SHEET'!C$3:C$121,""))</f>
        <v/>
      </c>
      <c r="C1302" s="14" t="str">
        <f>IF(ISBLANK(A1302),"",_xlfn.XLOOKUP(A1302,'DISPATCH SHEET'!C$3:C$121,'DISPATCH SHEET'!#REF!,""))</f>
        <v/>
      </c>
      <c r="D1302" s="21"/>
      <c r="E1302" s="21"/>
      <c r="F1302" s="21"/>
      <c r="G1302" s="21"/>
      <c r="H1302" s="21"/>
      <c r="I1302" s="21"/>
      <c r="J1302" s="21"/>
      <c r="K1302" s="22"/>
    </row>
    <row r="1303" spans="1:11" s="5" customFormat="1" ht="15" customHeight="1" x14ac:dyDescent="0.2">
      <c r="A1303" s="20"/>
      <c r="B1303" s="14" t="str">
        <f>IF(A1303="","",_xlfn.XLOOKUP(A1303,'DISPATCH SHEET'!B$3:B$121,'DISPATCH SHEET'!C$3:C$121,""))</f>
        <v/>
      </c>
      <c r="C1303" s="14" t="str">
        <f>IF(ISBLANK(A1303),"",_xlfn.XLOOKUP(A1303,'DISPATCH SHEET'!C$3:C$121,'DISPATCH SHEET'!#REF!,""))</f>
        <v/>
      </c>
      <c r="D1303" s="21"/>
      <c r="E1303" s="21"/>
      <c r="F1303" s="21"/>
      <c r="G1303" s="21"/>
      <c r="H1303" s="21"/>
      <c r="I1303" s="21"/>
      <c r="J1303" s="21"/>
      <c r="K1303" s="22"/>
    </row>
    <row r="1304" spans="1:11" s="5" customFormat="1" ht="15" customHeight="1" x14ac:dyDescent="0.2">
      <c r="A1304" s="20"/>
      <c r="B1304" s="14" t="str">
        <f>IF(A1304="","",_xlfn.XLOOKUP(A1304,'DISPATCH SHEET'!B$3:B$121,'DISPATCH SHEET'!C$3:C$121,""))</f>
        <v/>
      </c>
      <c r="C1304" s="14" t="str">
        <f>IF(ISBLANK(A1304),"",_xlfn.XLOOKUP(A1304,'DISPATCH SHEET'!C$3:C$121,'DISPATCH SHEET'!#REF!,""))</f>
        <v/>
      </c>
      <c r="D1304" s="21"/>
      <c r="E1304" s="21"/>
      <c r="F1304" s="21"/>
      <c r="G1304" s="21"/>
      <c r="H1304" s="21"/>
      <c r="I1304" s="21"/>
      <c r="J1304" s="21"/>
      <c r="K1304" s="22"/>
    </row>
    <row r="1305" spans="1:11" s="5" customFormat="1" ht="15" customHeight="1" x14ac:dyDescent="0.2">
      <c r="A1305" s="20"/>
      <c r="B1305" s="14" t="str">
        <f>IF(A1305="","",_xlfn.XLOOKUP(A1305,'DISPATCH SHEET'!B$3:B$121,'DISPATCH SHEET'!C$3:C$121,""))</f>
        <v/>
      </c>
      <c r="C1305" s="14" t="str">
        <f>IF(ISBLANK(A1305),"",_xlfn.XLOOKUP(A1305,'DISPATCH SHEET'!C$3:C$121,'DISPATCH SHEET'!#REF!,""))</f>
        <v/>
      </c>
      <c r="D1305" s="21"/>
      <c r="E1305" s="21"/>
      <c r="F1305" s="21"/>
      <c r="G1305" s="21"/>
      <c r="H1305" s="21"/>
      <c r="I1305" s="21"/>
      <c r="J1305" s="21"/>
      <c r="K1305" s="22"/>
    </row>
    <row r="1306" spans="1:11" s="5" customFormat="1" ht="15" customHeight="1" x14ac:dyDescent="0.2">
      <c r="A1306" s="20"/>
      <c r="B1306" s="14" t="str">
        <f>IF(A1306="","",_xlfn.XLOOKUP(A1306,'DISPATCH SHEET'!B$3:B$121,'DISPATCH SHEET'!C$3:C$121,""))</f>
        <v/>
      </c>
      <c r="C1306" s="14" t="str">
        <f>IF(ISBLANK(A1306),"",_xlfn.XLOOKUP(A1306,'DISPATCH SHEET'!C$3:C$121,'DISPATCH SHEET'!#REF!,""))</f>
        <v/>
      </c>
      <c r="D1306" s="21"/>
      <c r="E1306" s="21"/>
      <c r="F1306" s="21"/>
      <c r="G1306" s="21"/>
      <c r="H1306" s="21"/>
      <c r="I1306" s="21"/>
      <c r="J1306" s="21"/>
      <c r="K1306" s="22"/>
    </row>
    <row r="1307" spans="1:11" s="5" customFormat="1" ht="15" customHeight="1" x14ac:dyDescent="0.2">
      <c r="A1307" s="20"/>
      <c r="B1307" s="14" t="str">
        <f>IF(A1307="","",_xlfn.XLOOKUP(A1307,'DISPATCH SHEET'!B$3:B$121,'DISPATCH SHEET'!C$3:C$121,""))</f>
        <v/>
      </c>
      <c r="C1307" s="14" t="str">
        <f>IF(ISBLANK(A1307),"",_xlfn.XLOOKUP(A1307,'DISPATCH SHEET'!C$3:C$121,'DISPATCH SHEET'!#REF!,""))</f>
        <v/>
      </c>
      <c r="D1307" s="21"/>
      <c r="E1307" s="21"/>
      <c r="F1307" s="21"/>
      <c r="G1307" s="21"/>
      <c r="H1307" s="21"/>
      <c r="I1307" s="21"/>
      <c r="J1307" s="21"/>
      <c r="K1307" s="22"/>
    </row>
    <row r="1308" spans="1:11" s="5" customFormat="1" ht="15" customHeight="1" x14ac:dyDescent="0.2">
      <c r="A1308" s="20"/>
      <c r="B1308" s="14" t="str">
        <f>IF(A1308="","",_xlfn.XLOOKUP(A1308,'DISPATCH SHEET'!B$3:B$121,'DISPATCH SHEET'!C$3:C$121,""))</f>
        <v/>
      </c>
      <c r="C1308" s="14" t="str">
        <f>IF(ISBLANK(A1308),"",_xlfn.XLOOKUP(A1308,'DISPATCH SHEET'!C$3:C$121,'DISPATCH SHEET'!#REF!,""))</f>
        <v/>
      </c>
      <c r="D1308" s="21"/>
      <c r="E1308" s="21"/>
      <c r="F1308" s="21"/>
      <c r="G1308" s="21"/>
      <c r="H1308" s="21"/>
      <c r="I1308" s="21"/>
      <c r="J1308" s="21"/>
      <c r="K1308" s="22"/>
    </row>
    <row r="1309" spans="1:11" s="5" customFormat="1" ht="15" customHeight="1" x14ac:dyDescent="0.2">
      <c r="A1309" s="20"/>
      <c r="B1309" s="14" t="str">
        <f>IF(A1309="","",_xlfn.XLOOKUP(A1309,'DISPATCH SHEET'!B$3:B$121,'DISPATCH SHEET'!C$3:C$121,""))</f>
        <v/>
      </c>
      <c r="C1309" s="14" t="str">
        <f>IF(ISBLANK(A1309),"",_xlfn.XLOOKUP(A1309,'DISPATCH SHEET'!C$3:C$121,'DISPATCH SHEET'!#REF!,""))</f>
        <v/>
      </c>
      <c r="D1309" s="21"/>
      <c r="E1309" s="21"/>
      <c r="F1309" s="21"/>
      <c r="G1309" s="21"/>
      <c r="H1309" s="21"/>
      <c r="I1309" s="21"/>
      <c r="J1309" s="21"/>
      <c r="K1309" s="22"/>
    </row>
    <row r="1310" spans="1:11" s="5" customFormat="1" ht="15" customHeight="1" x14ac:dyDescent="0.2">
      <c r="A1310" s="20"/>
      <c r="B1310" s="14" t="str">
        <f>IF(A1310="","",_xlfn.XLOOKUP(A1310,'DISPATCH SHEET'!B$3:B$121,'DISPATCH SHEET'!C$3:C$121,""))</f>
        <v/>
      </c>
      <c r="C1310" s="14" t="str">
        <f>IF(ISBLANK(A1310),"",_xlfn.XLOOKUP(A1310,'DISPATCH SHEET'!C$3:C$121,'DISPATCH SHEET'!#REF!,""))</f>
        <v/>
      </c>
      <c r="D1310" s="21"/>
      <c r="E1310" s="21"/>
      <c r="F1310" s="21"/>
      <c r="G1310" s="21"/>
      <c r="H1310" s="21"/>
      <c r="I1310" s="21"/>
      <c r="J1310" s="21"/>
      <c r="K1310" s="22"/>
    </row>
    <row r="1311" spans="1:11" s="5" customFormat="1" ht="15" customHeight="1" x14ac:dyDescent="0.2">
      <c r="A1311" s="20"/>
      <c r="B1311" s="14" t="str">
        <f>IF(A1311="","",_xlfn.XLOOKUP(A1311,'DISPATCH SHEET'!B$3:B$121,'DISPATCH SHEET'!C$3:C$121,""))</f>
        <v/>
      </c>
      <c r="C1311" s="14" t="str">
        <f>IF(ISBLANK(A1311),"",_xlfn.XLOOKUP(A1311,'DISPATCH SHEET'!C$3:C$121,'DISPATCH SHEET'!#REF!,""))</f>
        <v/>
      </c>
      <c r="D1311" s="21"/>
      <c r="E1311" s="21"/>
      <c r="F1311" s="21"/>
      <c r="G1311" s="21"/>
      <c r="H1311" s="21"/>
      <c r="I1311" s="21"/>
      <c r="J1311" s="21"/>
      <c r="K1311" s="22"/>
    </row>
    <row r="1312" spans="1:11" s="5" customFormat="1" ht="15" customHeight="1" x14ac:dyDescent="0.2">
      <c r="A1312" s="20"/>
      <c r="B1312" s="14" t="str">
        <f>IF(A1312="","",_xlfn.XLOOKUP(A1312,'DISPATCH SHEET'!B$3:B$121,'DISPATCH SHEET'!C$3:C$121,""))</f>
        <v/>
      </c>
      <c r="C1312" s="14" t="str">
        <f>IF(ISBLANK(A1312),"",_xlfn.XLOOKUP(A1312,'DISPATCH SHEET'!C$3:C$121,'DISPATCH SHEET'!#REF!,""))</f>
        <v/>
      </c>
      <c r="D1312" s="21"/>
      <c r="E1312" s="21"/>
      <c r="F1312" s="21"/>
      <c r="G1312" s="21"/>
      <c r="H1312" s="21"/>
      <c r="I1312" s="21"/>
      <c r="J1312" s="21"/>
      <c r="K1312" s="22"/>
    </row>
    <row r="1313" spans="1:11" s="5" customFormat="1" ht="15" customHeight="1" x14ac:dyDescent="0.2">
      <c r="A1313" s="20"/>
      <c r="B1313" s="14" t="str">
        <f>IF(A1313="","",_xlfn.XLOOKUP(A1313,'DISPATCH SHEET'!B$3:B$121,'DISPATCH SHEET'!C$3:C$121,""))</f>
        <v/>
      </c>
      <c r="C1313" s="14" t="str">
        <f>IF(ISBLANK(A1313),"",_xlfn.XLOOKUP(A1313,'DISPATCH SHEET'!C$3:C$121,'DISPATCH SHEET'!#REF!,""))</f>
        <v/>
      </c>
      <c r="D1313" s="21"/>
      <c r="E1313" s="21"/>
      <c r="F1313" s="21"/>
      <c r="G1313" s="21"/>
      <c r="H1313" s="21"/>
      <c r="I1313" s="21"/>
      <c r="J1313" s="21"/>
      <c r="K1313" s="22"/>
    </row>
    <row r="1314" spans="1:11" s="5" customFormat="1" ht="15" customHeight="1" x14ac:dyDescent="0.2">
      <c r="A1314" s="20"/>
      <c r="B1314" s="14" t="str">
        <f>IF(A1314="","",_xlfn.XLOOKUP(A1314,'DISPATCH SHEET'!B$3:B$121,'DISPATCH SHEET'!C$3:C$121,""))</f>
        <v/>
      </c>
      <c r="C1314" s="14" t="str">
        <f>IF(ISBLANK(A1314),"",_xlfn.XLOOKUP(A1314,'DISPATCH SHEET'!C$3:C$121,'DISPATCH SHEET'!#REF!,""))</f>
        <v/>
      </c>
      <c r="D1314" s="21"/>
      <c r="E1314" s="21"/>
      <c r="F1314" s="21"/>
      <c r="G1314" s="21"/>
      <c r="H1314" s="21"/>
      <c r="I1314" s="21"/>
      <c r="J1314" s="21"/>
      <c r="K1314" s="22"/>
    </row>
    <row r="1315" spans="1:11" s="5" customFormat="1" ht="15" customHeight="1" x14ac:dyDescent="0.2">
      <c r="A1315" s="20"/>
      <c r="B1315" s="14" t="str">
        <f>IF(A1315="","",_xlfn.XLOOKUP(A1315,'DISPATCH SHEET'!B$3:B$121,'DISPATCH SHEET'!C$3:C$121,""))</f>
        <v/>
      </c>
      <c r="C1315" s="14" t="str">
        <f>IF(ISBLANK(A1315),"",_xlfn.XLOOKUP(A1315,'DISPATCH SHEET'!C$3:C$121,'DISPATCH SHEET'!#REF!,""))</f>
        <v/>
      </c>
      <c r="D1315" s="21"/>
      <c r="E1315" s="21"/>
      <c r="F1315" s="21"/>
      <c r="G1315" s="21"/>
      <c r="H1315" s="21"/>
      <c r="I1315" s="21"/>
      <c r="J1315" s="21"/>
      <c r="K1315" s="22"/>
    </row>
    <row r="1316" spans="1:11" s="5" customFormat="1" ht="15" customHeight="1" x14ac:dyDescent="0.2">
      <c r="A1316" s="20"/>
      <c r="B1316" s="14" t="str">
        <f>IF(A1316="","",_xlfn.XLOOKUP(A1316,'DISPATCH SHEET'!B$3:B$121,'DISPATCH SHEET'!C$3:C$121,""))</f>
        <v/>
      </c>
      <c r="C1316" s="14" t="str">
        <f>IF(ISBLANK(A1316),"",_xlfn.XLOOKUP(A1316,'DISPATCH SHEET'!C$3:C$121,'DISPATCH SHEET'!#REF!,""))</f>
        <v/>
      </c>
      <c r="D1316" s="21"/>
      <c r="E1316" s="21"/>
      <c r="F1316" s="21"/>
      <c r="G1316" s="21"/>
      <c r="H1316" s="21"/>
      <c r="I1316" s="21"/>
      <c r="J1316" s="21"/>
      <c r="K1316" s="22"/>
    </row>
    <row r="1317" spans="1:11" s="5" customFormat="1" ht="15" customHeight="1" x14ac:dyDescent="0.2">
      <c r="A1317" s="20"/>
      <c r="B1317" s="14" t="str">
        <f>IF(A1317="","",_xlfn.XLOOKUP(A1317,'DISPATCH SHEET'!B$3:B$121,'DISPATCH SHEET'!C$3:C$121,""))</f>
        <v/>
      </c>
      <c r="C1317" s="14" t="str">
        <f>IF(ISBLANK(A1317),"",_xlfn.XLOOKUP(A1317,'DISPATCH SHEET'!C$3:C$121,'DISPATCH SHEET'!#REF!,""))</f>
        <v/>
      </c>
      <c r="D1317" s="21"/>
      <c r="E1317" s="21"/>
      <c r="F1317" s="21"/>
      <c r="G1317" s="21"/>
      <c r="H1317" s="21"/>
      <c r="I1317" s="21"/>
      <c r="J1317" s="21"/>
      <c r="K1317" s="22"/>
    </row>
    <row r="1318" spans="1:11" s="5" customFormat="1" ht="15" customHeight="1" x14ac:dyDescent="0.2">
      <c r="A1318" s="20"/>
      <c r="B1318" s="14" t="str">
        <f>IF(A1318="","",_xlfn.XLOOKUP(A1318,'DISPATCH SHEET'!B$3:B$121,'DISPATCH SHEET'!C$3:C$121,""))</f>
        <v/>
      </c>
      <c r="C1318" s="14" t="str">
        <f>IF(ISBLANK(A1318),"",_xlfn.XLOOKUP(A1318,'DISPATCH SHEET'!C$3:C$121,'DISPATCH SHEET'!#REF!,""))</f>
        <v/>
      </c>
      <c r="D1318" s="21"/>
      <c r="E1318" s="21"/>
      <c r="F1318" s="21"/>
      <c r="G1318" s="21"/>
      <c r="H1318" s="21"/>
      <c r="I1318" s="21"/>
      <c r="J1318" s="21"/>
      <c r="K1318" s="22"/>
    </row>
    <row r="1319" spans="1:11" s="5" customFormat="1" ht="15" customHeight="1" x14ac:dyDescent="0.2">
      <c r="A1319" s="20"/>
      <c r="B1319" s="14" t="str">
        <f>IF(A1319="","",_xlfn.XLOOKUP(A1319,'DISPATCH SHEET'!B$3:B$121,'DISPATCH SHEET'!C$3:C$121,""))</f>
        <v/>
      </c>
      <c r="C1319" s="14" t="str">
        <f>IF(ISBLANK(A1319),"",_xlfn.XLOOKUP(A1319,'DISPATCH SHEET'!C$3:C$121,'DISPATCH SHEET'!#REF!,""))</f>
        <v/>
      </c>
      <c r="D1319" s="21"/>
      <c r="E1319" s="21"/>
      <c r="F1319" s="21"/>
      <c r="G1319" s="21"/>
      <c r="H1319" s="21"/>
      <c r="I1319" s="21"/>
      <c r="J1319" s="21"/>
      <c r="K1319" s="22"/>
    </row>
    <row r="1320" spans="1:11" s="5" customFormat="1" ht="15" customHeight="1" x14ac:dyDescent="0.2">
      <c r="A1320" s="20"/>
      <c r="B1320" s="14" t="str">
        <f>IF(A1320="","",_xlfn.XLOOKUP(A1320,'DISPATCH SHEET'!B$3:B$121,'DISPATCH SHEET'!C$3:C$121,""))</f>
        <v/>
      </c>
      <c r="C1320" s="14" t="str">
        <f>IF(ISBLANK(A1320),"",_xlfn.XLOOKUP(A1320,'DISPATCH SHEET'!C$3:C$121,'DISPATCH SHEET'!#REF!,""))</f>
        <v/>
      </c>
      <c r="D1320" s="21"/>
      <c r="E1320" s="21"/>
      <c r="F1320" s="21"/>
      <c r="G1320" s="21"/>
      <c r="H1320" s="21"/>
      <c r="I1320" s="21"/>
      <c r="J1320" s="21"/>
      <c r="K1320" s="22"/>
    </row>
    <row r="1321" spans="1:11" s="5" customFormat="1" ht="15" customHeight="1" x14ac:dyDescent="0.2">
      <c r="A1321" s="20"/>
      <c r="B1321" s="14" t="str">
        <f>IF(A1321="","",_xlfn.XLOOKUP(A1321,'DISPATCH SHEET'!B$3:B$121,'DISPATCH SHEET'!C$3:C$121,""))</f>
        <v/>
      </c>
      <c r="C1321" s="14" t="str">
        <f>IF(ISBLANK(A1321),"",_xlfn.XLOOKUP(A1321,'DISPATCH SHEET'!C$3:C$121,'DISPATCH SHEET'!#REF!,""))</f>
        <v/>
      </c>
      <c r="D1321" s="21"/>
      <c r="E1321" s="21"/>
      <c r="F1321" s="21"/>
      <c r="G1321" s="21"/>
      <c r="H1321" s="21"/>
      <c r="I1321" s="21"/>
      <c r="J1321" s="21"/>
      <c r="K1321" s="22"/>
    </row>
    <row r="1322" spans="1:11" s="5" customFormat="1" ht="15" customHeight="1" x14ac:dyDescent="0.2">
      <c r="A1322" s="20"/>
      <c r="B1322" s="14" t="str">
        <f>IF(A1322="","",_xlfn.XLOOKUP(A1322,'DISPATCH SHEET'!B$3:B$121,'DISPATCH SHEET'!C$3:C$121,""))</f>
        <v/>
      </c>
      <c r="C1322" s="14" t="str">
        <f>IF(ISBLANK(A1322),"",_xlfn.XLOOKUP(A1322,'DISPATCH SHEET'!C$3:C$121,'DISPATCH SHEET'!#REF!,""))</f>
        <v/>
      </c>
      <c r="D1322" s="21"/>
      <c r="E1322" s="21"/>
      <c r="F1322" s="21"/>
      <c r="G1322" s="21"/>
      <c r="H1322" s="21"/>
      <c r="I1322" s="21"/>
      <c r="J1322" s="21"/>
      <c r="K1322" s="22"/>
    </row>
    <row r="1323" spans="1:11" s="5" customFormat="1" ht="15" customHeight="1" x14ac:dyDescent="0.2">
      <c r="A1323" s="20"/>
      <c r="B1323" s="14" t="str">
        <f>IF(A1323="","",_xlfn.XLOOKUP(A1323,'DISPATCH SHEET'!B$3:B$121,'DISPATCH SHEET'!C$3:C$121,""))</f>
        <v/>
      </c>
      <c r="C1323" s="14" t="str">
        <f>IF(ISBLANK(A1323),"",_xlfn.XLOOKUP(A1323,'DISPATCH SHEET'!C$3:C$121,'DISPATCH SHEET'!#REF!,""))</f>
        <v/>
      </c>
      <c r="D1323" s="21"/>
      <c r="E1323" s="21"/>
      <c r="F1323" s="21"/>
      <c r="G1323" s="21"/>
      <c r="H1323" s="21"/>
      <c r="I1323" s="21"/>
      <c r="J1323" s="21"/>
      <c r="K1323" s="22"/>
    </row>
    <row r="1324" spans="1:11" s="5" customFormat="1" ht="15" customHeight="1" x14ac:dyDescent="0.2">
      <c r="A1324" s="20"/>
      <c r="B1324" s="14" t="str">
        <f>IF(A1324="","",_xlfn.XLOOKUP(A1324,'DISPATCH SHEET'!B$3:B$121,'DISPATCH SHEET'!C$3:C$121,""))</f>
        <v/>
      </c>
      <c r="C1324" s="14" t="str">
        <f>IF(ISBLANK(A1324),"",_xlfn.XLOOKUP(A1324,'DISPATCH SHEET'!C$3:C$121,'DISPATCH SHEET'!#REF!,""))</f>
        <v/>
      </c>
      <c r="D1324" s="21"/>
      <c r="E1324" s="21"/>
      <c r="F1324" s="21"/>
      <c r="G1324" s="21"/>
      <c r="H1324" s="21"/>
      <c r="I1324" s="21"/>
      <c r="J1324" s="21"/>
      <c r="K1324" s="22"/>
    </row>
    <row r="1325" spans="1:11" s="5" customFormat="1" ht="15" customHeight="1" x14ac:dyDescent="0.2">
      <c r="A1325" s="20"/>
      <c r="B1325" s="14" t="str">
        <f>IF(A1325="","",_xlfn.XLOOKUP(A1325,'DISPATCH SHEET'!B$3:B$121,'DISPATCH SHEET'!C$3:C$121,""))</f>
        <v/>
      </c>
      <c r="C1325" s="14" t="str">
        <f>IF(ISBLANK(A1325),"",_xlfn.XLOOKUP(A1325,'DISPATCH SHEET'!C$3:C$121,'DISPATCH SHEET'!#REF!,""))</f>
        <v/>
      </c>
      <c r="D1325" s="21"/>
      <c r="E1325" s="21"/>
      <c r="F1325" s="21"/>
      <c r="G1325" s="21"/>
      <c r="H1325" s="21"/>
      <c r="I1325" s="21"/>
      <c r="J1325" s="21"/>
      <c r="K1325" s="22"/>
    </row>
    <row r="1326" spans="1:11" s="5" customFormat="1" ht="15" customHeight="1" x14ac:dyDescent="0.2">
      <c r="A1326" s="20"/>
      <c r="B1326" s="14" t="str">
        <f>IF(A1326="","",_xlfn.XLOOKUP(A1326,'DISPATCH SHEET'!B$3:B$121,'DISPATCH SHEET'!C$3:C$121,""))</f>
        <v/>
      </c>
      <c r="C1326" s="14" t="str">
        <f>IF(ISBLANK(A1326),"",_xlfn.XLOOKUP(A1326,'DISPATCH SHEET'!C$3:C$121,'DISPATCH SHEET'!#REF!,""))</f>
        <v/>
      </c>
      <c r="D1326" s="21"/>
      <c r="E1326" s="21"/>
      <c r="F1326" s="21"/>
      <c r="G1326" s="21"/>
      <c r="H1326" s="21"/>
      <c r="I1326" s="21"/>
      <c r="J1326" s="21"/>
      <c r="K1326" s="22"/>
    </row>
    <row r="1327" spans="1:11" s="5" customFormat="1" ht="15" customHeight="1" x14ac:dyDescent="0.2">
      <c r="A1327" s="20"/>
      <c r="B1327" s="14" t="str">
        <f>IF(A1327="","",_xlfn.XLOOKUP(A1327,'DISPATCH SHEET'!B$3:B$121,'DISPATCH SHEET'!C$3:C$121,""))</f>
        <v/>
      </c>
      <c r="C1327" s="14" t="str">
        <f>IF(ISBLANK(A1327),"",_xlfn.XLOOKUP(A1327,'DISPATCH SHEET'!C$3:C$121,'DISPATCH SHEET'!#REF!,""))</f>
        <v/>
      </c>
      <c r="D1327" s="21"/>
      <c r="E1327" s="21"/>
      <c r="F1327" s="21"/>
      <c r="G1327" s="21"/>
      <c r="H1327" s="21"/>
      <c r="I1327" s="21"/>
      <c r="J1327" s="21"/>
      <c r="K1327" s="22"/>
    </row>
    <row r="1328" spans="1:11" s="5" customFormat="1" ht="15" customHeight="1" x14ac:dyDescent="0.2">
      <c r="A1328" s="20"/>
      <c r="B1328" s="14" t="str">
        <f>IF(A1328="","",_xlfn.XLOOKUP(A1328,'DISPATCH SHEET'!B$3:B$121,'DISPATCH SHEET'!C$3:C$121,""))</f>
        <v/>
      </c>
      <c r="C1328" s="14" t="str">
        <f>IF(ISBLANK(A1328),"",_xlfn.XLOOKUP(A1328,'DISPATCH SHEET'!C$3:C$121,'DISPATCH SHEET'!#REF!,""))</f>
        <v/>
      </c>
      <c r="D1328" s="21"/>
      <c r="E1328" s="21"/>
      <c r="F1328" s="21"/>
      <c r="G1328" s="21"/>
      <c r="H1328" s="21"/>
      <c r="I1328" s="21"/>
      <c r="J1328" s="21"/>
      <c r="K1328" s="22"/>
    </row>
    <row r="1329" spans="1:11" s="5" customFormat="1" ht="15" customHeight="1" x14ac:dyDescent="0.2">
      <c r="A1329" s="20"/>
      <c r="B1329" s="14" t="str">
        <f>IF(A1329="","",_xlfn.XLOOKUP(A1329,'DISPATCH SHEET'!B$3:B$121,'DISPATCH SHEET'!C$3:C$121,""))</f>
        <v/>
      </c>
      <c r="C1329" s="14" t="str">
        <f>IF(ISBLANK(A1329),"",_xlfn.XLOOKUP(A1329,'DISPATCH SHEET'!C$3:C$121,'DISPATCH SHEET'!#REF!,""))</f>
        <v/>
      </c>
      <c r="D1329" s="21"/>
      <c r="E1329" s="21"/>
      <c r="F1329" s="21"/>
      <c r="G1329" s="21"/>
      <c r="H1329" s="21"/>
      <c r="I1329" s="21"/>
      <c r="J1329" s="21"/>
      <c r="K1329" s="22"/>
    </row>
    <row r="1330" spans="1:11" s="5" customFormat="1" ht="15" customHeight="1" x14ac:dyDescent="0.2">
      <c r="A1330" s="20"/>
      <c r="B1330" s="14" t="str">
        <f>IF(A1330="","",_xlfn.XLOOKUP(A1330,'DISPATCH SHEET'!B$3:B$121,'DISPATCH SHEET'!C$3:C$121,""))</f>
        <v/>
      </c>
      <c r="C1330" s="14" t="str">
        <f>IF(ISBLANK(A1330),"",_xlfn.XLOOKUP(A1330,'DISPATCH SHEET'!C$3:C$121,'DISPATCH SHEET'!#REF!,""))</f>
        <v/>
      </c>
      <c r="D1330" s="21"/>
      <c r="E1330" s="21"/>
      <c r="F1330" s="21"/>
      <c r="G1330" s="21"/>
      <c r="H1330" s="21"/>
      <c r="I1330" s="21"/>
      <c r="J1330" s="21"/>
      <c r="K1330" s="22"/>
    </row>
    <row r="1331" spans="1:11" s="5" customFormat="1" ht="15" customHeight="1" x14ac:dyDescent="0.2">
      <c r="A1331" s="20"/>
      <c r="B1331" s="14" t="str">
        <f>IF(A1331="","",_xlfn.XLOOKUP(A1331,'DISPATCH SHEET'!B$3:B$121,'DISPATCH SHEET'!C$3:C$121,""))</f>
        <v/>
      </c>
      <c r="C1331" s="14" t="str">
        <f>IF(ISBLANK(A1331),"",_xlfn.XLOOKUP(A1331,'DISPATCH SHEET'!C$3:C$121,'DISPATCH SHEET'!#REF!,""))</f>
        <v/>
      </c>
      <c r="D1331" s="21"/>
      <c r="E1331" s="21"/>
      <c r="F1331" s="21"/>
      <c r="G1331" s="21"/>
      <c r="H1331" s="21"/>
      <c r="I1331" s="21"/>
      <c r="J1331" s="21"/>
      <c r="K1331" s="22"/>
    </row>
    <row r="1332" spans="1:11" s="5" customFormat="1" ht="15" customHeight="1" x14ac:dyDescent="0.2">
      <c r="A1332" s="20"/>
      <c r="B1332" s="14" t="str">
        <f>IF(A1332="","",_xlfn.XLOOKUP(A1332,'DISPATCH SHEET'!B$3:B$121,'DISPATCH SHEET'!C$3:C$121,""))</f>
        <v/>
      </c>
      <c r="C1332" s="14" t="str">
        <f>IF(ISBLANK(A1332),"",_xlfn.XLOOKUP(A1332,'DISPATCH SHEET'!C$3:C$121,'DISPATCH SHEET'!#REF!,""))</f>
        <v/>
      </c>
      <c r="D1332" s="21"/>
      <c r="E1332" s="21"/>
      <c r="F1332" s="21"/>
      <c r="G1332" s="21"/>
      <c r="H1332" s="21"/>
      <c r="I1332" s="21"/>
      <c r="J1332" s="21"/>
      <c r="K1332" s="22"/>
    </row>
    <row r="1333" spans="1:11" s="5" customFormat="1" ht="15" customHeight="1" x14ac:dyDescent="0.2">
      <c r="A1333" s="20"/>
      <c r="B1333" s="14" t="str">
        <f>IF(A1333="","",_xlfn.XLOOKUP(A1333,'DISPATCH SHEET'!B$3:B$121,'DISPATCH SHEET'!C$3:C$121,""))</f>
        <v/>
      </c>
      <c r="C1333" s="14" t="str">
        <f>IF(ISBLANK(A1333),"",_xlfn.XLOOKUP(A1333,'DISPATCH SHEET'!C$3:C$121,'DISPATCH SHEET'!#REF!,""))</f>
        <v/>
      </c>
      <c r="D1333" s="21"/>
      <c r="E1333" s="21"/>
      <c r="F1333" s="21"/>
      <c r="G1333" s="21"/>
      <c r="H1333" s="21"/>
      <c r="I1333" s="21"/>
      <c r="J1333" s="21"/>
      <c r="K1333" s="22"/>
    </row>
    <row r="1334" spans="1:11" s="5" customFormat="1" ht="15" customHeight="1" x14ac:dyDescent="0.2">
      <c r="A1334" s="20"/>
      <c r="B1334" s="14" t="str">
        <f>IF(A1334="","",_xlfn.XLOOKUP(A1334,'DISPATCH SHEET'!B$3:B$121,'DISPATCH SHEET'!C$3:C$121,""))</f>
        <v/>
      </c>
      <c r="C1334" s="14" t="str">
        <f>IF(ISBLANK(A1334),"",_xlfn.XLOOKUP(A1334,'DISPATCH SHEET'!C$3:C$121,'DISPATCH SHEET'!#REF!,""))</f>
        <v/>
      </c>
      <c r="D1334" s="21"/>
      <c r="E1334" s="21"/>
      <c r="F1334" s="21"/>
      <c r="G1334" s="21"/>
      <c r="H1334" s="21"/>
      <c r="I1334" s="21"/>
      <c r="J1334" s="21"/>
      <c r="K1334" s="22"/>
    </row>
    <row r="1335" spans="1:11" s="5" customFormat="1" ht="15" customHeight="1" x14ac:dyDescent="0.2">
      <c r="A1335" s="20"/>
      <c r="B1335" s="14" t="str">
        <f>IF(A1335="","",_xlfn.XLOOKUP(A1335,'DISPATCH SHEET'!B$3:B$121,'DISPATCH SHEET'!C$3:C$121,""))</f>
        <v/>
      </c>
      <c r="C1335" s="14" t="str">
        <f>IF(ISBLANK(A1335),"",_xlfn.XLOOKUP(A1335,'DISPATCH SHEET'!C$3:C$121,'DISPATCH SHEET'!#REF!,""))</f>
        <v/>
      </c>
      <c r="D1335" s="21"/>
      <c r="E1335" s="21"/>
      <c r="F1335" s="21"/>
      <c r="G1335" s="21"/>
      <c r="H1335" s="21"/>
      <c r="I1335" s="21"/>
      <c r="J1335" s="21"/>
      <c r="K1335" s="22"/>
    </row>
    <row r="1336" spans="1:11" s="5" customFormat="1" ht="15" customHeight="1" x14ac:dyDescent="0.2">
      <c r="A1336" s="20"/>
      <c r="B1336" s="14" t="str">
        <f>IF(A1336="","",_xlfn.XLOOKUP(A1336,'DISPATCH SHEET'!B$3:B$121,'DISPATCH SHEET'!C$3:C$121,""))</f>
        <v/>
      </c>
      <c r="C1336" s="14" t="str">
        <f>IF(ISBLANK(A1336),"",_xlfn.XLOOKUP(A1336,'DISPATCH SHEET'!C$3:C$121,'DISPATCH SHEET'!#REF!,""))</f>
        <v/>
      </c>
      <c r="D1336" s="21"/>
      <c r="E1336" s="21"/>
      <c r="F1336" s="21"/>
      <c r="G1336" s="21"/>
      <c r="H1336" s="21"/>
      <c r="I1336" s="21"/>
      <c r="J1336" s="21"/>
      <c r="K1336" s="22"/>
    </row>
    <row r="1337" spans="1:11" s="5" customFormat="1" ht="15" customHeight="1" x14ac:dyDescent="0.2">
      <c r="A1337" s="20"/>
      <c r="B1337" s="14" t="str">
        <f>IF(A1337="","",_xlfn.XLOOKUP(A1337,'DISPATCH SHEET'!B$3:B$121,'DISPATCH SHEET'!C$3:C$121,""))</f>
        <v/>
      </c>
      <c r="C1337" s="14" t="str">
        <f>IF(ISBLANK(A1337),"",_xlfn.XLOOKUP(A1337,'DISPATCH SHEET'!C$3:C$121,'DISPATCH SHEET'!#REF!,""))</f>
        <v/>
      </c>
      <c r="D1337" s="21"/>
      <c r="E1337" s="21"/>
      <c r="F1337" s="21"/>
      <c r="G1337" s="21"/>
      <c r="H1337" s="21"/>
      <c r="I1337" s="21"/>
      <c r="J1337" s="21"/>
      <c r="K1337" s="22"/>
    </row>
    <row r="1338" spans="1:11" s="5" customFormat="1" ht="15" customHeight="1" x14ac:dyDescent="0.2">
      <c r="A1338" s="20"/>
      <c r="B1338" s="14" t="str">
        <f>IF(A1338="","",_xlfn.XLOOKUP(A1338,'DISPATCH SHEET'!B$3:B$121,'DISPATCH SHEET'!C$3:C$121,""))</f>
        <v/>
      </c>
      <c r="C1338" s="14" t="str">
        <f>IF(ISBLANK(A1338),"",_xlfn.XLOOKUP(A1338,'DISPATCH SHEET'!C$3:C$121,'DISPATCH SHEET'!#REF!,""))</f>
        <v/>
      </c>
      <c r="D1338" s="21"/>
      <c r="E1338" s="21"/>
      <c r="F1338" s="21"/>
      <c r="G1338" s="21"/>
      <c r="H1338" s="21"/>
      <c r="I1338" s="21"/>
      <c r="J1338" s="21"/>
      <c r="K1338" s="22"/>
    </row>
    <row r="1339" spans="1:11" s="5" customFormat="1" ht="15" customHeight="1" x14ac:dyDescent="0.2">
      <c r="A1339" s="20"/>
      <c r="B1339" s="14" t="str">
        <f>IF(A1339="","",_xlfn.XLOOKUP(A1339,'DISPATCH SHEET'!B$3:B$121,'DISPATCH SHEET'!C$3:C$121,""))</f>
        <v/>
      </c>
      <c r="C1339" s="14" t="str">
        <f>IF(ISBLANK(A1339),"",_xlfn.XLOOKUP(A1339,'DISPATCH SHEET'!C$3:C$121,'DISPATCH SHEET'!#REF!,""))</f>
        <v/>
      </c>
      <c r="D1339" s="21"/>
      <c r="E1339" s="21"/>
      <c r="F1339" s="21"/>
      <c r="G1339" s="21"/>
      <c r="H1339" s="21"/>
      <c r="I1339" s="21"/>
      <c r="J1339" s="21"/>
      <c r="K1339" s="22"/>
    </row>
    <row r="1340" spans="1:11" s="5" customFormat="1" ht="15" customHeight="1" x14ac:dyDescent="0.2">
      <c r="A1340" s="20"/>
      <c r="B1340" s="14" t="str">
        <f>IF(A1340="","",_xlfn.XLOOKUP(A1340,'DISPATCH SHEET'!B$3:B$121,'DISPATCH SHEET'!C$3:C$121,""))</f>
        <v/>
      </c>
      <c r="C1340" s="14" t="str">
        <f>IF(ISBLANK(A1340),"",_xlfn.XLOOKUP(A1340,'DISPATCH SHEET'!C$3:C$121,'DISPATCH SHEET'!#REF!,""))</f>
        <v/>
      </c>
      <c r="D1340" s="21"/>
      <c r="E1340" s="21"/>
      <c r="F1340" s="21"/>
      <c r="G1340" s="21"/>
      <c r="H1340" s="21"/>
      <c r="I1340" s="21"/>
      <c r="J1340" s="21"/>
      <c r="K1340" s="22"/>
    </row>
    <row r="1341" spans="1:11" s="5" customFormat="1" ht="15" customHeight="1" x14ac:dyDescent="0.2">
      <c r="A1341" s="20"/>
      <c r="B1341" s="14" t="str">
        <f>IF(A1341="","",_xlfn.XLOOKUP(A1341,'DISPATCH SHEET'!B$3:B$121,'DISPATCH SHEET'!C$3:C$121,""))</f>
        <v/>
      </c>
      <c r="C1341" s="14" t="str">
        <f>IF(ISBLANK(A1341),"",_xlfn.XLOOKUP(A1341,'DISPATCH SHEET'!C$3:C$121,'DISPATCH SHEET'!#REF!,""))</f>
        <v/>
      </c>
      <c r="D1341" s="21"/>
      <c r="E1341" s="21"/>
      <c r="F1341" s="21"/>
      <c r="G1341" s="21"/>
      <c r="H1341" s="21"/>
      <c r="I1341" s="21"/>
      <c r="J1341" s="21"/>
      <c r="K1341" s="22"/>
    </row>
    <row r="1342" spans="1:11" s="5" customFormat="1" ht="15" customHeight="1" x14ac:dyDescent="0.2">
      <c r="A1342" s="20"/>
      <c r="B1342" s="14" t="str">
        <f>IF(A1342="","",_xlfn.XLOOKUP(A1342,'DISPATCH SHEET'!B$3:B$121,'DISPATCH SHEET'!C$3:C$121,""))</f>
        <v/>
      </c>
      <c r="C1342" s="14" t="str">
        <f>IF(ISBLANK(A1342),"",_xlfn.XLOOKUP(A1342,'DISPATCH SHEET'!C$3:C$121,'DISPATCH SHEET'!#REF!,""))</f>
        <v/>
      </c>
      <c r="D1342" s="21"/>
      <c r="E1342" s="21"/>
      <c r="F1342" s="21"/>
      <c r="G1342" s="21"/>
      <c r="H1342" s="21"/>
      <c r="I1342" s="21"/>
      <c r="J1342" s="21"/>
      <c r="K1342" s="22"/>
    </row>
    <row r="1343" spans="1:11" s="5" customFormat="1" ht="15" customHeight="1" x14ac:dyDescent="0.2">
      <c r="A1343" s="20"/>
      <c r="B1343" s="14" t="str">
        <f>IF(A1343="","",_xlfn.XLOOKUP(A1343,'DISPATCH SHEET'!B$3:B$121,'DISPATCH SHEET'!C$3:C$121,""))</f>
        <v/>
      </c>
      <c r="C1343" s="14" t="str">
        <f>IF(ISBLANK(A1343),"",_xlfn.XLOOKUP(A1343,'DISPATCH SHEET'!C$3:C$121,'DISPATCH SHEET'!#REF!,""))</f>
        <v/>
      </c>
      <c r="D1343" s="21"/>
      <c r="E1343" s="21"/>
      <c r="F1343" s="21"/>
      <c r="G1343" s="21"/>
      <c r="H1343" s="21"/>
      <c r="I1343" s="21"/>
      <c r="J1343" s="21"/>
      <c r="K1343" s="22"/>
    </row>
    <row r="1344" spans="1:11" s="5" customFormat="1" ht="15" customHeight="1" x14ac:dyDescent="0.2">
      <c r="A1344" s="20"/>
      <c r="B1344" s="14" t="str">
        <f>IF(A1344="","",_xlfn.XLOOKUP(A1344,'DISPATCH SHEET'!B$3:B$121,'DISPATCH SHEET'!C$3:C$121,""))</f>
        <v/>
      </c>
      <c r="C1344" s="14" t="str">
        <f>IF(ISBLANK(A1344),"",_xlfn.XLOOKUP(A1344,'DISPATCH SHEET'!C$3:C$121,'DISPATCH SHEET'!#REF!,""))</f>
        <v/>
      </c>
      <c r="D1344" s="21"/>
      <c r="E1344" s="21"/>
      <c r="F1344" s="21"/>
      <c r="G1344" s="21"/>
      <c r="H1344" s="21"/>
      <c r="I1344" s="21"/>
      <c r="J1344" s="21"/>
      <c r="K1344" s="22"/>
    </row>
    <row r="1345" spans="1:11" s="5" customFormat="1" ht="15" customHeight="1" x14ac:dyDescent="0.2">
      <c r="A1345" s="20"/>
      <c r="B1345" s="14" t="str">
        <f>IF(A1345="","",_xlfn.XLOOKUP(A1345,'DISPATCH SHEET'!B$3:B$121,'DISPATCH SHEET'!C$3:C$121,""))</f>
        <v/>
      </c>
      <c r="C1345" s="14" t="str">
        <f>IF(ISBLANK(A1345),"",_xlfn.XLOOKUP(A1345,'DISPATCH SHEET'!C$3:C$121,'DISPATCH SHEET'!#REF!,""))</f>
        <v/>
      </c>
      <c r="D1345" s="21"/>
      <c r="E1345" s="21"/>
      <c r="F1345" s="21"/>
      <c r="G1345" s="21"/>
      <c r="H1345" s="21"/>
      <c r="I1345" s="21"/>
      <c r="J1345" s="21"/>
      <c r="K1345" s="22"/>
    </row>
    <row r="1346" spans="1:11" s="5" customFormat="1" ht="15" customHeight="1" x14ac:dyDescent="0.2">
      <c r="A1346" s="20"/>
      <c r="B1346" s="14" t="str">
        <f>IF(A1346="","",_xlfn.XLOOKUP(A1346,'DISPATCH SHEET'!B$3:B$121,'DISPATCH SHEET'!C$3:C$121,""))</f>
        <v/>
      </c>
      <c r="C1346" s="14" t="str">
        <f>IF(ISBLANK(A1346),"",_xlfn.XLOOKUP(A1346,'DISPATCH SHEET'!C$3:C$121,'DISPATCH SHEET'!#REF!,""))</f>
        <v/>
      </c>
      <c r="D1346" s="21"/>
      <c r="E1346" s="21"/>
      <c r="F1346" s="21"/>
      <c r="G1346" s="21"/>
      <c r="H1346" s="21"/>
      <c r="I1346" s="21"/>
      <c r="J1346" s="21"/>
      <c r="K1346" s="22"/>
    </row>
    <row r="1347" spans="1:11" s="5" customFormat="1" ht="15" customHeight="1" x14ac:dyDescent="0.2">
      <c r="A1347" s="20"/>
      <c r="B1347" s="14" t="str">
        <f>IF(A1347="","",_xlfn.XLOOKUP(A1347,'DISPATCH SHEET'!B$3:B$121,'DISPATCH SHEET'!C$3:C$121,""))</f>
        <v/>
      </c>
      <c r="C1347" s="14" t="str">
        <f>IF(ISBLANK(A1347),"",_xlfn.XLOOKUP(A1347,'DISPATCH SHEET'!C$3:C$121,'DISPATCH SHEET'!#REF!,""))</f>
        <v/>
      </c>
      <c r="D1347" s="21"/>
      <c r="E1347" s="21"/>
      <c r="F1347" s="21"/>
      <c r="G1347" s="21"/>
      <c r="H1347" s="21"/>
      <c r="I1347" s="21"/>
      <c r="J1347" s="21"/>
      <c r="K1347" s="22"/>
    </row>
    <row r="1348" spans="1:11" s="5" customFormat="1" ht="15" customHeight="1" x14ac:dyDescent="0.2">
      <c r="A1348" s="20"/>
      <c r="B1348" s="14" t="str">
        <f>IF(A1348="","",_xlfn.XLOOKUP(A1348,'DISPATCH SHEET'!B$3:B$121,'DISPATCH SHEET'!C$3:C$121,""))</f>
        <v/>
      </c>
      <c r="C1348" s="14" t="str">
        <f>IF(ISBLANK(A1348),"",_xlfn.XLOOKUP(A1348,'DISPATCH SHEET'!C$3:C$121,'DISPATCH SHEET'!#REF!,""))</f>
        <v/>
      </c>
      <c r="D1348" s="21"/>
      <c r="E1348" s="21"/>
      <c r="F1348" s="21"/>
      <c r="G1348" s="21"/>
      <c r="H1348" s="21"/>
      <c r="I1348" s="21"/>
      <c r="J1348" s="21"/>
      <c r="K1348" s="22"/>
    </row>
    <row r="1349" spans="1:11" s="5" customFormat="1" ht="15" customHeight="1" x14ac:dyDescent="0.2">
      <c r="A1349" s="20"/>
      <c r="B1349" s="14" t="str">
        <f>IF(A1349="","",_xlfn.XLOOKUP(A1349,'DISPATCH SHEET'!B$3:B$121,'DISPATCH SHEET'!C$3:C$121,""))</f>
        <v/>
      </c>
      <c r="C1349" s="14" t="str">
        <f>IF(ISBLANK(A1349),"",_xlfn.XLOOKUP(A1349,'DISPATCH SHEET'!C$3:C$121,'DISPATCH SHEET'!#REF!,""))</f>
        <v/>
      </c>
      <c r="D1349" s="21"/>
      <c r="E1349" s="21"/>
      <c r="F1349" s="21"/>
      <c r="G1349" s="21"/>
      <c r="H1349" s="21"/>
      <c r="I1349" s="21"/>
      <c r="J1349" s="21"/>
      <c r="K1349" s="22"/>
    </row>
    <row r="1350" spans="1:11" s="5" customFormat="1" ht="15" customHeight="1" x14ac:dyDescent="0.2">
      <c r="A1350" s="20"/>
      <c r="B1350" s="14" t="str">
        <f>IF(A1350="","",_xlfn.XLOOKUP(A1350,'DISPATCH SHEET'!B$3:B$121,'DISPATCH SHEET'!C$3:C$121,""))</f>
        <v/>
      </c>
      <c r="C1350" s="14" t="str">
        <f>IF(ISBLANK(A1350),"",_xlfn.XLOOKUP(A1350,'DISPATCH SHEET'!C$3:C$121,'DISPATCH SHEET'!#REF!,""))</f>
        <v/>
      </c>
      <c r="D1350" s="21"/>
      <c r="E1350" s="21"/>
      <c r="F1350" s="21"/>
      <c r="G1350" s="21"/>
      <c r="H1350" s="21"/>
      <c r="I1350" s="21"/>
      <c r="J1350" s="21"/>
      <c r="K1350" s="22"/>
    </row>
    <row r="1351" spans="1:11" s="5" customFormat="1" ht="15" customHeight="1" x14ac:dyDescent="0.2">
      <c r="A1351" s="20"/>
      <c r="B1351" s="14" t="str">
        <f>IF(A1351="","",_xlfn.XLOOKUP(A1351,'DISPATCH SHEET'!B$3:B$121,'DISPATCH SHEET'!C$3:C$121,""))</f>
        <v/>
      </c>
      <c r="C1351" s="14" t="str">
        <f>IF(ISBLANK(A1351),"",_xlfn.XLOOKUP(A1351,'DISPATCH SHEET'!C$3:C$121,'DISPATCH SHEET'!#REF!,""))</f>
        <v/>
      </c>
      <c r="D1351" s="21"/>
      <c r="E1351" s="21"/>
      <c r="F1351" s="21"/>
      <c r="G1351" s="21"/>
      <c r="H1351" s="21"/>
      <c r="I1351" s="21"/>
      <c r="J1351" s="21"/>
      <c r="K1351" s="22"/>
    </row>
    <row r="1352" spans="1:11" s="5" customFormat="1" ht="15" customHeight="1" x14ac:dyDescent="0.2">
      <c r="A1352" s="20"/>
      <c r="B1352" s="14" t="str">
        <f>IF(A1352="","",_xlfn.XLOOKUP(A1352,'DISPATCH SHEET'!B$3:B$121,'DISPATCH SHEET'!C$3:C$121,""))</f>
        <v/>
      </c>
      <c r="C1352" s="14" t="str">
        <f>IF(ISBLANK(A1352),"",_xlfn.XLOOKUP(A1352,'DISPATCH SHEET'!C$3:C$121,'DISPATCH SHEET'!#REF!,""))</f>
        <v/>
      </c>
      <c r="D1352" s="21"/>
      <c r="E1352" s="21"/>
      <c r="F1352" s="21"/>
      <c r="G1352" s="21"/>
      <c r="H1352" s="21"/>
      <c r="I1352" s="21"/>
      <c r="J1352" s="21"/>
      <c r="K1352" s="22"/>
    </row>
    <row r="1353" spans="1:11" s="5" customFormat="1" ht="15" customHeight="1" x14ac:dyDescent="0.2">
      <c r="A1353" s="20"/>
      <c r="B1353" s="14" t="str">
        <f>IF(A1353="","",_xlfn.XLOOKUP(A1353,'DISPATCH SHEET'!B$3:B$121,'DISPATCH SHEET'!C$3:C$121,""))</f>
        <v/>
      </c>
      <c r="C1353" s="14" t="str">
        <f>IF(ISBLANK(A1353),"",_xlfn.XLOOKUP(A1353,'DISPATCH SHEET'!C$3:C$121,'DISPATCH SHEET'!#REF!,""))</f>
        <v/>
      </c>
      <c r="D1353" s="21"/>
      <c r="E1353" s="21"/>
      <c r="F1353" s="21"/>
      <c r="G1353" s="21"/>
      <c r="H1353" s="21"/>
      <c r="I1353" s="21"/>
      <c r="J1353" s="21"/>
      <c r="K1353" s="22"/>
    </row>
    <row r="1354" spans="1:11" s="5" customFormat="1" ht="15" customHeight="1" x14ac:dyDescent="0.2">
      <c r="A1354" s="20"/>
      <c r="B1354" s="14" t="str">
        <f>IF(A1354="","",_xlfn.XLOOKUP(A1354,'DISPATCH SHEET'!B$3:B$121,'DISPATCH SHEET'!C$3:C$121,""))</f>
        <v/>
      </c>
      <c r="C1354" s="14" t="str">
        <f>IF(ISBLANK(A1354),"",_xlfn.XLOOKUP(A1354,'DISPATCH SHEET'!C$3:C$121,'DISPATCH SHEET'!#REF!,""))</f>
        <v/>
      </c>
      <c r="D1354" s="21"/>
      <c r="E1354" s="21"/>
      <c r="F1354" s="21"/>
      <c r="G1354" s="21"/>
      <c r="H1354" s="21"/>
      <c r="I1354" s="21"/>
      <c r="J1354" s="21"/>
      <c r="K1354" s="22"/>
    </row>
    <row r="1355" spans="1:11" s="5" customFormat="1" ht="15" customHeight="1" x14ac:dyDescent="0.2">
      <c r="A1355" s="20"/>
      <c r="B1355" s="14" t="str">
        <f>IF(A1355="","",_xlfn.XLOOKUP(A1355,'DISPATCH SHEET'!B$3:B$121,'DISPATCH SHEET'!C$3:C$121,""))</f>
        <v/>
      </c>
      <c r="C1355" s="14" t="str">
        <f>IF(ISBLANK(A1355),"",_xlfn.XLOOKUP(A1355,'DISPATCH SHEET'!C$3:C$121,'DISPATCH SHEET'!#REF!,""))</f>
        <v/>
      </c>
      <c r="D1355" s="21"/>
      <c r="E1355" s="21"/>
      <c r="F1355" s="21"/>
      <c r="G1355" s="21"/>
      <c r="H1355" s="21"/>
      <c r="I1355" s="21"/>
      <c r="J1355" s="21"/>
      <c r="K1355" s="22"/>
    </row>
    <row r="1356" spans="1:11" s="5" customFormat="1" ht="15" customHeight="1" x14ac:dyDescent="0.2">
      <c r="A1356" s="20"/>
      <c r="B1356" s="14" t="str">
        <f>IF(A1356="","",_xlfn.XLOOKUP(A1356,'DISPATCH SHEET'!B$3:B$121,'DISPATCH SHEET'!C$3:C$121,""))</f>
        <v/>
      </c>
      <c r="C1356" s="14" t="str">
        <f>IF(ISBLANK(A1356),"",_xlfn.XLOOKUP(A1356,'DISPATCH SHEET'!C$3:C$121,'DISPATCH SHEET'!#REF!,""))</f>
        <v/>
      </c>
      <c r="D1356" s="21"/>
      <c r="E1356" s="21"/>
      <c r="F1356" s="21"/>
      <c r="G1356" s="21"/>
      <c r="H1356" s="21"/>
      <c r="I1356" s="21"/>
      <c r="J1356" s="21"/>
      <c r="K1356" s="22"/>
    </row>
    <row r="1357" spans="1:11" s="5" customFormat="1" ht="15" customHeight="1" x14ac:dyDescent="0.2">
      <c r="A1357" s="20"/>
      <c r="B1357" s="14" t="str">
        <f>IF(A1357="","",_xlfn.XLOOKUP(A1357,'DISPATCH SHEET'!B$3:B$121,'DISPATCH SHEET'!C$3:C$121,""))</f>
        <v/>
      </c>
      <c r="C1357" s="14" t="str">
        <f>IF(ISBLANK(A1357),"",_xlfn.XLOOKUP(A1357,'DISPATCH SHEET'!C$3:C$121,'DISPATCH SHEET'!#REF!,""))</f>
        <v/>
      </c>
      <c r="D1357" s="21"/>
      <c r="E1357" s="21"/>
      <c r="F1357" s="21"/>
      <c r="G1357" s="21"/>
      <c r="H1357" s="21"/>
      <c r="I1357" s="21"/>
      <c r="J1357" s="21"/>
      <c r="K1357" s="22"/>
    </row>
    <row r="1358" spans="1:11" s="5" customFormat="1" ht="15" customHeight="1" x14ac:dyDescent="0.2">
      <c r="A1358" s="20"/>
      <c r="B1358" s="14" t="str">
        <f>IF(A1358="","",_xlfn.XLOOKUP(A1358,'DISPATCH SHEET'!B$3:B$121,'DISPATCH SHEET'!C$3:C$121,""))</f>
        <v/>
      </c>
      <c r="C1358" s="14" t="str">
        <f>IF(ISBLANK(A1358),"",_xlfn.XLOOKUP(A1358,'DISPATCH SHEET'!C$3:C$121,'DISPATCH SHEET'!#REF!,""))</f>
        <v/>
      </c>
      <c r="D1358" s="21"/>
      <c r="E1358" s="21"/>
      <c r="F1358" s="21"/>
      <c r="G1358" s="21"/>
      <c r="H1358" s="21"/>
      <c r="I1358" s="21"/>
      <c r="J1358" s="21"/>
      <c r="K1358" s="22"/>
    </row>
    <row r="1359" spans="1:11" s="5" customFormat="1" ht="15" customHeight="1" x14ac:dyDescent="0.2">
      <c r="A1359" s="20"/>
      <c r="B1359" s="14" t="str">
        <f>IF(A1359="","",_xlfn.XLOOKUP(A1359,'DISPATCH SHEET'!B$3:B$121,'DISPATCH SHEET'!C$3:C$121,""))</f>
        <v/>
      </c>
      <c r="C1359" s="14" t="str">
        <f>IF(ISBLANK(A1359),"",_xlfn.XLOOKUP(A1359,'DISPATCH SHEET'!C$3:C$121,'DISPATCH SHEET'!#REF!,""))</f>
        <v/>
      </c>
      <c r="D1359" s="21"/>
      <c r="E1359" s="21"/>
      <c r="F1359" s="21"/>
      <c r="G1359" s="21"/>
      <c r="H1359" s="21"/>
      <c r="I1359" s="21"/>
      <c r="J1359" s="21"/>
      <c r="K1359" s="22"/>
    </row>
    <row r="1360" spans="1:11" s="5" customFormat="1" ht="15" customHeight="1" x14ac:dyDescent="0.2">
      <c r="A1360" s="20"/>
      <c r="B1360" s="14" t="str">
        <f>IF(A1360="","",_xlfn.XLOOKUP(A1360,'DISPATCH SHEET'!B$3:B$121,'DISPATCH SHEET'!C$3:C$121,""))</f>
        <v/>
      </c>
      <c r="C1360" s="14" t="str">
        <f>IF(ISBLANK(A1360),"",_xlfn.XLOOKUP(A1360,'DISPATCH SHEET'!C$3:C$121,'DISPATCH SHEET'!#REF!,""))</f>
        <v/>
      </c>
      <c r="D1360" s="21"/>
      <c r="E1360" s="21"/>
      <c r="F1360" s="21"/>
      <c r="G1360" s="21"/>
      <c r="H1360" s="21"/>
      <c r="I1360" s="21"/>
      <c r="J1360" s="21"/>
      <c r="K1360" s="22"/>
    </row>
    <row r="1361" spans="1:11" s="5" customFormat="1" ht="15" customHeight="1" x14ac:dyDescent="0.2">
      <c r="A1361" s="20"/>
      <c r="B1361" s="14" t="str">
        <f>IF(A1361="","",_xlfn.XLOOKUP(A1361,'DISPATCH SHEET'!B$3:B$121,'DISPATCH SHEET'!C$3:C$121,""))</f>
        <v/>
      </c>
      <c r="C1361" s="14" t="str">
        <f>IF(ISBLANK(A1361),"",_xlfn.XLOOKUP(A1361,'DISPATCH SHEET'!C$3:C$121,'DISPATCH SHEET'!#REF!,""))</f>
        <v/>
      </c>
      <c r="D1361" s="21"/>
      <c r="E1361" s="21"/>
      <c r="F1361" s="21"/>
      <c r="G1361" s="21"/>
      <c r="H1361" s="21"/>
      <c r="I1361" s="21"/>
      <c r="J1361" s="21"/>
      <c r="K1361" s="22"/>
    </row>
    <row r="1362" spans="1:11" s="5" customFormat="1" ht="15" customHeight="1" x14ac:dyDescent="0.2">
      <c r="A1362" s="20"/>
      <c r="B1362" s="14" t="str">
        <f>IF(A1362="","",_xlfn.XLOOKUP(A1362,'DISPATCH SHEET'!B$3:B$121,'DISPATCH SHEET'!C$3:C$121,""))</f>
        <v/>
      </c>
      <c r="C1362" s="14" t="str">
        <f>IF(ISBLANK(A1362),"",_xlfn.XLOOKUP(A1362,'DISPATCH SHEET'!C$3:C$121,'DISPATCH SHEET'!#REF!,""))</f>
        <v/>
      </c>
      <c r="D1362" s="21"/>
      <c r="E1362" s="21"/>
      <c r="F1362" s="21"/>
      <c r="G1362" s="21"/>
      <c r="H1362" s="21"/>
      <c r="I1362" s="21"/>
      <c r="J1362" s="21"/>
      <c r="K1362" s="22"/>
    </row>
    <row r="1363" spans="1:11" s="5" customFormat="1" ht="15" customHeight="1" x14ac:dyDescent="0.2">
      <c r="A1363" s="20"/>
      <c r="B1363" s="14" t="str">
        <f>IF(A1363="","",_xlfn.XLOOKUP(A1363,'DISPATCH SHEET'!B$3:B$121,'DISPATCH SHEET'!C$3:C$121,""))</f>
        <v/>
      </c>
      <c r="C1363" s="14" t="str">
        <f>IF(ISBLANK(A1363),"",_xlfn.XLOOKUP(A1363,'DISPATCH SHEET'!C$3:C$121,'DISPATCH SHEET'!#REF!,""))</f>
        <v/>
      </c>
      <c r="D1363" s="21"/>
      <c r="E1363" s="21"/>
      <c r="F1363" s="21"/>
      <c r="G1363" s="21"/>
      <c r="H1363" s="21"/>
      <c r="I1363" s="21"/>
      <c r="J1363" s="21"/>
      <c r="K1363" s="22"/>
    </row>
    <row r="1364" spans="1:11" s="5" customFormat="1" ht="15" customHeight="1" x14ac:dyDescent="0.2">
      <c r="A1364" s="20"/>
      <c r="B1364" s="14" t="str">
        <f>IF(A1364="","",_xlfn.XLOOKUP(A1364,'DISPATCH SHEET'!B$3:B$121,'DISPATCH SHEET'!C$3:C$121,""))</f>
        <v/>
      </c>
      <c r="C1364" s="14" t="str">
        <f>IF(ISBLANK(A1364),"",_xlfn.XLOOKUP(A1364,'DISPATCH SHEET'!C$3:C$121,'DISPATCH SHEET'!#REF!,""))</f>
        <v/>
      </c>
      <c r="D1364" s="21"/>
      <c r="E1364" s="21"/>
      <c r="F1364" s="21"/>
      <c r="G1364" s="21"/>
      <c r="H1364" s="21"/>
      <c r="I1364" s="21"/>
      <c r="J1364" s="21"/>
      <c r="K1364" s="22"/>
    </row>
    <row r="1365" spans="1:11" s="5" customFormat="1" ht="15" customHeight="1" x14ac:dyDescent="0.2">
      <c r="A1365" s="20"/>
      <c r="B1365" s="14" t="str">
        <f>IF(A1365="","",_xlfn.XLOOKUP(A1365,'DISPATCH SHEET'!B$3:B$121,'DISPATCH SHEET'!C$3:C$121,""))</f>
        <v/>
      </c>
      <c r="C1365" s="14" t="str">
        <f>IF(ISBLANK(A1365),"",_xlfn.XLOOKUP(A1365,'DISPATCH SHEET'!C$3:C$121,'DISPATCH SHEET'!#REF!,""))</f>
        <v/>
      </c>
      <c r="D1365" s="21"/>
      <c r="E1365" s="21"/>
      <c r="F1365" s="21"/>
      <c r="G1365" s="21"/>
      <c r="H1365" s="21"/>
      <c r="I1365" s="21"/>
      <c r="J1365" s="21"/>
      <c r="K1365" s="22"/>
    </row>
    <row r="1366" spans="1:11" s="5" customFormat="1" ht="15" customHeight="1" x14ac:dyDescent="0.2">
      <c r="A1366" s="20"/>
      <c r="B1366" s="14" t="str">
        <f>IF(A1366="","",_xlfn.XLOOKUP(A1366,'DISPATCH SHEET'!B$3:B$121,'DISPATCH SHEET'!C$3:C$121,""))</f>
        <v/>
      </c>
      <c r="C1366" s="14" t="str">
        <f>IF(ISBLANK(A1366),"",_xlfn.XLOOKUP(A1366,'DISPATCH SHEET'!C$3:C$121,'DISPATCH SHEET'!#REF!,""))</f>
        <v/>
      </c>
      <c r="D1366" s="21"/>
      <c r="E1366" s="21"/>
      <c r="F1366" s="21"/>
      <c r="G1366" s="21"/>
      <c r="H1366" s="21"/>
      <c r="I1366" s="21"/>
      <c r="J1366" s="21"/>
      <c r="K1366" s="22"/>
    </row>
    <row r="1367" spans="1:11" s="5" customFormat="1" ht="15" customHeight="1" x14ac:dyDescent="0.2">
      <c r="A1367" s="20"/>
      <c r="B1367" s="14" t="str">
        <f>IF(A1367="","",_xlfn.XLOOKUP(A1367,'DISPATCH SHEET'!B$3:B$121,'DISPATCH SHEET'!C$3:C$121,""))</f>
        <v/>
      </c>
      <c r="C1367" s="14" t="str">
        <f>IF(ISBLANK(A1367),"",_xlfn.XLOOKUP(A1367,'DISPATCH SHEET'!C$3:C$121,'DISPATCH SHEET'!#REF!,""))</f>
        <v/>
      </c>
      <c r="D1367" s="21"/>
      <c r="E1367" s="21"/>
      <c r="F1367" s="21"/>
      <c r="G1367" s="21"/>
      <c r="H1367" s="21"/>
      <c r="I1367" s="21"/>
      <c r="J1367" s="21"/>
      <c r="K1367" s="22"/>
    </row>
    <row r="1368" spans="1:11" s="5" customFormat="1" ht="15" customHeight="1" x14ac:dyDescent="0.2">
      <c r="A1368" s="20"/>
      <c r="B1368" s="14" t="str">
        <f>IF(A1368="","",_xlfn.XLOOKUP(A1368,'DISPATCH SHEET'!B$3:B$121,'DISPATCH SHEET'!C$3:C$121,""))</f>
        <v/>
      </c>
      <c r="C1368" s="14" t="str">
        <f>IF(ISBLANK(A1368),"",_xlfn.XLOOKUP(A1368,'DISPATCH SHEET'!C$3:C$121,'DISPATCH SHEET'!#REF!,""))</f>
        <v/>
      </c>
      <c r="D1368" s="21"/>
      <c r="E1368" s="21"/>
      <c r="F1368" s="21"/>
      <c r="G1368" s="21"/>
      <c r="H1368" s="21"/>
      <c r="I1368" s="21"/>
      <c r="J1368" s="21"/>
      <c r="K1368" s="22"/>
    </row>
    <row r="1369" spans="1:11" s="5" customFormat="1" ht="15" customHeight="1" x14ac:dyDescent="0.2">
      <c r="A1369" s="20"/>
      <c r="B1369" s="14" t="str">
        <f>IF(A1369="","",_xlfn.XLOOKUP(A1369,'DISPATCH SHEET'!B$3:B$121,'DISPATCH SHEET'!C$3:C$121,""))</f>
        <v/>
      </c>
      <c r="C1369" s="14" t="str">
        <f>IF(ISBLANK(A1369),"",_xlfn.XLOOKUP(A1369,'DISPATCH SHEET'!C$3:C$121,'DISPATCH SHEET'!#REF!,""))</f>
        <v/>
      </c>
      <c r="D1369" s="21"/>
      <c r="E1369" s="21"/>
      <c r="F1369" s="21"/>
      <c r="G1369" s="21"/>
      <c r="H1369" s="21"/>
      <c r="I1369" s="21"/>
      <c r="J1369" s="21"/>
      <c r="K1369" s="22"/>
    </row>
    <row r="1370" spans="1:11" s="5" customFormat="1" ht="15" customHeight="1" x14ac:dyDescent="0.2">
      <c r="A1370" s="20"/>
      <c r="B1370" s="14" t="str">
        <f>IF(A1370="","",_xlfn.XLOOKUP(A1370,'DISPATCH SHEET'!B$3:B$121,'DISPATCH SHEET'!C$3:C$121,""))</f>
        <v/>
      </c>
      <c r="C1370" s="14" t="str">
        <f>IF(ISBLANK(A1370),"",_xlfn.XLOOKUP(A1370,'DISPATCH SHEET'!C$3:C$121,'DISPATCH SHEET'!#REF!,""))</f>
        <v/>
      </c>
      <c r="D1370" s="21"/>
      <c r="E1370" s="21"/>
      <c r="F1370" s="21"/>
      <c r="G1370" s="21"/>
      <c r="H1370" s="21"/>
      <c r="I1370" s="21"/>
      <c r="J1370" s="21"/>
      <c r="K1370" s="22"/>
    </row>
    <row r="1371" spans="1:11" s="5" customFormat="1" ht="15" customHeight="1" x14ac:dyDescent="0.2">
      <c r="A1371" s="20"/>
      <c r="B1371" s="14" t="str">
        <f>IF(A1371="","",_xlfn.XLOOKUP(A1371,'DISPATCH SHEET'!B$3:B$121,'DISPATCH SHEET'!C$3:C$121,""))</f>
        <v/>
      </c>
      <c r="C1371" s="14" t="str">
        <f>IF(ISBLANK(A1371),"",_xlfn.XLOOKUP(A1371,'DISPATCH SHEET'!C$3:C$121,'DISPATCH SHEET'!#REF!,""))</f>
        <v/>
      </c>
      <c r="D1371" s="21"/>
      <c r="E1371" s="21"/>
      <c r="F1371" s="21"/>
      <c r="G1371" s="21"/>
      <c r="H1371" s="21"/>
      <c r="I1371" s="21"/>
      <c r="J1371" s="21"/>
      <c r="K1371" s="22"/>
    </row>
    <row r="1372" spans="1:11" s="5" customFormat="1" ht="15" customHeight="1" x14ac:dyDescent="0.2">
      <c r="A1372" s="20"/>
      <c r="B1372" s="14" t="str">
        <f>IF(A1372="","",_xlfn.XLOOKUP(A1372,'DISPATCH SHEET'!B$3:B$121,'DISPATCH SHEET'!C$3:C$121,""))</f>
        <v/>
      </c>
      <c r="C1372" s="14" t="str">
        <f>IF(ISBLANK(A1372),"",_xlfn.XLOOKUP(A1372,'DISPATCH SHEET'!C$3:C$121,'DISPATCH SHEET'!#REF!,""))</f>
        <v/>
      </c>
      <c r="D1372" s="21"/>
      <c r="E1372" s="21"/>
      <c r="F1372" s="21"/>
      <c r="G1372" s="21"/>
      <c r="H1372" s="21"/>
      <c r="I1372" s="21"/>
      <c r="J1372" s="21"/>
      <c r="K1372" s="22"/>
    </row>
    <row r="1373" spans="1:11" s="5" customFormat="1" ht="15" customHeight="1" x14ac:dyDescent="0.2">
      <c r="A1373" s="20"/>
      <c r="B1373" s="14" t="str">
        <f>IF(A1373="","",_xlfn.XLOOKUP(A1373,'DISPATCH SHEET'!B$3:B$121,'DISPATCH SHEET'!C$3:C$121,""))</f>
        <v/>
      </c>
      <c r="C1373" s="14" t="str">
        <f>IF(ISBLANK(A1373),"",_xlfn.XLOOKUP(A1373,'DISPATCH SHEET'!C$3:C$121,'DISPATCH SHEET'!#REF!,""))</f>
        <v/>
      </c>
      <c r="D1373" s="21"/>
      <c r="E1373" s="21"/>
      <c r="F1373" s="21"/>
      <c r="G1373" s="21"/>
      <c r="H1373" s="21"/>
      <c r="I1373" s="21"/>
      <c r="J1373" s="21"/>
      <c r="K1373" s="22"/>
    </row>
    <row r="1374" spans="1:11" s="5" customFormat="1" ht="15" customHeight="1" x14ac:dyDescent="0.2">
      <c r="A1374" s="20"/>
      <c r="B1374" s="14" t="str">
        <f>IF(A1374="","",_xlfn.XLOOKUP(A1374,'DISPATCH SHEET'!B$3:B$121,'DISPATCH SHEET'!C$3:C$121,""))</f>
        <v/>
      </c>
      <c r="C1374" s="14" t="str">
        <f>IF(ISBLANK(A1374),"",_xlfn.XLOOKUP(A1374,'DISPATCH SHEET'!C$3:C$121,'DISPATCH SHEET'!#REF!,""))</f>
        <v/>
      </c>
      <c r="D1374" s="21"/>
      <c r="E1374" s="21"/>
      <c r="F1374" s="21"/>
      <c r="G1374" s="21"/>
      <c r="H1374" s="21"/>
      <c r="I1374" s="21"/>
      <c r="J1374" s="21"/>
      <c r="K1374" s="22"/>
    </row>
    <row r="1375" spans="1:11" s="5" customFormat="1" ht="15" customHeight="1" x14ac:dyDescent="0.2">
      <c r="A1375" s="20"/>
      <c r="B1375" s="14" t="str">
        <f>IF(A1375="","",_xlfn.XLOOKUP(A1375,'DISPATCH SHEET'!B$3:B$121,'DISPATCH SHEET'!C$3:C$121,""))</f>
        <v/>
      </c>
      <c r="C1375" s="14" t="str">
        <f>IF(ISBLANK(A1375),"",_xlfn.XLOOKUP(A1375,'DISPATCH SHEET'!C$3:C$121,'DISPATCH SHEET'!#REF!,""))</f>
        <v/>
      </c>
      <c r="D1375" s="21"/>
      <c r="E1375" s="21"/>
      <c r="F1375" s="21"/>
      <c r="G1375" s="21"/>
      <c r="H1375" s="21"/>
      <c r="I1375" s="21"/>
      <c r="J1375" s="21"/>
      <c r="K1375" s="22"/>
    </row>
    <row r="1376" spans="1:11" s="5" customFormat="1" ht="15" customHeight="1" x14ac:dyDescent="0.2">
      <c r="A1376" s="20"/>
      <c r="B1376" s="14" t="str">
        <f>IF(A1376="","",_xlfn.XLOOKUP(A1376,'DISPATCH SHEET'!B$3:B$121,'DISPATCH SHEET'!C$3:C$121,""))</f>
        <v/>
      </c>
      <c r="C1376" s="14" t="str">
        <f>IF(ISBLANK(A1376),"",_xlfn.XLOOKUP(A1376,'DISPATCH SHEET'!C$3:C$121,'DISPATCH SHEET'!#REF!,""))</f>
        <v/>
      </c>
      <c r="D1376" s="21"/>
      <c r="E1376" s="21"/>
      <c r="F1376" s="21"/>
      <c r="G1376" s="21"/>
      <c r="H1376" s="21"/>
      <c r="I1376" s="21"/>
      <c r="J1376" s="21"/>
      <c r="K1376" s="22"/>
    </row>
    <row r="1377" spans="1:11" s="5" customFormat="1" ht="15" customHeight="1" x14ac:dyDescent="0.2">
      <c r="A1377" s="20"/>
      <c r="B1377" s="14" t="str">
        <f>IF(A1377="","",_xlfn.XLOOKUP(A1377,'DISPATCH SHEET'!B$3:B$121,'DISPATCH SHEET'!C$3:C$121,""))</f>
        <v/>
      </c>
      <c r="C1377" s="14" t="str">
        <f>IF(ISBLANK(A1377),"",_xlfn.XLOOKUP(A1377,'DISPATCH SHEET'!C$3:C$121,'DISPATCH SHEET'!#REF!,""))</f>
        <v/>
      </c>
      <c r="D1377" s="21"/>
      <c r="E1377" s="21"/>
      <c r="F1377" s="21"/>
      <c r="G1377" s="21"/>
      <c r="H1377" s="21"/>
      <c r="I1377" s="21"/>
      <c r="J1377" s="21"/>
      <c r="K1377" s="22"/>
    </row>
    <row r="1378" spans="1:11" s="5" customFormat="1" ht="15" customHeight="1" x14ac:dyDescent="0.2">
      <c r="A1378" s="20"/>
      <c r="B1378" s="14" t="str">
        <f>IF(A1378="","",_xlfn.XLOOKUP(A1378,'DISPATCH SHEET'!B$3:B$121,'DISPATCH SHEET'!C$3:C$121,""))</f>
        <v/>
      </c>
      <c r="C1378" s="14" t="str">
        <f>IF(ISBLANK(A1378),"",_xlfn.XLOOKUP(A1378,'DISPATCH SHEET'!C$3:C$121,'DISPATCH SHEET'!#REF!,""))</f>
        <v/>
      </c>
      <c r="D1378" s="21"/>
      <c r="E1378" s="21"/>
      <c r="F1378" s="21"/>
      <c r="G1378" s="21"/>
      <c r="H1378" s="21"/>
      <c r="I1378" s="21"/>
      <c r="J1378" s="21"/>
      <c r="K1378" s="22"/>
    </row>
    <row r="1379" spans="1:11" s="5" customFormat="1" ht="15" customHeight="1" x14ac:dyDescent="0.2">
      <c r="A1379" s="20"/>
      <c r="B1379" s="14" t="str">
        <f>IF(A1379="","",_xlfn.XLOOKUP(A1379,'DISPATCH SHEET'!B$3:B$121,'DISPATCH SHEET'!C$3:C$121,""))</f>
        <v/>
      </c>
      <c r="C1379" s="14" t="str">
        <f>IF(ISBLANK(A1379),"",_xlfn.XLOOKUP(A1379,'DISPATCH SHEET'!C$3:C$121,'DISPATCH SHEET'!#REF!,""))</f>
        <v/>
      </c>
      <c r="D1379" s="21"/>
      <c r="E1379" s="21"/>
      <c r="F1379" s="21"/>
      <c r="G1379" s="21"/>
      <c r="H1379" s="21"/>
      <c r="I1379" s="21"/>
      <c r="J1379" s="21"/>
      <c r="K1379" s="22"/>
    </row>
    <row r="1380" spans="1:11" s="5" customFormat="1" ht="15" customHeight="1" x14ac:dyDescent="0.2">
      <c r="A1380" s="20"/>
      <c r="B1380" s="14" t="str">
        <f>IF(A1380="","",_xlfn.XLOOKUP(A1380,'DISPATCH SHEET'!B$3:B$121,'DISPATCH SHEET'!C$3:C$121,""))</f>
        <v/>
      </c>
      <c r="C1380" s="14" t="str">
        <f>IF(ISBLANK(A1380),"",_xlfn.XLOOKUP(A1380,'DISPATCH SHEET'!C$3:C$121,'DISPATCH SHEET'!#REF!,""))</f>
        <v/>
      </c>
      <c r="D1380" s="21"/>
      <c r="E1380" s="21"/>
      <c r="F1380" s="21"/>
      <c r="G1380" s="21"/>
      <c r="H1380" s="21"/>
      <c r="I1380" s="21"/>
      <c r="J1380" s="21"/>
      <c r="K1380" s="22"/>
    </row>
    <row r="1381" spans="1:11" s="5" customFormat="1" ht="15" customHeight="1" x14ac:dyDescent="0.2">
      <c r="A1381" s="20"/>
      <c r="B1381" s="14" t="str">
        <f>IF(A1381="","",_xlfn.XLOOKUP(A1381,'DISPATCH SHEET'!B$3:B$121,'DISPATCH SHEET'!C$3:C$121,""))</f>
        <v/>
      </c>
      <c r="C1381" s="14" t="str">
        <f>IF(ISBLANK(A1381),"",_xlfn.XLOOKUP(A1381,'DISPATCH SHEET'!C$3:C$121,'DISPATCH SHEET'!#REF!,""))</f>
        <v/>
      </c>
      <c r="D1381" s="21"/>
      <c r="E1381" s="21"/>
      <c r="F1381" s="21"/>
      <c r="G1381" s="21"/>
      <c r="H1381" s="21"/>
      <c r="I1381" s="21"/>
      <c r="J1381" s="21"/>
      <c r="K1381" s="22"/>
    </row>
    <row r="1382" spans="1:11" s="5" customFormat="1" ht="15" customHeight="1" x14ac:dyDescent="0.2">
      <c r="A1382" s="20"/>
      <c r="B1382" s="14" t="str">
        <f>IF(A1382="","",_xlfn.XLOOKUP(A1382,'DISPATCH SHEET'!B$3:B$121,'DISPATCH SHEET'!C$3:C$121,""))</f>
        <v/>
      </c>
      <c r="C1382" s="14" t="str">
        <f>IF(ISBLANK(A1382),"",_xlfn.XLOOKUP(A1382,'DISPATCH SHEET'!C$3:C$121,'DISPATCH SHEET'!#REF!,""))</f>
        <v/>
      </c>
      <c r="D1382" s="21"/>
      <c r="E1382" s="21"/>
      <c r="F1382" s="21"/>
      <c r="G1382" s="21"/>
      <c r="H1382" s="21"/>
      <c r="I1382" s="21"/>
      <c r="J1382" s="21"/>
      <c r="K1382" s="22"/>
    </row>
    <row r="1383" spans="1:11" s="5" customFormat="1" ht="15" customHeight="1" x14ac:dyDescent="0.2">
      <c r="A1383" s="20"/>
      <c r="B1383" s="14" t="str">
        <f>IF(A1383="","",_xlfn.XLOOKUP(A1383,'DISPATCH SHEET'!B$3:B$121,'DISPATCH SHEET'!C$3:C$121,""))</f>
        <v/>
      </c>
      <c r="C1383" s="14" t="str">
        <f>IF(ISBLANK(A1383),"",_xlfn.XLOOKUP(A1383,'DISPATCH SHEET'!C$3:C$121,'DISPATCH SHEET'!#REF!,""))</f>
        <v/>
      </c>
      <c r="D1383" s="21"/>
      <c r="E1383" s="21"/>
      <c r="F1383" s="21"/>
      <c r="G1383" s="21"/>
      <c r="H1383" s="21"/>
      <c r="I1383" s="21"/>
      <c r="J1383" s="21"/>
      <c r="K1383" s="22"/>
    </row>
    <row r="1384" spans="1:11" s="5" customFormat="1" ht="15" customHeight="1" x14ac:dyDescent="0.2">
      <c r="A1384" s="20"/>
      <c r="B1384" s="14" t="str">
        <f>IF(A1384="","",_xlfn.XLOOKUP(A1384,'DISPATCH SHEET'!B$3:B$121,'DISPATCH SHEET'!C$3:C$121,""))</f>
        <v/>
      </c>
      <c r="C1384" s="14" t="str">
        <f>IF(ISBLANK(A1384),"",_xlfn.XLOOKUP(A1384,'DISPATCH SHEET'!C$3:C$121,'DISPATCH SHEET'!#REF!,""))</f>
        <v/>
      </c>
      <c r="D1384" s="21"/>
      <c r="E1384" s="21"/>
      <c r="F1384" s="21"/>
      <c r="G1384" s="21"/>
      <c r="H1384" s="21"/>
      <c r="I1384" s="21"/>
      <c r="J1384" s="21"/>
      <c r="K1384" s="22"/>
    </row>
    <row r="1385" spans="1:11" s="5" customFormat="1" ht="15" customHeight="1" x14ac:dyDescent="0.2">
      <c r="A1385" s="20"/>
      <c r="B1385" s="14" t="str">
        <f>IF(A1385="","",_xlfn.XLOOKUP(A1385,'DISPATCH SHEET'!B$3:B$121,'DISPATCH SHEET'!C$3:C$121,""))</f>
        <v/>
      </c>
      <c r="C1385" s="14" t="str">
        <f>IF(ISBLANK(A1385),"",_xlfn.XLOOKUP(A1385,'DISPATCH SHEET'!C$3:C$121,'DISPATCH SHEET'!#REF!,""))</f>
        <v/>
      </c>
      <c r="D1385" s="21"/>
      <c r="E1385" s="21"/>
      <c r="F1385" s="21"/>
      <c r="G1385" s="21"/>
      <c r="H1385" s="21"/>
      <c r="I1385" s="21"/>
      <c r="J1385" s="21"/>
      <c r="K1385" s="22"/>
    </row>
    <row r="1386" spans="1:11" s="5" customFormat="1" ht="15" customHeight="1" x14ac:dyDescent="0.2">
      <c r="A1386" s="20"/>
      <c r="B1386" s="14" t="str">
        <f>IF(A1386="","",_xlfn.XLOOKUP(A1386,'DISPATCH SHEET'!B$3:B$121,'DISPATCH SHEET'!C$3:C$121,""))</f>
        <v/>
      </c>
      <c r="C1386" s="14" t="str">
        <f>IF(ISBLANK(A1386),"",_xlfn.XLOOKUP(A1386,'DISPATCH SHEET'!C$3:C$121,'DISPATCH SHEET'!#REF!,""))</f>
        <v/>
      </c>
      <c r="D1386" s="21"/>
      <c r="E1386" s="21"/>
      <c r="F1386" s="21"/>
      <c r="G1386" s="21"/>
      <c r="H1386" s="21"/>
      <c r="I1386" s="21"/>
      <c r="J1386" s="21"/>
      <c r="K1386" s="22"/>
    </row>
    <row r="1387" spans="1:11" s="5" customFormat="1" ht="15" customHeight="1" x14ac:dyDescent="0.2">
      <c r="A1387" s="20"/>
      <c r="B1387" s="14" t="str">
        <f>IF(A1387="","",_xlfn.XLOOKUP(A1387,'DISPATCH SHEET'!B$3:B$121,'DISPATCH SHEET'!C$3:C$121,""))</f>
        <v/>
      </c>
      <c r="C1387" s="14" t="str">
        <f>IF(ISBLANK(A1387),"",_xlfn.XLOOKUP(A1387,'DISPATCH SHEET'!C$3:C$121,'DISPATCH SHEET'!#REF!,""))</f>
        <v/>
      </c>
      <c r="D1387" s="21"/>
      <c r="E1387" s="21"/>
      <c r="F1387" s="21"/>
      <c r="G1387" s="21"/>
      <c r="H1387" s="21"/>
      <c r="I1387" s="21"/>
      <c r="J1387" s="21"/>
      <c r="K1387" s="22"/>
    </row>
    <row r="1388" spans="1:11" s="5" customFormat="1" ht="15" customHeight="1" x14ac:dyDescent="0.2">
      <c r="A1388" s="20"/>
      <c r="B1388" s="14" t="str">
        <f>IF(A1388="","",_xlfn.XLOOKUP(A1388,'DISPATCH SHEET'!B$3:B$121,'DISPATCH SHEET'!C$3:C$121,""))</f>
        <v/>
      </c>
      <c r="C1388" s="14" t="str">
        <f>IF(ISBLANK(A1388),"",_xlfn.XLOOKUP(A1388,'DISPATCH SHEET'!C$3:C$121,'DISPATCH SHEET'!#REF!,""))</f>
        <v/>
      </c>
      <c r="D1388" s="21"/>
      <c r="E1388" s="21"/>
      <c r="F1388" s="21"/>
      <c r="G1388" s="21"/>
      <c r="H1388" s="21"/>
      <c r="I1388" s="21"/>
      <c r="J1388" s="21"/>
      <c r="K1388" s="22"/>
    </row>
    <row r="1389" spans="1:11" s="5" customFormat="1" ht="15" customHeight="1" x14ac:dyDescent="0.2">
      <c r="A1389" s="20"/>
      <c r="B1389" s="14" t="str">
        <f>IF(A1389="","",_xlfn.XLOOKUP(A1389,'DISPATCH SHEET'!B$3:B$121,'DISPATCH SHEET'!C$3:C$121,""))</f>
        <v/>
      </c>
      <c r="C1389" s="14" t="str">
        <f>IF(ISBLANK(A1389),"",_xlfn.XLOOKUP(A1389,'DISPATCH SHEET'!C$3:C$121,'DISPATCH SHEET'!#REF!,""))</f>
        <v/>
      </c>
      <c r="D1389" s="21"/>
      <c r="E1389" s="21"/>
      <c r="F1389" s="21"/>
      <c r="G1389" s="21"/>
      <c r="H1389" s="21"/>
      <c r="I1389" s="21"/>
      <c r="J1389" s="21"/>
      <c r="K1389" s="22"/>
    </row>
    <row r="1390" spans="1:11" s="5" customFormat="1" ht="15" customHeight="1" x14ac:dyDescent="0.2">
      <c r="A1390" s="20"/>
      <c r="B1390" s="14" t="str">
        <f>IF(A1390="","",_xlfn.XLOOKUP(A1390,'DISPATCH SHEET'!B$3:B$121,'DISPATCH SHEET'!C$3:C$121,""))</f>
        <v/>
      </c>
      <c r="C1390" s="14" t="str">
        <f>IF(ISBLANK(A1390),"",_xlfn.XLOOKUP(A1390,'DISPATCH SHEET'!C$3:C$121,'DISPATCH SHEET'!#REF!,""))</f>
        <v/>
      </c>
      <c r="D1390" s="21"/>
      <c r="E1390" s="21"/>
      <c r="F1390" s="21"/>
      <c r="G1390" s="21"/>
      <c r="H1390" s="21"/>
      <c r="I1390" s="21"/>
      <c r="J1390" s="21"/>
      <c r="K1390" s="22"/>
    </row>
    <row r="1391" spans="1:11" s="5" customFormat="1" ht="15" customHeight="1" x14ac:dyDescent="0.2">
      <c r="A1391" s="20"/>
      <c r="B1391" s="14" t="str">
        <f>IF(A1391="","",_xlfn.XLOOKUP(A1391,'DISPATCH SHEET'!B$3:B$121,'DISPATCH SHEET'!C$3:C$121,""))</f>
        <v/>
      </c>
      <c r="C1391" s="14" t="str">
        <f>IF(ISBLANK(A1391),"",_xlfn.XLOOKUP(A1391,'DISPATCH SHEET'!C$3:C$121,'DISPATCH SHEET'!#REF!,""))</f>
        <v/>
      </c>
      <c r="D1391" s="21"/>
      <c r="E1391" s="21"/>
      <c r="F1391" s="21"/>
      <c r="G1391" s="21"/>
      <c r="H1391" s="21"/>
      <c r="I1391" s="21"/>
      <c r="J1391" s="21"/>
      <c r="K1391" s="22"/>
    </row>
    <row r="1392" spans="1:11" s="5" customFormat="1" ht="15" customHeight="1" x14ac:dyDescent="0.2">
      <c r="A1392" s="20"/>
      <c r="B1392" s="14" t="str">
        <f>IF(A1392="","",_xlfn.XLOOKUP(A1392,'DISPATCH SHEET'!B$3:B$121,'DISPATCH SHEET'!C$3:C$121,""))</f>
        <v/>
      </c>
      <c r="C1392" s="14" t="str">
        <f>IF(ISBLANK(A1392),"",_xlfn.XLOOKUP(A1392,'DISPATCH SHEET'!C$3:C$121,'DISPATCH SHEET'!#REF!,""))</f>
        <v/>
      </c>
      <c r="D1392" s="21"/>
      <c r="E1392" s="21"/>
      <c r="F1392" s="21"/>
      <c r="G1392" s="21"/>
      <c r="H1392" s="21"/>
      <c r="I1392" s="21"/>
      <c r="J1392" s="21"/>
      <c r="K1392" s="22"/>
    </row>
    <row r="1393" spans="1:11" s="5" customFormat="1" ht="15" customHeight="1" x14ac:dyDescent="0.2">
      <c r="A1393" s="20"/>
      <c r="B1393" s="14" t="str">
        <f>IF(A1393="","",_xlfn.XLOOKUP(A1393,'DISPATCH SHEET'!B$3:B$121,'DISPATCH SHEET'!C$3:C$121,""))</f>
        <v/>
      </c>
      <c r="C1393" s="14" t="str">
        <f>IF(ISBLANK(A1393),"",_xlfn.XLOOKUP(A1393,'DISPATCH SHEET'!C$3:C$121,'DISPATCH SHEET'!#REF!,""))</f>
        <v/>
      </c>
      <c r="D1393" s="21"/>
      <c r="E1393" s="21"/>
      <c r="F1393" s="21"/>
      <c r="G1393" s="21"/>
      <c r="H1393" s="21"/>
      <c r="I1393" s="21"/>
      <c r="J1393" s="21"/>
      <c r="K1393" s="22"/>
    </row>
    <row r="1394" spans="1:11" s="5" customFormat="1" ht="15" customHeight="1" x14ac:dyDescent="0.2">
      <c r="A1394" s="20"/>
      <c r="B1394" s="14" t="str">
        <f>IF(A1394="","",_xlfn.XLOOKUP(A1394,'DISPATCH SHEET'!B$3:B$121,'DISPATCH SHEET'!C$3:C$121,""))</f>
        <v/>
      </c>
      <c r="C1394" s="14" t="str">
        <f>IF(ISBLANK(A1394),"",_xlfn.XLOOKUP(A1394,'DISPATCH SHEET'!C$3:C$121,'DISPATCH SHEET'!#REF!,""))</f>
        <v/>
      </c>
      <c r="D1394" s="21"/>
      <c r="E1394" s="21"/>
      <c r="F1394" s="21"/>
      <c r="G1394" s="21"/>
      <c r="H1394" s="21"/>
      <c r="I1394" s="21"/>
      <c r="J1394" s="21"/>
      <c r="K1394" s="22"/>
    </row>
    <row r="1395" spans="1:11" s="5" customFormat="1" ht="15" customHeight="1" x14ac:dyDescent="0.2">
      <c r="A1395" s="20"/>
      <c r="B1395" s="14" t="str">
        <f>IF(A1395="","",_xlfn.XLOOKUP(A1395,'DISPATCH SHEET'!B$3:B$121,'DISPATCH SHEET'!C$3:C$121,""))</f>
        <v/>
      </c>
      <c r="C1395" s="14" t="str">
        <f>IF(ISBLANK(A1395),"",_xlfn.XLOOKUP(A1395,'DISPATCH SHEET'!C$3:C$121,'DISPATCH SHEET'!#REF!,""))</f>
        <v/>
      </c>
      <c r="D1395" s="21"/>
      <c r="E1395" s="21"/>
      <c r="F1395" s="21"/>
      <c r="G1395" s="21"/>
      <c r="H1395" s="21"/>
      <c r="I1395" s="21"/>
      <c r="J1395" s="21"/>
      <c r="K1395" s="22"/>
    </row>
    <row r="1396" spans="1:11" s="5" customFormat="1" ht="15" customHeight="1" x14ac:dyDescent="0.2">
      <c r="A1396" s="20"/>
      <c r="B1396" s="14" t="str">
        <f>IF(A1396="","",_xlfn.XLOOKUP(A1396,'DISPATCH SHEET'!B$3:B$121,'DISPATCH SHEET'!C$3:C$121,""))</f>
        <v/>
      </c>
      <c r="C1396" s="14" t="str">
        <f>IF(ISBLANK(A1396),"",_xlfn.XLOOKUP(A1396,'DISPATCH SHEET'!C$3:C$121,'DISPATCH SHEET'!#REF!,""))</f>
        <v/>
      </c>
      <c r="D1396" s="21"/>
      <c r="E1396" s="21"/>
      <c r="F1396" s="21"/>
      <c r="G1396" s="21"/>
      <c r="H1396" s="21"/>
      <c r="I1396" s="21"/>
      <c r="J1396" s="21"/>
      <c r="K1396" s="22"/>
    </row>
    <row r="1397" spans="1:11" s="5" customFormat="1" ht="15" customHeight="1" x14ac:dyDescent="0.2">
      <c r="A1397" s="20"/>
      <c r="B1397" s="14" t="str">
        <f>IF(A1397="","",_xlfn.XLOOKUP(A1397,'DISPATCH SHEET'!B$3:B$121,'DISPATCH SHEET'!C$3:C$121,""))</f>
        <v/>
      </c>
      <c r="C1397" s="14" t="str">
        <f>IF(ISBLANK(A1397),"",_xlfn.XLOOKUP(A1397,'DISPATCH SHEET'!C$3:C$121,'DISPATCH SHEET'!#REF!,""))</f>
        <v/>
      </c>
      <c r="D1397" s="21"/>
      <c r="E1397" s="21"/>
      <c r="F1397" s="21"/>
      <c r="G1397" s="21"/>
      <c r="H1397" s="21"/>
      <c r="I1397" s="21"/>
      <c r="J1397" s="21"/>
      <c r="K1397" s="22"/>
    </row>
    <row r="1398" spans="1:11" s="5" customFormat="1" ht="15" customHeight="1" x14ac:dyDescent="0.2">
      <c r="A1398" s="20"/>
      <c r="B1398" s="14" t="str">
        <f>IF(A1398="","",_xlfn.XLOOKUP(A1398,'DISPATCH SHEET'!B$3:B$121,'DISPATCH SHEET'!C$3:C$121,""))</f>
        <v/>
      </c>
      <c r="C1398" s="14" t="str">
        <f>IF(ISBLANK(A1398),"",_xlfn.XLOOKUP(A1398,'DISPATCH SHEET'!C$3:C$121,'DISPATCH SHEET'!#REF!,""))</f>
        <v/>
      </c>
      <c r="D1398" s="21"/>
      <c r="E1398" s="21"/>
      <c r="F1398" s="21"/>
      <c r="G1398" s="21"/>
      <c r="H1398" s="21"/>
      <c r="I1398" s="21"/>
      <c r="J1398" s="21"/>
      <c r="K1398" s="22"/>
    </row>
    <row r="1399" spans="1:11" s="5" customFormat="1" ht="15" customHeight="1" x14ac:dyDescent="0.2">
      <c r="A1399" s="20"/>
      <c r="B1399" s="14" t="str">
        <f>IF(A1399="","",_xlfn.XLOOKUP(A1399,'DISPATCH SHEET'!B$3:B$121,'DISPATCH SHEET'!C$3:C$121,""))</f>
        <v/>
      </c>
      <c r="C1399" s="14" t="str">
        <f>IF(ISBLANK(A1399),"",_xlfn.XLOOKUP(A1399,'DISPATCH SHEET'!C$3:C$121,'DISPATCH SHEET'!#REF!,""))</f>
        <v/>
      </c>
      <c r="D1399" s="21"/>
      <c r="E1399" s="21"/>
      <c r="F1399" s="21"/>
      <c r="G1399" s="21"/>
      <c r="H1399" s="21"/>
      <c r="I1399" s="21"/>
      <c r="J1399" s="21"/>
      <c r="K1399" s="22"/>
    </row>
    <row r="1400" spans="1:11" s="5" customFormat="1" ht="15" customHeight="1" x14ac:dyDescent="0.2">
      <c r="A1400" s="20"/>
      <c r="B1400" s="14" t="str">
        <f>IF(A1400="","",_xlfn.XLOOKUP(A1400,'DISPATCH SHEET'!B$3:B$121,'DISPATCH SHEET'!C$3:C$121,""))</f>
        <v/>
      </c>
      <c r="C1400" s="14" t="str">
        <f>IF(ISBLANK(A1400),"",_xlfn.XLOOKUP(A1400,'DISPATCH SHEET'!C$3:C$121,'DISPATCH SHEET'!#REF!,""))</f>
        <v/>
      </c>
      <c r="D1400" s="21"/>
      <c r="E1400" s="21"/>
      <c r="F1400" s="21"/>
      <c r="G1400" s="21"/>
      <c r="H1400" s="21"/>
      <c r="I1400" s="21"/>
      <c r="J1400" s="21"/>
      <c r="K1400" s="22"/>
    </row>
    <row r="1401" spans="1:11" s="5" customFormat="1" ht="15" customHeight="1" x14ac:dyDescent="0.2">
      <c r="A1401" s="20"/>
      <c r="B1401" s="14" t="str">
        <f>IF(A1401="","",_xlfn.XLOOKUP(A1401,'DISPATCH SHEET'!B$3:B$121,'DISPATCH SHEET'!C$3:C$121,""))</f>
        <v/>
      </c>
      <c r="C1401" s="14" t="str">
        <f>IF(ISBLANK(A1401),"",_xlfn.XLOOKUP(A1401,'DISPATCH SHEET'!C$3:C$121,'DISPATCH SHEET'!#REF!,""))</f>
        <v/>
      </c>
      <c r="D1401" s="21"/>
      <c r="E1401" s="21"/>
      <c r="F1401" s="21"/>
      <c r="G1401" s="21"/>
      <c r="H1401" s="21"/>
      <c r="I1401" s="21"/>
      <c r="J1401" s="21"/>
      <c r="K1401" s="22"/>
    </row>
    <row r="1402" spans="1:11" s="5" customFormat="1" ht="15" customHeight="1" x14ac:dyDescent="0.2">
      <c r="A1402" s="20"/>
      <c r="B1402" s="14" t="str">
        <f>IF(A1402="","",_xlfn.XLOOKUP(A1402,'DISPATCH SHEET'!B$3:B$121,'DISPATCH SHEET'!C$3:C$121,""))</f>
        <v/>
      </c>
      <c r="C1402" s="14" t="str">
        <f>IF(ISBLANK(A1402),"",_xlfn.XLOOKUP(A1402,'DISPATCH SHEET'!C$3:C$121,'DISPATCH SHEET'!#REF!,""))</f>
        <v/>
      </c>
      <c r="D1402" s="21"/>
      <c r="E1402" s="21"/>
      <c r="F1402" s="21"/>
      <c r="G1402" s="21"/>
      <c r="H1402" s="21"/>
      <c r="I1402" s="21"/>
      <c r="J1402" s="21"/>
      <c r="K1402" s="22"/>
    </row>
    <row r="1403" spans="1:11" s="5" customFormat="1" ht="15" customHeight="1" x14ac:dyDescent="0.2">
      <c r="A1403" s="20"/>
      <c r="B1403" s="14" t="str">
        <f>IF(A1403="","",_xlfn.XLOOKUP(A1403,'DISPATCH SHEET'!B$3:B$121,'DISPATCH SHEET'!C$3:C$121,""))</f>
        <v/>
      </c>
      <c r="C1403" s="14" t="str">
        <f>IF(ISBLANK(A1403),"",_xlfn.XLOOKUP(A1403,'DISPATCH SHEET'!C$3:C$121,'DISPATCH SHEET'!#REF!,""))</f>
        <v/>
      </c>
      <c r="D1403" s="21"/>
      <c r="E1403" s="21"/>
      <c r="F1403" s="21"/>
      <c r="G1403" s="21"/>
      <c r="H1403" s="21"/>
      <c r="I1403" s="21"/>
      <c r="J1403" s="21"/>
      <c r="K1403" s="22"/>
    </row>
    <row r="1404" spans="1:11" s="5" customFormat="1" ht="15" customHeight="1" x14ac:dyDescent="0.2">
      <c r="A1404" s="20"/>
      <c r="B1404" s="14" t="str">
        <f>IF(A1404="","",_xlfn.XLOOKUP(A1404,'DISPATCH SHEET'!B$3:B$121,'DISPATCH SHEET'!C$3:C$121,""))</f>
        <v/>
      </c>
      <c r="C1404" s="14" t="str">
        <f>IF(ISBLANK(A1404),"",_xlfn.XLOOKUP(A1404,'DISPATCH SHEET'!C$3:C$121,'DISPATCH SHEET'!#REF!,""))</f>
        <v/>
      </c>
      <c r="D1404" s="21"/>
      <c r="E1404" s="21"/>
      <c r="F1404" s="21"/>
      <c r="G1404" s="21"/>
      <c r="H1404" s="21"/>
      <c r="I1404" s="21"/>
      <c r="J1404" s="21"/>
      <c r="K1404" s="22"/>
    </row>
    <row r="1405" spans="1:11" s="5" customFormat="1" ht="15" customHeight="1" x14ac:dyDescent="0.2">
      <c r="A1405" s="20"/>
      <c r="B1405" s="14" t="str">
        <f>IF(A1405="","",_xlfn.XLOOKUP(A1405,'DISPATCH SHEET'!B$3:B$121,'DISPATCH SHEET'!C$3:C$121,""))</f>
        <v/>
      </c>
      <c r="C1405" s="14" t="str">
        <f>IF(ISBLANK(A1405),"",_xlfn.XLOOKUP(A1405,'DISPATCH SHEET'!C$3:C$121,'DISPATCH SHEET'!#REF!,""))</f>
        <v/>
      </c>
      <c r="D1405" s="21"/>
      <c r="E1405" s="21"/>
      <c r="F1405" s="21"/>
      <c r="G1405" s="21"/>
      <c r="H1405" s="21"/>
      <c r="I1405" s="21"/>
      <c r="J1405" s="21"/>
      <c r="K1405" s="22"/>
    </row>
    <row r="1406" spans="1:11" s="5" customFormat="1" ht="15" customHeight="1" x14ac:dyDescent="0.2">
      <c r="A1406" s="20"/>
      <c r="B1406" s="14" t="str">
        <f>IF(A1406="","",_xlfn.XLOOKUP(A1406,'DISPATCH SHEET'!B$3:B$121,'DISPATCH SHEET'!C$3:C$121,""))</f>
        <v/>
      </c>
      <c r="C1406" s="14" t="str">
        <f>IF(ISBLANK(A1406),"",_xlfn.XLOOKUP(A1406,'DISPATCH SHEET'!C$3:C$121,'DISPATCH SHEET'!#REF!,""))</f>
        <v/>
      </c>
      <c r="D1406" s="21"/>
      <c r="E1406" s="21"/>
      <c r="F1406" s="21"/>
      <c r="G1406" s="21"/>
      <c r="H1406" s="21"/>
      <c r="I1406" s="21"/>
      <c r="J1406" s="21"/>
      <c r="K1406" s="22"/>
    </row>
    <row r="1407" spans="1:11" s="5" customFormat="1" ht="15" customHeight="1" x14ac:dyDescent="0.2">
      <c r="A1407" s="20"/>
      <c r="B1407" s="14" t="str">
        <f>IF(A1407="","",_xlfn.XLOOKUP(A1407,'DISPATCH SHEET'!B$3:B$121,'DISPATCH SHEET'!C$3:C$121,""))</f>
        <v/>
      </c>
      <c r="C1407" s="14" t="str">
        <f>IF(ISBLANK(A1407),"",_xlfn.XLOOKUP(A1407,'DISPATCH SHEET'!C$3:C$121,'DISPATCH SHEET'!#REF!,""))</f>
        <v/>
      </c>
      <c r="D1407" s="21"/>
      <c r="E1407" s="21"/>
      <c r="F1407" s="21"/>
      <c r="G1407" s="21"/>
      <c r="H1407" s="21"/>
      <c r="I1407" s="21"/>
      <c r="J1407" s="21"/>
      <c r="K1407" s="22"/>
    </row>
    <row r="1408" spans="1:11" s="5" customFormat="1" ht="15" customHeight="1" x14ac:dyDescent="0.2">
      <c r="A1408" s="20"/>
      <c r="B1408" s="14" t="str">
        <f>IF(A1408="","",_xlfn.XLOOKUP(A1408,'DISPATCH SHEET'!B$3:B$121,'DISPATCH SHEET'!C$3:C$121,""))</f>
        <v/>
      </c>
      <c r="C1408" s="14" t="str">
        <f>IF(ISBLANK(A1408),"",_xlfn.XLOOKUP(A1408,'DISPATCH SHEET'!C$3:C$121,'DISPATCH SHEET'!#REF!,""))</f>
        <v/>
      </c>
      <c r="D1408" s="21"/>
      <c r="E1408" s="21"/>
      <c r="F1408" s="21"/>
      <c r="G1408" s="21"/>
      <c r="H1408" s="21"/>
      <c r="I1408" s="21"/>
      <c r="J1408" s="21"/>
      <c r="K1408" s="22"/>
    </row>
    <row r="1409" spans="1:11" s="5" customFormat="1" ht="15" customHeight="1" x14ac:dyDescent="0.2">
      <c r="A1409" s="20"/>
      <c r="B1409" s="14" t="str">
        <f>IF(A1409="","",_xlfn.XLOOKUP(A1409,'DISPATCH SHEET'!B$3:B$121,'DISPATCH SHEET'!C$3:C$121,""))</f>
        <v/>
      </c>
      <c r="C1409" s="14" t="str">
        <f>IF(ISBLANK(A1409),"",_xlfn.XLOOKUP(A1409,'DISPATCH SHEET'!C$3:C$121,'DISPATCH SHEET'!#REF!,""))</f>
        <v/>
      </c>
      <c r="D1409" s="21"/>
      <c r="E1409" s="21"/>
      <c r="F1409" s="21"/>
      <c r="G1409" s="21"/>
      <c r="H1409" s="21"/>
      <c r="I1409" s="21"/>
      <c r="J1409" s="21"/>
      <c r="K1409" s="22"/>
    </row>
    <row r="1410" spans="1:11" s="5" customFormat="1" ht="15" customHeight="1" x14ac:dyDescent="0.2">
      <c r="A1410" s="20"/>
      <c r="B1410" s="14" t="str">
        <f>IF(A1410="","",_xlfn.XLOOKUP(A1410,'DISPATCH SHEET'!B$3:B$121,'DISPATCH SHEET'!C$3:C$121,""))</f>
        <v/>
      </c>
      <c r="C1410" s="14" t="str">
        <f>IF(ISBLANK(A1410),"",_xlfn.XLOOKUP(A1410,'DISPATCH SHEET'!C$3:C$121,'DISPATCH SHEET'!#REF!,""))</f>
        <v/>
      </c>
      <c r="D1410" s="21"/>
      <c r="E1410" s="21"/>
      <c r="F1410" s="21"/>
      <c r="G1410" s="21"/>
      <c r="H1410" s="21"/>
      <c r="I1410" s="21"/>
      <c r="J1410" s="21"/>
      <c r="K1410" s="22"/>
    </row>
    <row r="1411" spans="1:11" s="5" customFormat="1" ht="15" customHeight="1" x14ac:dyDescent="0.2">
      <c r="A1411" s="20"/>
      <c r="B1411" s="14" t="str">
        <f>IF(A1411="","",_xlfn.XLOOKUP(A1411,'DISPATCH SHEET'!B$3:B$121,'DISPATCH SHEET'!C$3:C$121,""))</f>
        <v/>
      </c>
      <c r="C1411" s="14" t="str">
        <f>IF(ISBLANK(A1411),"",_xlfn.XLOOKUP(A1411,'DISPATCH SHEET'!C$3:C$121,'DISPATCH SHEET'!#REF!,""))</f>
        <v/>
      </c>
      <c r="D1411" s="21"/>
      <c r="E1411" s="21"/>
      <c r="F1411" s="21"/>
      <c r="G1411" s="21"/>
      <c r="H1411" s="21"/>
      <c r="I1411" s="21"/>
      <c r="J1411" s="21"/>
      <c r="K1411" s="22"/>
    </row>
    <row r="1412" spans="1:11" s="5" customFormat="1" ht="15" customHeight="1" x14ac:dyDescent="0.2">
      <c r="A1412" s="20"/>
      <c r="B1412" s="14" t="str">
        <f>IF(A1412="","",_xlfn.XLOOKUP(A1412,'DISPATCH SHEET'!B$3:B$121,'DISPATCH SHEET'!C$3:C$121,""))</f>
        <v/>
      </c>
      <c r="C1412" s="14" t="str">
        <f>IF(ISBLANK(A1412),"",_xlfn.XLOOKUP(A1412,'DISPATCH SHEET'!C$3:C$121,'DISPATCH SHEET'!#REF!,""))</f>
        <v/>
      </c>
      <c r="D1412" s="21"/>
      <c r="E1412" s="21"/>
      <c r="F1412" s="21"/>
      <c r="G1412" s="21"/>
      <c r="H1412" s="21"/>
      <c r="I1412" s="21"/>
      <c r="J1412" s="21"/>
      <c r="K1412" s="22"/>
    </row>
    <row r="1413" spans="1:11" s="5" customFormat="1" ht="15" customHeight="1" x14ac:dyDescent="0.2">
      <c r="A1413" s="20"/>
      <c r="B1413" s="14" t="str">
        <f>IF(A1413="","",_xlfn.XLOOKUP(A1413,'DISPATCH SHEET'!B$3:B$121,'DISPATCH SHEET'!C$3:C$121,""))</f>
        <v/>
      </c>
      <c r="C1413" s="14" t="str">
        <f>IF(ISBLANK(A1413),"",_xlfn.XLOOKUP(A1413,'DISPATCH SHEET'!C$3:C$121,'DISPATCH SHEET'!#REF!,""))</f>
        <v/>
      </c>
      <c r="D1413" s="21"/>
      <c r="E1413" s="21"/>
      <c r="F1413" s="21"/>
      <c r="G1413" s="21"/>
      <c r="H1413" s="21"/>
      <c r="I1413" s="21"/>
      <c r="J1413" s="21"/>
      <c r="K1413" s="22"/>
    </row>
    <row r="1414" spans="1:11" s="5" customFormat="1" ht="15" customHeight="1" x14ac:dyDescent="0.2">
      <c r="A1414" s="20"/>
      <c r="B1414" s="14" t="str">
        <f>IF(A1414="","",_xlfn.XLOOKUP(A1414,'DISPATCH SHEET'!B$3:B$121,'DISPATCH SHEET'!C$3:C$121,""))</f>
        <v/>
      </c>
      <c r="C1414" s="14" t="str">
        <f>IF(ISBLANK(A1414),"",_xlfn.XLOOKUP(A1414,'DISPATCH SHEET'!C$3:C$121,'DISPATCH SHEET'!#REF!,""))</f>
        <v/>
      </c>
      <c r="D1414" s="21"/>
      <c r="E1414" s="21"/>
      <c r="F1414" s="21"/>
      <c r="G1414" s="21"/>
      <c r="H1414" s="21"/>
      <c r="I1414" s="21"/>
      <c r="J1414" s="21"/>
      <c r="K1414" s="22"/>
    </row>
    <row r="1415" spans="1:11" s="5" customFormat="1" ht="15" customHeight="1" x14ac:dyDescent="0.2">
      <c r="A1415" s="20"/>
      <c r="B1415" s="14" t="str">
        <f>IF(A1415="","",_xlfn.XLOOKUP(A1415,'DISPATCH SHEET'!B$3:B$121,'DISPATCH SHEET'!C$3:C$121,""))</f>
        <v/>
      </c>
      <c r="C1415" s="14" t="str">
        <f>IF(ISBLANK(A1415),"",_xlfn.XLOOKUP(A1415,'DISPATCH SHEET'!C$3:C$121,'DISPATCH SHEET'!#REF!,""))</f>
        <v/>
      </c>
      <c r="D1415" s="21"/>
      <c r="E1415" s="21"/>
      <c r="F1415" s="21"/>
      <c r="G1415" s="21"/>
      <c r="H1415" s="21"/>
      <c r="I1415" s="21"/>
      <c r="J1415" s="21"/>
      <c r="K1415" s="22"/>
    </row>
    <row r="1416" spans="1:11" s="5" customFormat="1" ht="15" customHeight="1" x14ac:dyDescent="0.2">
      <c r="A1416" s="20"/>
      <c r="B1416" s="14" t="str">
        <f>IF(A1416="","",_xlfn.XLOOKUP(A1416,'DISPATCH SHEET'!B$3:B$121,'DISPATCH SHEET'!C$3:C$121,""))</f>
        <v/>
      </c>
      <c r="C1416" s="14" t="str">
        <f>IF(ISBLANK(A1416),"",_xlfn.XLOOKUP(A1416,'DISPATCH SHEET'!C$3:C$121,'DISPATCH SHEET'!#REF!,""))</f>
        <v/>
      </c>
      <c r="D1416" s="21"/>
      <c r="E1416" s="21"/>
      <c r="F1416" s="21"/>
      <c r="G1416" s="21"/>
      <c r="H1416" s="21"/>
      <c r="I1416" s="21"/>
      <c r="J1416" s="21"/>
      <c r="K1416" s="22"/>
    </row>
    <row r="1417" spans="1:11" s="5" customFormat="1" ht="15" customHeight="1" x14ac:dyDescent="0.2">
      <c r="A1417" s="20"/>
      <c r="B1417" s="14" t="str">
        <f>IF(A1417="","",_xlfn.XLOOKUP(A1417,'DISPATCH SHEET'!B$3:B$121,'DISPATCH SHEET'!C$3:C$121,""))</f>
        <v/>
      </c>
      <c r="C1417" s="14" t="str">
        <f>IF(ISBLANK(A1417),"",_xlfn.XLOOKUP(A1417,'DISPATCH SHEET'!C$3:C$121,'DISPATCH SHEET'!#REF!,""))</f>
        <v/>
      </c>
      <c r="D1417" s="21"/>
      <c r="E1417" s="21"/>
      <c r="F1417" s="21"/>
      <c r="G1417" s="21"/>
      <c r="H1417" s="21"/>
      <c r="I1417" s="21"/>
      <c r="J1417" s="21"/>
      <c r="K1417" s="22"/>
    </row>
    <row r="1418" spans="1:11" s="5" customFormat="1" ht="15" customHeight="1" x14ac:dyDescent="0.2">
      <c r="A1418" s="20"/>
      <c r="B1418" s="14" t="str">
        <f>IF(A1418="","",_xlfn.XLOOKUP(A1418,'DISPATCH SHEET'!B$3:B$121,'DISPATCH SHEET'!C$3:C$121,""))</f>
        <v/>
      </c>
      <c r="C1418" s="14" t="str">
        <f>IF(ISBLANK(A1418),"",_xlfn.XLOOKUP(A1418,'DISPATCH SHEET'!C$3:C$121,'DISPATCH SHEET'!#REF!,""))</f>
        <v/>
      </c>
      <c r="D1418" s="21"/>
      <c r="E1418" s="21"/>
      <c r="F1418" s="21"/>
      <c r="G1418" s="21"/>
      <c r="H1418" s="21"/>
      <c r="I1418" s="21"/>
      <c r="J1418" s="21"/>
      <c r="K1418" s="22"/>
    </row>
    <row r="1419" spans="1:11" s="5" customFormat="1" ht="15" customHeight="1" x14ac:dyDescent="0.2">
      <c r="A1419" s="20"/>
      <c r="B1419" s="14" t="str">
        <f>IF(A1419="","",_xlfn.XLOOKUP(A1419,'DISPATCH SHEET'!B$3:B$121,'DISPATCH SHEET'!C$3:C$121,""))</f>
        <v/>
      </c>
      <c r="C1419" s="14" t="str">
        <f>IF(ISBLANK(A1419),"",_xlfn.XLOOKUP(A1419,'DISPATCH SHEET'!C$3:C$121,'DISPATCH SHEET'!#REF!,""))</f>
        <v/>
      </c>
      <c r="D1419" s="21"/>
      <c r="E1419" s="21"/>
      <c r="F1419" s="21"/>
      <c r="G1419" s="21"/>
      <c r="H1419" s="21"/>
      <c r="I1419" s="21"/>
      <c r="J1419" s="21"/>
      <c r="K1419" s="22"/>
    </row>
    <row r="1420" spans="1:11" s="5" customFormat="1" ht="15" customHeight="1" x14ac:dyDescent="0.2">
      <c r="A1420" s="20"/>
      <c r="B1420" s="14" t="str">
        <f>IF(A1420="","",_xlfn.XLOOKUP(A1420,'DISPATCH SHEET'!B$3:B$121,'DISPATCH SHEET'!C$3:C$121,""))</f>
        <v/>
      </c>
      <c r="C1420" s="14" t="str">
        <f>IF(ISBLANK(A1420),"",_xlfn.XLOOKUP(A1420,'DISPATCH SHEET'!C$3:C$121,'DISPATCH SHEET'!#REF!,""))</f>
        <v/>
      </c>
      <c r="D1420" s="21"/>
      <c r="E1420" s="21"/>
      <c r="F1420" s="21"/>
      <c r="G1420" s="21"/>
      <c r="H1420" s="21"/>
      <c r="I1420" s="21"/>
      <c r="J1420" s="21"/>
      <c r="K1420" s="22"/>
    </row>
    <row r="1421" spans="1:11" s="5" customFormat="1" ht="15" customHeight="1" x14ac:dyDescent="0.2">
      <c r="A1421" s="20"/>
      <c r="B1421" s="14" t="str">
        <f>IF(A1421="","",_xlfn.XLOOKUP(A1421,'DISPATCH SHEET'!B$3:B$121,'DISPATCH SHEET'!C$3:C$121,""))</f>
        <v/>
      </c>
      <c r="C1421" s="14" t="str">
        <f>IF(ISBLANK(A1421),"",_xlfn.XLOOKUP(A1421,'DISPATCH SHEET'!C$3:C$121,'DISPATCH SHEET'!#REF!,""))</f>
        <v/>
      </c>
      <c r="D1421" s="21"/>
      <c r="E1421" s="21"/>
      <c r="F1421" s="21"/>
      <c r="G1421" s="21"/>
      <c r="H1421" s="21"/>
      <c r="I1421" s="21"/>
      <c r="J1421" s="21"/>
      <c r="K1421" s="22"/>
    </row>
    <row r="1422" spans="1:11" s="5" customFormat="1" ht="15" customHeight="1" x14ac:dyDescent="0.2">
      <c r="A1422" s="20"/>
      <c r="B1422" s="14" t="str">
        <f>IF(A1422="","",_xlfn.XLOOKUP(A1422,'DISPATCH SHEET'!B$3:B$121,'DISPATCH SHEET'!C$3:C$121,""))</f>
        <v/>
      </c>
      <c r="C1422" s="14" t="str">
        <f>IF(ISBLANK(A1422),"",_xlfn.XLOOKUP(A1422,'DISPATCH SHEET'!C$3:C$121,'DISPATCH SHEET'!#REF!,""))</f>
        <v/>
      </c>
      <c r="D1422" s="21"/>
      <c r="E1422" s="21"/>
      <c r="F1422" s="21"/>
      <c r="G1422" s="21"/>
      <c r="H1422" s="21"/>
      <c r="I1422" s="21"/>
      <c r="J1422" s="21"/>
      <c r="K1422" s="22"/>
    </row>
    <row r="1423" spans="1:11" s="5" customFormat="1" ht="15" customHeight="1" x14ac:dyDescent="0.2">
      <c r="A1423" s="20"/>
      <c r="B1423" s="14" t="str">
        <f>IF(A1423="","",_xlfn.XLOOKUP(A1423,'DISPATCH SHEET'!B$3:B$121,'DISPATCH SHEET'!C$3:C$121,""))</f>
        <v/>
      </c>
      <c r="C1423" s="14" t="str">
        <f>IF(ISBLANK(A1423),"",_xlfn.XLOOKUP(A1423,'DISPATCH SHEET'!C$3:C$121,'DISPATCH SHEET'!#REF!,""))</f>
        <v/>
      </c>
      <c r="D1423" s="21"/>
      <c r="E1423" s="21"/>
      <c r="F1423" s="21"/>
      <c r="G1423" s="21"/>
      <c r="H1423" s="21"/>
      <c r="I1423" s="21"/>
      <c r="J1423" s="21"/>
      <c r="K1423" s="22"/>
    </row>
    <row r="1424" spans="1:11" s="5" customFormat="1" ht="15" customHeight="1" x14ac:dyDescent="0.2">
      <c r="A1424" s="20"/>
      <c r="B1424" s="14" t="str">
        <f>IF(A1424="","",_xlfn.XLOOKUP(A1424,'DISPATCH SHEET'!B$3:B$121,'DISPATCH SHEET'!C$3:C$121,""))</f>
        <v/>
      </c>
      <c r="C1424" s="14" t="str">
        <f>IF(ISBLANK(A1424),"",_xlfn.XLOOKUP(A1424,'DISPATCH SHEET'!C$3:C$121,'DISPATCH SHEET'!#REF!,""))</f>
        <v/>
      </c>
      <c r="D1424" s="21"/>
      <c r="E1424" s="21"/>
      <c r="F1424" s="21"/>
      <c r="G1424" s="21"/>
      <c r="H1424" s="21"/>
      <c r="I1424" s="21"/>
      <c r="J1424" s="21"/>
      <c r="K1424" s="22"/>
    </row>
    <row r="1425" spans="1:11" s="5" customFormat="1" ht="15" customHeight="1" x14ac:dyDescent="0.2">
      <c r="A1425" s="20"/>
      <c r="B1425" s="14" t="str">
        <f>IF(A1425="","",_xlfn.XLOOKUP(A1425,'DISPATCH SHEET'!B$3:B$121,'DISPATCH SHEET'!C$3:C$121,""))</f>
        <v/>
      </c>
      <c r="C1425" s="14" t="str">
        <f>IF(ISBLANK(A1425),"",_xlfn.XLOOKUP(A1425,'DISPATCH SHEET'!C$3:C$121,'DISPATCH SHEET'!#REF!,""))</f>
        <v/>
      </c>
      <c r="D1425" s="21"/>
      <c r="E1425" s="21"/>
      <c r="F1425" s="21"/>
      <c r="G1425" s="21"/>
      <c r="H1425" s="21"/>
      <c r="I1425" s="21"/>
      <c r="J1425" s="21"/>
      <c r="K1425" s="22"/>
    </row>
    <row r="1426" spans="1:11" s="5" customFormat="1" ht="15" customHeight="1" x14ac:dyDescent="0.2">
      <c r="A1426" s="20"/>
      <c r="B1426" s="14" t="str">
        <f>IF(A1426="","",_xlfn.XLOOKUP(A1426,'DISPATCH SHEET'!B$3:B$121,'DISPATCH SHEET'!C$3:C$121,""))</f>
        <v/>
      </c>
      <c r="C1426" s="14" t="str">
        <f>IF(ISBLANK(A1426),"",_xlfn.XLOOKUP(A1426,'DISPATCH SHEET'!C$3:C$121,'DISPATCH SHEET'!#REF!,""))</f>
        <v/>
      </c>
      <c r="D1426" s="21"/>
      <c r="E1426" s="21"/>
      <c r="F1426" s="21"/>
      <c r="G1426" s="21"/>
      <c r="H1426" s="21"/>
      <c r="I1426" s="21"/>
      <c r="J1426" s="21"/>
      <c r="K1426" s="22"/>
    </row>
    <row r="1427" spans="1:11" s="5" customFormat="1" ht="15" customHeight="1" x14ac:dyDescent="0.2">
      <c r="A1427" s="20"/>
      <c r="B1427" s="14" t="str">
        <f>IF(A1427="","",_xlfn.XLOOKUP(A1427,'DISPATCH SHEET'!B$3:B$121,'DISPATCH SHEET'!C$3:C$121,""))</f>
        <v/>
      </c>
      <c r="C1427" s="14" t="str">
        <f>IF(ISBLANK(A1427),"",_xlfn.XLOOKUP(A1427,'DISPATCH SHEET'!C$3:C$121,'DISPATCH SHEET'!#REF!,""))</f>
        <v/>
      </c>
      <c r="D1427" s="21"/>
      <c r="E1427" s="21"/>
      <c r="F1427" s="21"/>
      <c r="G1427" s="21"/>
      <c r="H1427" s="21"/>
      <c r="I1427" s="21"/>
      <c r="J1427" s="21"/>
      <c r="K1427" s="22"/>
    </row>
    <row r="1428" spans="1:11" s="5" customFormat="1" ht="15" customHeight="1" x14ac:dyDescent="0.2">
      <c r="A1428" s="20"/>
      <c r="B1428" s="14" t="str">
        <f>IF(A1428="","",_xlfn.XLOOKUP(A1428,'DISPATCH SHEET'!B$3:B$121,'DISPATCH SHEET'!C$3:C$121,""))</f>
        <v/>
      </c>
      <c r="C1428" s="14" t="str">
        <f>IF(ISBLANK(A1428),"",_xlfn.XLOOKUP(A1428,'DISPATCH SHEET'!C$3:C$121,'DISPATCH SHEET'!#REF!,""))</f>
        <v/>
      </c>
      <c r="D1428" s="21"/>
      <c r="E1428" s="21"/>
      <c r="F1428" s="21"/>
      <c r="G1428" s="21"/>
      <c r="H1428" s="21"/>
      <c r="I1428" s="21"/>
      <c r="J1428" s="21"/>
      <c r="K1428" s="22"/>
    </row>
    <row r="1429" spans="1:11" s="5" customFormat="1" ht="15" customHeight="1" x14ac:dyDescent="0.2">
      <c r="A1429" s="20"/>
      <c r="B1429" s="14" t="str">
        <f>IF(A1429="","",_xlfn.XLOOKUP(A1429,'DISPATCH SHEET'!B$3:B$121,'DISPATCH SHEET'!C$3:C$121,""))</f>
        <v/>
      </c>
      <c r="C1429" s="14" t="str">
        <f>IF(ISBLANK(A1429),"",_xlfn.XLOOKUP(A1429,'DISPATCH SHEET'!C$3:C$121,'DISPATCH SHEET'!#REF!,""))</f>
        <v/>
      </c>
      <c r="D1429" s="21"/>
      <c r="E1429" s="21"/>
      <c r="F1429" s="21"/>
      <c r="G1429" s="21"/>
      <c r="H1429" s="21"/>
      <c r="I1429" s="21"/>
      <c r="J1429" s="21"/>
      <c r="K1429" s="22"/>
    </row>
    <row r="1430" spans="1:11" s="5" customFormat="1" ht="15" customHeight="1" x14ac:dyDescent="0.2">
      <c r="A1430" s="20"/>
      <c r="B1430" s="14" t="str">
        <f>IF(A1430="","",_xlfn.XLOOKUP(A1430,'DISPATCH SHEET'!B$3:B$121,'DISPATCH SHEET'!C$3:C$121,""))</f>
        <v/>
      </c>
      <c r="C1430" s="14" t="str">
        <f>IF(ISBLANK(A1430),"",_xlfn.XLOOKUP(A1430,'DISPATCH SHEET'!C$3:C$121,'DISPATCH SHEET'!#REF!,""))</f>
        <v/>
      </c>
      <c r="D1430" s="21"/>
      <c r="E1430" s="21"/>
      <c r="F1430" s="21"/>
      <c r="G1430" s="21"/>
      <c r="H1430" s="21"/>
      <c r="I1430" s="21"/>
      <c r="J1430" s="21"/>
      <c r="K1430" s="22"/>
    </row>
    <row r="1431" spans="1:11" s="5" customFormat="1" ht="15" customHeight="1" x14ac:dyDescent="0.2">
      <c r="A1431" s="20"/>
      <c r="B1431" s="14" t="str">
        <f>IF(A1431="","",_xlfn.XLOOKUP(A1431,'DISPATCH SHEET'!B$3:B$121,'DISPATCH SHEET'!C$3:C$121,""))</f>
        <v/>
      </c>
      <c r="C1431" s="14" t="str">
        <f>IF(ISBLANK(A1431),"",_xlfn.XLOOKUP(A1431,'DISPATCH SHEET'!C$3:C$121,'DISPATCH SHEET'!#REF!,""))</f>
        <v/>
      </c>
      <c r="D1431" s="21"/>
      <c r="E1431" s="21"/>
      <c r="F1431" s="21"/>
      <c r="G1431" s="21"/>
      <c r="H1431" s="21"/>
      <c r="I1431" s="21"/>
      <c r="J1431" s="21"/>
      <c r="K1431" s="22"/>
    </row>
    <row r="1432" spans="1:11" s="5" customFormat="1" ht="15" customHeight="1" x14ac:dyDescent="0.2">
      <c r="A1432" s="20"/>
      <c r="B1432" s="14" t="str">
        <f>IF(A1432="","",_xlfn.XLOOKUP(A1432,'DISPATCH SHEET'!B$3:B$121,'DISPATCH SHEET'!C$3:C$121,""))</f>
        <v/>
      </c>
      <c r="C1432" s="14" t="str">
        <f>IF(ISBLANK(A1432),"",_xlfn.XLOOKUP(A1432,'DISPATCH SHEET'!C$3:C$121,'DISPATCH SHEET'!#REF!,""))</f>
        <v/>
      </c>
      <c r="D1432" s="21"/>
      <c r="E1432" s="21"/>
      <c r="F1432" s="21"/>
      <c r="G1432" s="21"/>
      <c r="H1432" s="21"/>
      <c r="I1432" s="21"/>
      <c r="J1432" s="21"/>
      <c r="K1432" s="22"/>
    </row>
    <row r="1433" spans="1:11" s="5" customFormat="1" ht="15" customHeight="1" x14ac:dyDescent="0.2">
      <c r="A1433" s="20"/>
      <c r="B1433" s="14" t="str">
        <f>IF(A1433="","",_xlfn.XLOOKUP(A1433,'DISPATCH SHEET'!B$3:B$121,'DISPATCH SHEET'!C$3:C$121,""))</f>
        <v/>
      </c>
      <c r="C1433" s="14" t="str">
        <f>IF(ISBLANK(A1433),"",_xlfn.XLOOKUP(A1433,'DISPATCH SHEET'!C$3:C$121,'DISPATCH SHEET'!#REF!,""))</f>
        <v/>
      </c>
      <c r="D1433" s="21"/>
      <c r="E1433" s="21"/>
      <c r="F1433" s="21"/>
      <c r="G1433" s="21"/>
      <c r="H1433" s="21"/>
      <c r="I1433" s="21"/>
      <c r="J1433" s="21"/>
      <c r="K1433" s="22"/>
    </row>
    <row r="1434" spans="1:11" s="5" customFormat="1" ht="15" customHeight="1" x14ac:dyDescent="0.2">
      <c r="A1434" s="20"/>
      <c r="B1434" s="14" t="str">
        <f>IF(A1434="","",_xlfn.XLOOKUP(A1434,'DISPATCH SHEET'!B$3:B$121,'DISPATCH SHEET'!C$3:C$121,""))</f>
        <v/>
      </c>
      <c r="C1434" s="14" t="str">
        <f>IF(ISBLANK(A1434),"",_xlfn.XLOOKUP(A1434,'DISPATCH SHEET'!C$3:C$121,'DISPATCH SHEET'!#REF!,""))</f>
        <v/>
      </c>
      <c r="D1434" s="21"/>
      <c r="E1434" s="21"/>
      <c r="F1434" s="21"/>
      <c r="G1434" s="21"/>
      <c r="H1434" s="21"/>
      <c r="I1434" s="21"/>
      <c r="J1434" s="21"/>
      <c r="K1434" s="22"/>
    </row>
    <row r="1435" spans="1:11" s="5" customFormat="1" ht="15" customHeight="1" x14ac:dyDescent="0.2">
      <c r="A1435" s="20"/>
      <c r="B1435" s="14" t="str">
        <f>IF(A1435="","",_xlfn.XLOOKUP(A1435,'DISPATCH SHEET'!B$3:B$121,'DISPATCH SHEET'!C$3:C$121,""))</f>
        <v/>
      </c>
      <c r="C1435" s="14" t="str">
        <f>IF(ISBLANK(A1435),"",_xlfn.XLOOKUP(A1435,'DISPATCH SHEET'!C$3:C$121,'DISPATCH SHEET'!#REF!,""))</f>
        <v/>
      </c>
      <c r="D1435" s="21"/>
      <c r="E1435" s="21"/>
      <c r="F1435" s="21"/>
      <c r="G1435" s="21"/>
      <c r="H1435" s="21"/>
      <c r="I1435" s="21"/>
      <c r="J1435" s="21"/>
      <c r="K1435" s="22"/>
    </row>
    <row r="1436" spans="1:11" s="5" customFormat="1" ht="15" customHeight="1" x14ac:dyDescent="0.2">
      <c r="A1436" s="20"/>
      <c r="B1436" s="14" t="str">
        <f>IF(A1436="","",_xlfn.XLOOKUP(A1436,'DISPATCH SHEET'!B$3:B$121,'DISPATCH SHEET'!C$3:C$121,""))</f>
        <v/>
      </c>
      <c r="C1436" s="14" t="str">
        <f>IF(ISBLANK(A1436),"",_xlfn.XLOOKUP(A1436,'DISPATCH SHEET'!C$3:C$121,'DISPATCH SHEET'!#REF!,""))</f>
        <v/>
      </c>
      <c r="D1436" s="21"/>
      <c r="E1436" s="21"/>
      <c r="F1436" s="21"/>
      <c r="G1436" s="21"/>
      <c r="H1436" s="21"/>
      <c r="I1436" s="21"/>
      <c r="J1436" s="21"/>
      <c r="K1436" s="22"/>
    </row>
    <row r="1437" spans="1:11" s="5" customFormat="1" ht="15" customHeight="1" x14ac:dyDescent="0.2">
      <c r="A1437" s="20"/>
      <c r="B1437" s="14" t="str">
        <f>IF(A1437="","",_xlfn.XLOOKUP(A1437,'DISPATCH SHEET'!B$3:B$121,'DISPATCH SHEET'!C$3:C$121,""))</f>
        <v/>
      </c>
      <c r="C1437" s="14" t="str">
        <f>IF(ISBLANK(A1437),"",_xlfn.XLOOKUP(A1437,'DISPATCH SHEET'!C$3:C$121,'DISPATCH SHEET'!#REF!,""))</f>
        <v/>
      </c>
      <c r="D1437" s="21"/>
      <c r="E1437" s="21"/>
      <c r="F1437" s="21"/>
      <c r="G1437" s="21"/>
      <c r="H1437" s="21"/>
      <c r="I1437" s="21"/>
      <c r="J1437" s="21"/>
      <c r="K1437" s="22"/>
    </row>
    <row r="1438" spans="1:11" s="5" customFormat="1" ht="15" customHeight="1" x14ac:dyDescent="0.2">
      <c r="A1438" s="20"/>
      <c r="B1438" s="14" t="str">
        <f>IF(A1438="","",_xlfn.XLOOKUP(A1438,'DISPATCH SHEET'!B$3:B$121,'DISPATCH SHEET'!C$3:C$121,""))</f>
        <v/>
      </c>
      <c r="C1438" s="14" t="str">
        <f>IF(ISBLANK(A1438),"",_xlfn.XLOOKUP(A1438,'DISPATCH SHEET'!C$3:C$121,'DISPATCH SHEET'!#REF!,""))</f>
        <v/>
      </c>
      <c r="D1438" s="21"/>
      <c r="E1438" s="21"/>
      <c r="F1438" s="21"/>
      <c r="G1438" s="21"/>
      <c r="H1438" s="21"/>
      <c r="I1438" s="21"/>
      <c r="J1438" s="21"/>
      <c r="K1438" s="22"/>
    </row>
    <row r="1439" spans="1:11" s="5" customFormat="1" ht="15" customHeight="1" x14ac:dyDescent="0.2">
      <c r="A1439" s="20"/>
      <c r="B1439" s="14" t="str">
        <f>IF(A1439="","",_xlfn.XLOOKUP(A1439,'DISPATCH SHEET'!B$3:B$121,'DISPATCH SHEET'!C$3:C$121,""))</f>
        <v/>
      </c>
      <c r="C1439" s="14" t="str">
        <f>IF(ISBLANK(A1439),"",_xlfn.XLOOKUP(A1439,'DISPATCH SHEET'!C$3:C$121,'DISPATCH SHEET'!#REF!,""))</f>
        <v/>
      </c>
      <c r="D1439" s="21"/>
      <c r="E1439" s="21"/>
      <c r="F1439" s="21"/>
      <c r="G1439" s="21"/>
      <c r="H1439" s="21"/>
      <c r="I1439" s="21"/>
      <c r="J1439" s="21"/>
      <c r="K1439" s="22"/>
    </row>
    <row r="1440" spans="1:11" s="5" customFormat="1" ht="15" customHeight="1" x14ac:dyDescent="0.2">
      <c r="A1440" s="20"/>
      <c r="B1440" s="14" t="str">
        <f>IF(A1440="","",_xlfn.XLOOKUP(A1440,'DISPATCH SHEET'!B$3:B$121,'DISPATCH SHEET'!C$3:C$121,""))</f>
        <v/>
      </c>
      <c r="C1440" s="14" t="str">
        <f>IF(ISBLANK(A1440),"",_xlfn.XLOOKUP(A1440,'DISPATCH SHEET'!C$3:C$121,'DISPATCH SHEET'!#REF!,""))</f>
        <v/>
      </c>
      <c r="D1440" s="21"/>
      <c r="E1440" s="21"/>
      <c r="F1440" s="21"/>
      <c r="G1440" s="21"/>
      <c r="H1440" s="21"/>
      <c r="I1440" s="21"/>
      <c r="J1440" s="21"/>
      <c r="K1440" s="22"/>
    </row>
    <row r="1441" spans="1:11" s="5" customFormat="1" ht="15" customHeight="1" x14ac:dyDescent="0.2">
      <c r="A1441" s="20"/>
      <c r="B1441" s="14" t="str">
        <f>IF(A1441="","",_xlfn.XLOOKUP(A1441,'DISPATCH SHEET'!B$3:B$121,'DISPATCH SHEET'!C$3:C$121,""))</f>
        <v/>
      </c>
      <c r="C1441" s="14" t="str">
        <f>IF(ISBLANK(A1441),"",_xlfn.XLOOKUP(A1441,'DISPATCH SHEET'!C$3:C$121,'DISPATCH SHEET'!#REF!,""))</f>
        <v/>
      </c>
      <c r="D1441" s="21"/>
      <c r="E1441" s="21"/>
      <c r="F1441" s="21"/>
      <c r="G1441" s="21"/>
      <c r="H1441" s="21"/>
      <c r="I1441" s="21"/>
      <c r="J1441" s="21"/>
      <c r="K1441" s="22"/>
    </row>
    <row r="1442" spans="1:11" s="5" customFormat="1" ht="15" customHeight="1" x14ac:dyDescent="0.2">
      <c r="A1442" s="20"/>
      <c r="B1442" s="14" t="str">
        <f>IF(A1442="","",_xlfn.XLOOKUP(A1442,'DISPATCH SHEET'!B$3:B$121,'DISPATCH SHEET'!C$3:C$121,""))</f>
        <v/>
      </c>
      <c r="C1442" s="14" t="str">
        <f>IF(ISBLANK(A1442),"",_xlfn.XLOOKUP(A1442,'DISPATCH SHEET'!C$3:C$121,'DISPATCH SHEET'!#REF!,""))</f>
        <v/>
      </c>
      <c r="D1442" s="21"/>
      <c r="E1442" s="21"/>
      <c r="F1442" s="21"/>
      <c r="G1442" s="21"/>
      <c r="H1442" s="21"/>
      <c r="I1442" s="21"/>
      <c r="J1442" s="21"/>
      <c r="K1442" s="22"/>
    </row>
    <row r="1443" spans="1:11" s="5" customFormat="1" ht="15" customHeight="1" x14ac:dyDescent="0.2">
      <c r="A1443" s="20"/>
      <c r="B1443" s="14" t="str">
        <f>IF(A1443="","",_xlfn.XLOOKUP(A1443,'DISPATCH SHEET'!B$3:B$121,'DISPATCH SHEET'!C$3:C$121,""))</f>
        <v/>
      </c>
      <c r="C1443" s="14" t="str">
        <f>IF(ISBLANK(A1443),"",_xlfn.XLOOKUP(A1443,'DISPATCH SHEET'!C$3:C$121,'DISPATCH SHEET'!#REF!,""))</f>
        <v/>
      </c>
      <c r="D1443" s="21"/>
      <c r="E1443" s="21"/>
      <c r="F1443" s="21"/>
      <c r="G1443" s="21"/>
      <c r="H1443" s="21"/>
      <c r="I1443" s="21"/>
      <c r="J1443" s="21"/>
      <c r="K1443" s="22"/>
    </row>
    <row r="1444" spans="1:11" s="5" customFormat="1" ht="15" customHeight="1" x14ac:dyDescent="0.2">
      <c r="A1444" s="20"/>
      <c r="B1444" s="14" t="str">
        <f>IF(A1444="","",_xlfn.XLOOKUP(A1444,'DISPATCH SHEET'!B$3:B$121,'DISPATCH SHEET'!C$3:C$121,""))</f>
        <v/>
      </c>
      <c r="C1444" s="14" t="str">
        <f>IF(ISBLANK(A1444),"",_xlfn.XLOOKUP(A1444,'DISPATCH SHEET'!C$3:C$121,'DISPATCH SHEET'!#REF!,""))</f>
        <v/>
      </c>
      <c r="D1444" s="21"/>
      <c r="E1444" s="21"/>
      <c r="F1444" s="21"/>
      <c r="G1444" s="21"/>
      <c r="H1444" s="21"/>
      <c r="I1444" s="21"/>
      <c r="J1444" s="21"/>
      <c r="K1444" s="22"/>
    </row>
    <row r="1445" spans="1:11" s="5" customFormat="1" ht="15" customHeight="1" x14ac:dyDescent="0.2">
      <c r="A1445" s="20"/>
      <c r="B1445" s="14" t="str">
        <f>IF(A1445="","",_xlfn.XLOOKUP(A1445,'DISPATCH SHEET'!B$3:B$121,'DISPATCH SHEET'!C$3:C$121,""))</f>
        <v/>
      </c>
      <c r="C1445" s="14" t="str">
        <f>IF(ISBLANK(A1445),"",_xlfn.XLOOKUP(A1445,'DISPATCH SHEET'!C$3:C$121,'DISPATCH SHEET'!#REF!,""))</f>
        <v/>
      </c>
      <c r="D1445" s="21"/>
      <c r="E1445" s="21"/>
      <c r="F1445" s="21"/>
      <c r="G1445" s="21"/>
      <c r="H1445" s="21"/>
      <c r="I1445" s="21"/>
      <c r="J1445" s="21"/>
      <c r="K1445" s="22"/>
    </row>
    <row r="1446" spans="1:11" s="5" customFormat="1" ht="15" customHeight="1" x14ac:dyDescent="0.2">
      <c r="A1446" s="20"/>
      <c r="B1446" s="14" t="str">
        <f>IF(A1446="","",_xlfn.XLOOKUP(A1446,'DISPATCH SHEET'!B$3:B$121,'DISPATCH SHEET'!C$3:C$121,""))</f>
        <v/>
      </c>
      <c r="C1446" s="14" t="str">
        <f>IF(ISBLANK(A1446),"",_xlfn.XLOOKUP(A1446,'DISPATCH SHEET'!C$3:C$121,'DISPATCH SHEET'!#REF!,""))</f>
        <v/>
      </c>
      <c r="D1446" s="21"/>
      <c r="E1446" s="21"/>
      <c r="F1446" s="21"/>
      <c r="G1446" s="21"/>
      <c r="H1446" s="21"/>
      <c r="I1446" s="21"/>
      <c r="J1446" s="21"/>
      <c r="K1446" s="22"/>
    </row>
    <row r="1447" spans="1:11" s="5" customFormat="1" ht="15" customHeight="1" x14ac:dyDescent="0.2">
      <c r="A1447" s="20"/>
      <c r="B1447" s="14" t="str">
        <f>IF(A1447="","",_xlfn.XLOOKUP(A1447,'DISPATCH SHEET'!B$3:B$121,'DISPATCH SHEET'!C$3:C$121,""))</f>
        <v/>
      </c>
      <c r="C1447" s="14" t="str">
        <f>IF(ISBLANK(A1447),"",_xlfn.XLOOKUP(A1447,'DISPATCH SHEET'!C$3:C$121,'DISPATCH SHEET'!#REF!,""))</f>
        <v/>
      </c>
      <c r="D1447" s="21"/>
      <c r="E1447" s="21"/>
      <c r="F1447" s="21"/>
      <c r="G1447" s="21"/>
      <c r="H1447" s="21"/>
      <c r="I1447" s="21"/>
      <c r="J1447" s="21"/>
      <c r="K1447" s="22"/>
    </row>
    <row r="1448" spans="1:11" s="5" customFormat="1" ht="15" customHeight="1" x14ac:dyDescent="0.2">
      <c r="A1448" s="20"/>
      <c r="B1448" s="14" t="str">
        <f>IF(A1448="","",_xlfn.XLOOKUP(A1448,'DISPATCH SHEET'!B$3:B$121,'DISPATCH SHEET'!C$3:C$121,""))</f>
        <v/>
      </c>
      <c r="C1448" s="14" t="str">
        <f>IF(ISBLANK(A1448),"",_xlfn.XLOOKUP(A1448,'DISPATCH SHEET'!C$3:C$121,'DISPATCH SHEET'!#REF!,""))</f>
        <v/>
      </c>
      <c r="D1448" s="21"/>
      <c r="E1448" s="21"/>
      <c r="F1448" s="21"/>
      <c r="G1448" s="21"/>
      <c r="H1448" s="21"/>
      <c r="I1448" s="21"/>
      <c r="J1448" s="21"/>
      <c r="K1448" s="22"/>
    </row>
    <row r="1449" spans="1:11" s="5" customFormat="1" ht="15" customHeight="1" x14ac:dyDescent="0.2">
      <c r="A1449" s="20"/>
      <c r="B1449" s="14" t="str">
        <f>IF(A1449="","",_xlfn.XLOOKUP(A1449,'DISPATCH SHEET'!B$3:B$121,'DISPATCH SHEET'!C$3:C$121,""))</f>
        <v/>
      </c>
      <c r="C1449" s="14" t="str">
        <f>IF(ISBLANK(A1449),"",_xlfn.XLOOKUP(A1449,'DISPATCH SHEET'!C$3:C$121,'DISPATCH SHEET'!#REF!,""))</f>
        <v/>
      </c>
      <c r="D1449" s="21"/>
      <c r="E1449" s="21"/>
      <c r="F1449" s="21"/>
      <c r="G1449" s="21"/>
      <c r="H1449" s="21"/>
      <c r="I1449" s="21"/>
      <c r="J1449" s="21"/>
      <c r="K1449" s="22"/>
    </row>
    <row r="1450" spans="1:11" s="5" customFormat="1" ht="15" customHeight="1" x14ac:dyDescent="0.2">
      <c r="A1450" s="20"/>
      <c r="B1450" s="14" t="str">
        <f>IF(A1450="","",_xlfn.XLOOKUP(A1450,'DISPATCH SHEET'!B$3:B$121,'DISPATCH SHEET'!C$3:C$121,""))</f>
        <v/>
      </c>
      <c r="C1450" s="14" t="str">
        <f>IF(ISBLANK(A1450),"",_xlfn.XLOOKUP(A1450,'DISPATCH SHEET'!C$3:C$121,'DISPATCH SHEET'!#REF!,""))</f>
        <v/>
      </c>
      <c r="D1450" s="21"/>
      <c r="E1450" s="21"/>
      <c r="F1450" s="21"/>
      <c r="G1450" s="21"/>
      <c r="H1450" s="21"/>
      <c r="I1450" s="21"/>
      <c r="J1450" s="21"/>
      <c r="K1450" s="22"/>
    </row>
    <row r="1451" spans="1:11" s="5" customFormat="1" ht="15" customHeight="1" x14ac:dyDescent="0.2">
      <c r="A1451" s="20"/>
      <c r="B1451" s="14" t="str">
        <f>IF(A1451="","",_xlfn.XLOOKUP(A1451,'DISPATCH SHEET'!B$3:B$121,'DISPATCH SHEET'!C$3:C$121,""))</f>
        <v/>
      </c>
      <c r="C1451" s="14" t="str">
        <f>IF(ISBLANK(A1451),"",_xlfn.XLOOKUP(A1451,'DISPATCH SHEET'!C$3:C$121,'DISPATCH SHEET'!#REF!,""))</f>
        <v/>
      </c>
      <c r="D1451" s="21"/>
      <c r="E1451" s="21"/>
      <c r="F1451" s="21"/>
      <c r="G1451" s="21"/>
      <c r="H1451" s="21"/>
      <c r="I1451" s="21"/>
      <c r="J1451" s="21"/>
      <c r="K1451" s="22"/>
    </row>
    <row r="1452" spans="1:11" s="5" customFormat="1" ht="15" customHeight="1" x14ac:dyDescent="0.2">
      <c r="A1452" s="20"/>
      <c r="B1452" s="14" t="str">
        <f>IF(A1452="","",_xlfn.XLOOKUP(A1452,'DISPATCH SHEET'!B$3:B$121,'DISPATCH SHEET'!C$3:C$121,""))</f>
        <v/>
      </c>
      <c r="C1452" s="14" t="str">
        <f>IF(ISBLANK(A1452),"",_xlfn.XLOOKUP(A1452,'DISPATCH SHEET'!C$3:C$121,'DISPATCH SHEET'!#REF!,""))</f>
        <v/>
      </c>
      <c r="D1452" s="21"/>
      <c r="E1452" s="21"/>
      <c r="F1452" s="21"/>
      <c r="G1452" s="21"/>
      <c r="H1452" s="21"/>
      <c r="I1452" s="21"/>
      <c r="J1452" s="21"/>
      <c r="K1452" s="22"/>
    </row>
    <row r="1453" spans="1:11" s="5" customFormat="1" ht="15" customHeight="1" x14ac:dyDescent="0.2">
      <c r="A1453" s="20"/>
      <c r="B1453" s="14" t="str">
        <f>IF(A1453="","",_xlfn.XLOOKUP(A1453,'DISPATCH SHEET'!B$3:B$121,'DISPATCH SHEET'!C$3:C$121,""))</f>
        <v/>
      </c>
      <c r="C1453" s="14" t="str">
        <f>IF(ISBLANK(A1453),"",_xlfn.XLOOKUP(A1453,'DISPATCH SHEET'!C$3:C$121,'DISPATCH SHEET'!#REF!,""))</f>
        <v/>
      </c>
      <c r="D1453" s="21"/>
      <c r="E1453" s="21"/>
      <c r="F1453" s="21"/>
      <c r="G1453" s="21"/>
      <c r="H1453" s="21"/>
      <c r="I1453" s="21"/>
      <c r="J1453" s="21"/>
      <c r="K1453" s="22"/>
    </row>
    <row r="1454" spans="1:11" s="5" customFormat="1" ht="15" customHeight="1" x14ac:dyDescent="0.2">
      <c r="A1454" s="20"/>
      <c r="B1454" s="14" t="str">
        <f>IF(A1454="","",_xlfn.XLOOKUP(A1454,'DISPATCH SHEET'!B$3:B$121,'DISPATCH SHEET'!C$3:C$121,""))</f>
        <v/>
      </c>
      <c r="C1454" s="14" t="str">
        <f>IF(ISBLANK(A1454),"",_xlfn.XLOOKUP(A1454,'DISPATCH SHEET'!C$3:C$121,'DISPATCH SHEET'!#REF!,""))</f>
        <v/>
      </c>
      <c r="D1454" s="21"/>
      <c r="E1454" s="21"/>
      <c r="F1454" s="21"/>
      <c r="G1454" s="21"/>
      <c r="H1454" s="21"/>
      <c r="I1454" s="21"/>
      <c r="J1454" s="21"/>
      <c r="K1454" s="22"/>
    </row>
    <row r="1455" spans="1:11" s="5" customFormat="1" ht="15" customHeight="1" x14ac:dyDescent="0.2">
      <c r="A1455" s="20"/>
      <c r="B1455" s="14" t="str">
        <f>IF(A1455="","",_xlfn.XLOOKUP(A1455,'DISPATCH SHEET'!B$3:B$121,'DISPATCH SHEET'!C$3:C$121,""))</f>
        <v/>
      </c>
      <c r="C1455" s="14" t="str">
        <f>IF(ISBLANK(A1455),"",_xlfn.XLOOKUP(A1455,'DISPATCH SHEET'!C$3:C$121,'DISPATCH SHEET'!#REF!,""))</f>
        <v/>
      </c>
      <c r="D1455" s="21"/>
      <c r="E1455" s="21"/>
      <c r="F1455" s="21"/>
      <c r="G1455" s="21"/>
      <c r="H1455" s="21"/>
      <c r="I1455" s="21"/>
      <c r="J1455" s="21"/>
      <c r="K1455" s="22"/>
    </row>
    <row r="1456" spans="1:11" s="5" customFormat="1" ht="15" customHeight="1" x14ac:dyDescent="0.2">
      <c r="A1456" s="20"/>
      <c r="B1456" s="14" t="str">
        <f>IF(A1456="","",_xlfn.XLOOKUP(A1456,'DISPATCH SHEET'!B$3:B$121,'DISPATCH SHEET'!C$3:C$121,""))</f>
        <v/>
      </c>
      <c r="C1456" s="14" t="str">
        <f>IF(ISBLANK(A1456),"",_xlfn.XLOOKUP(A1456,'DISPATCH SHEET'!C$3:C$121,'DISPATCH SHEET'!#REF!,""))</f>
        <v/>
      </c>
      <c r="D1456" s="21"/>
      <c r="E1456" s="21"/>
      <c r="F1456" s="21"/>
      <c r="G1456" s="21"/>
      <c r="H1456" s="21"/>
      <c r="I1456" s="21"/>
      <c r="J1456" s="21"/>
      <c r="K1456" s="22"/>
    </row>
    <row r="1457" spans="1:11" s="5" customFormat="1" ht="15" customHeight="1" x14ac:dyDescent="0.2">
      <c r="A1457" s="20"/>
      <c r="B1457" s="14" t="str">
        <f>IF(A1457="","",_xlfn.XLOOKUP(A1457,'DISPATCH SHEET'!B$3:B$121,'DISPATCH SHEET'!C$3:C$121,""))</f>
        <v/>
      </c>
      <c r="C1457" s="14" t="str">
        <f>IF(ISBLANK(A1457),"",_xlfn.XLOOKUP(A1457,'DISPATCH SHEET'!C$3:C$121,'DISPATCH SHEET'!#REF!,""))</f>
        <v/>
      </c>
      <c r="D1457" s="21"/>
      <c r="E1457" s="21"/>
      <c r="F1457" s="21"/>
      <c r="G1457" s="21"/>
      <c r="H1457" s="21"/>
      <c r="I1457" s="21"/>
      <c r="J1457" s="21"/>
      <c r="K1457" s="22"/>
    </row>
    <row r="1458" spans="1:11" s="5" customFormat="1" ht="15" customHeight="1" x14ac:dyDescent="0.2">
      <c r="A1458" s="20"/>
      <c r="B1458" s="14" t="str">
        <f>IF(A1458="","",_xlfn.XLOOKUP(A1458,'DISPATCH SHEET'!B$3:B$121,'DISPATCH SHEET'!C$3:C$121,""))</f>
        <v/>
      </c>
      <c r="C1458" s="14" t="str">
        <f>IF(ISBLANK(A1458),"",_xlfn.XLOOKUP(A1458,'DISPATCH SHEET'!C$3:C$121,'DISPATCH SHEET'!#REF!,""))</f>
        <v/>
      </c>
      <c r="D1458" s="21"/>
      <c r="E1458" s="21"/>
      <c r="F1458" s="21"/>
      <c r="G1458" s="21"/>
      <c r="H1458" s="21"/>
      <c r="I1458" s="21"/>
      <c r="J1458" s="21"/>
      <c r="K1458" s="22"/>
    </row>
    <row r="1459" spans="1:11" s="5" customFormat="1" ht="15" customHeight="1" x14ac:dyDescent="0.2">
      <c r="A1459" s="20"/>
      <c r="B1459" s="14" t="str">
        <f>IF(A1459="","",_xlfn.XLOOKUP(A1459,'DISPATCH SHEET'!B$3:B$121,'DISPATCH SHEET'!C$3:C$121,""))</f>
        <v/>
      </c>
      <c r="C1459" s="14" t="str">
        <f>IF(ISBLANK(A1459),"",_xlfn.XLOOKUP(A1459,'DISPATCH SHEET'!C$3:C$121,'DISPATCH SHEET'!#REF!,""))</f>
        <v/>
      </c>
      <c r="D1459" s="21"/>
      <c r="E1459" s="21"/>
      <c r="F1459" s="21"/>
      <c r="G1459" s="21"/>
      <c r="H1459" s="21"/>
      <c r="I1459" s="21"/>
      <c r="J1459" s="21"/>
      <c r="K1459" s="22"/>
    </row>
    <row r="1460" spans="1:11" s="5" customFormat="1" ht="15" customHeight="1" x14ac:dyDescent="0.2">
      <c r="A1460" s="20"/>
      <c r="B1460" s="14" t="str">
        <f>IF(A1460="","",_xlfn.XLOOKUP(A1460,'DISPATCH SHEET'!B$3:B$121,'DISPATCH SHEET'!C$3:C$121,""))</f>
        <v/>
      </c>
      <c r="C1460" s="14" t="str">
        <f>IF(ISBLANK(A1460),"",_xlfn.XLOOKUP(A1460,'DISPATCH SHEET'!C$3:C$121,'DISPATCH SHEET'!#REF!,""))</f>
        <v/>
      </c>
      <c r="D1460" s="21"/>
      <c r="E1460" s="21"/>
      <c r="F1460" s="21"/>
      <c r="G1460" s="21"/>
      <c r="H1460" s="21"/>
      <c r="I1460" s="21"/>
      <c r="J1460" s="21"/>
      <c r="K1460" s="22"/>
    </row>
    <row r="1461" spans="1:11" s="5" customFormat="1" ht="15" customHeight="1" x14ac:dyDescent="0.2">
      <c r="A1461" s="20"/>
      <c r="B1461" s="14" t="str">
        <f>IF(A1461="","",_xlfn.XLOOKUP(A1461,'DISPATCH SHEET'!B$3:B$121,'DISPATCH SHEET'!C$3:C$121,""))</f>
        <v/>
      </c>
      <c r="C1461" s="14" t="str">
        <f>IF(ISBLANK(A1461),"",_xlfn.XLOOKUP(A1461,'DISPATCH SHEET'!C$3:C$121,'DISPATCH SHEET'!#REF!,""))</f>
        <v/>
      </c>
      <c r="D1461" s="21"/>
      <c r="E1461" s="21"/>
      <c r="F1461" s="21"/>
      <c r="G1461" s="21"/>
      <c r="H1461" s="21"/>
      <c r="I1461" s="21"/>
      <c r="J1461" s="21"/>
      <c r="K1461" s="22"/>
    </row>
    <row r="1462" spans="1:11" s="5" customFormat="1" ht="15" customHeight="1" x14ac:dyDescent="0.2">
      <c r="A1462" s="20"/>
      <c r="B1462" s="14" t="str">
        <f>IF(A1462="","",_xlfn.XLOOKUP(A1462,'DISPATCH SHEET'!B$3:B$121,'DISPATCH SHEET'!C$3:C$121,""))</f>
        <v/>
      </c>
      <c r="C1462" s="14" t="str">
        <f>IF(ISBLANK(A1462),"",_xlfn.XLOOKUP(A1462,'DISPATCH SHEET'!C$3:C$121,'DISPATCH SHEET'!#REF!,""))</f>
        <v/>
      </c>
      <c r="D1462" s="21"/>
      <c r="E1462" s="21"/>
      <c r="F1462" s="21"/>
      <c r="G1462" s="21"/>
      <c r="H1462" s="21"/>
      <c r="I1462" s="21"/>
      <c r="J1462" s="21"/>
      <c r="K1462" s="22"/>
    </row>
    <row r="1463" spans="1:11" s="5" customFormat="1" ht="15" customHeight="1" x14ac:dyDescent="0.2">
      <c r="A1463" s="20"/>
      <c r="B1463" s="14" t="str">
        <f>IF(A1463="","",_xlfn.XLOOKUP(A1463,'DISPATCH SHEET'!B$3:B$121,'DISPATCH SHEET'!C$3:C$121,""))</f>
        <v/>
      </c>
      <c r="C1463" s="14" t="str">
        <f>IF(ISBLANK(A1463),"",_xlfn.XLOOKUP(A1463,'DISPATCH SHEET'!C$3:C$121,'DISPATCH SHEET'!#REF!,""))</f>
        <v/>
      </c>
      <c r="D1463" s="21"/>
      <c r="E1463" s="21"/>
      <c r="F1463" s="21"/>
      <c r="G1463" s="21"/>
      <c r="H1463" s="21"/>
      <c r="I1463" s="21"/>
      <c r="J1463" s="21"/>
      <c r="K1463" s="22"/>
    </row>
    <row r="1464" spans="1:11" s="5" customFormat="1" ht="15" customHeight="1" x14ac:dyDescent="0.2">
      <c r="A1464" s="20"/>
      <c r="B1464" s="14" t="str">
        <f>IF(A1464="","",_xlfn.XLOOKUP(A1464,'DISPATCH SHEET'!B$3:B$121,'DISPATCH SHEET'!C$3:C$121,""))</f>
        <v/>
      </c>
      <c r="C1464" s="14" t="str">
        <f>IF(ISBLANK(A1464),"",_xlfn.XLOOKUP(A1464,'DISPATCH SHEET'!C$3:C$121,'DISPATCH SHEET'!#REF!,""))</f>
        <v/>
      </c>
      <c r="D1464" s="21"/>
      <c r="E1464" s="21"/>
      <c r="F1464" s="21"/>
      <c r="G1464" s="21"/>
      <c r="H1464" s="21"/>
      <c r="I1464" s="21"/>
      <c r="J1464" s="21"/>
      <c r="K1464" s="22"/>
    </row>
    <row r="1465" spans="1:11" s="5" customFormat="1" ht="15" customHeight="1" x14ac:dyDescent="0.2">
      <c r="A1465" s="20"/>
      <c r="B1465" s="14" t="str">
        <f>IF(A1465="","",_xlfn.XLOOKUP(A1465,'DISPATCH SHEET'!B$3:B$121,'DISPATCH SHEET'!C$3:C$121,""))</f>
        <v/>
      </c>
      <c r="C1465" s="14" t="str">
        <f>IF(ISBLANK(A1465),"",_xlfn.XLOOKUP(A1465,'DISPATCH SHEET'!C$3:C$121,'DISPATCH SHEET'!#REF!,""))</f>
        <v/>
      </c>
      <c r="D1465" s="21"/>
      <c r="E1465" s="21"/>
      <c r="F1465" s="21"/>
      <c r="G1465" s="21"/>
      <c r="H1465" s="21"/>
      <c r="I1465" s="21"/>
      <c r="J1465" s="21"/>
      <c r="K1465" s="22"/>
    </row>
    <row r="1466" spans="1:11" s="5" customFormat="1" ht="15" customHeight="1" x14ac:dyDescent="0.2">
      <c r="A1466" s="20"/>
      <c r="B1466" s="14" t="str">
        <f>IF(A1466="","",_xlfn.XLOOKUP(A1466,'DISPATCH SHEET'!B$3:B$121,'DISPATCH SHEET'!C$3:C$121,""))</f>
        <v/>
      </c>
      <c r="C1466" s="14" t="str">
        <f>IF(ISBLANK(A1466),"",_xlfn.XLOOKUP(A1466,'DISPATCH SHEET'!C$3:C$121,'DISPATCH SHEET'!#REF!,""))</f>
        <v/>
      </c>
      <c r="D1466" s="21"/>
      <c r="E1466" s="21"/>
      <c r="F1466" s="21"/>
      <c r="G1466" s="21"/>
      <c r="H1466" s="21"/>
      <c r="I1466" s="21"/>
      <c r="J1466" s="21"/>
      <c r="K1466" s="22"/>
    </row>
    <row r="1467" spans="1:11" s="5" customFormat="1" ht="15" customHeight="1" x14ac:dyDescent="0.2">
      <c r="A1467" s="20"/>
      <c r="B1467" s="14" t="str">
        <f>IF(A1467="","",_xlfn.XLOOKUP(A1467,'DISPATCH SHEET'!B$3:B$121,'DISPATCH SHEET'!C$3:C$121,""))</f>
        <v/>
      </c>
      <c r="C1467" s="14" t="str">
        <f>IF(ISBLANK(A1467),"",_xlfn.XLOOKUP(A1467,'DISPATCH SHEET'!C$3:C$121,'DISPATCH SHEET'!#REF!,""))</f>
        <v/>
      </c>
      <c r="D1467" s="21"/>
      <c r="E1467" s="21"/>
      <c r="F1467" s="21"/>
      <c r="G1467" s="21"/>
      <c r="H1467" s="21"/>
      <c r="I1467" s="21"/>
      <c r="J1467" s="21"/>
      <c r="K1467" s="22"/>
    </row>
    <row r="1468" spans="1:11" s="5" customFormat="1" ht="15" customHeight="1" x14ac:dyDescent="0.2">
      <c r="A1468" s="20"/>
      <c r="B1468" s="14" t="str">
        <f>IF(A1468="","",_xlfn.XLOOKUP(A1468,'DISPATCH SHEET'!B$3:B$121,'DISPATCH SHEET'!C$3:C$121,""))</f>
        <v/>
      </c>
      <c r="C1468" s="14" t="str">
        <f>IF(ISBLANK(A1468),"",_xlfn.XLOOKUP(A1468,'DISPATCH SHEET'!C$3:C$121,'DISPATCH SHEET'!#REF!,""))</f>
        <v/>
      </c>
      <c r="D1468" s="21"/>
      <c r="E1468" s="21"/>
      <c r="F1468" s="21"/>
      <c r="G1468" s="21"/>
      <c r="H1468" s="21"/>
      <c r="I1468" s="21"/>
      <c r="J1468" s="21"/>
      <c r="K1468" s="22"/>
    </row>
    <row r="1469" spans="1:11" s="5" customFormat="1" ht="15" customHeight="1" x14ac:dyDescent="0.2">
      <c r="A1469" s="20"/>
      <c r="B1469" s="14" t="str">
        <f>IF(A1469="","",_xlfn.XLOOKUP(A1469,'DISPATCH SHEET'!B$3:B$121,'DISPATCH SHEET'!C$3:C$121,""))</f>
        <v/>
      </c>
      <c r="C1469" s="14" t="str">
        <f>IF(ISBLANK(A1469),"",_xlfn.XLOOKUP(A1469,'DISPATCH SHEET'!C$3:C$121,'DISPATCH SHEET'!#REF!,""))</f>
        <v/>
      </c>
      <c r="D1469" s="21"/>
      <c r="E1469" s="21"/>
      <c r="F1469" s="21"/>
      <c r="G1469" s="21"/>
      <c r="H1469" s="21"/>
      <c r="I1469" s="21"/>
      <c r="J1469" s="21"/>
      <c r="K1469" s="22"/>
    </row>
    <row r="1470" spans="1:11" s="5" customFormat="1" ht="15" customHeight="1" x14ac:dyDescent="0.2">
      <c r="A1470" s="20"/>
      <c r="B1470" s="14" t="str">
        <f>IF(A1470="","",_xlfn.XLOOKUP(A1470,'DISPATCH SHEET'!B$3:B$121,'DISPATCH SHEET'!C$3:C$121,""))</f>
        <v/>
      </c>
      <c r="C1470" s="14" t="str">
        <f>IF(ISBLANK(A1470),"",_xlfn.XLOOKUP(A1470,'DISPATCH SHEET'!C$3:C$121,'DISPATCH SHEET'!#REF!,""))</f>
        <v/>
      </c>
      <c r="D1470" s="21"/>
      <c r="E1470" s="21"/>
      <c r="F1470" s="21"/>
      <c r="G1470" s="21"/>
      <c r="H1470" s="21"/>
      <c r="I1470" s="21"/>
      <c r="J1470" s="21"/>
      <c r="K1470" s="22"/>
    </row>
    <row r="1471" spans="1:11" s="5" customFormat="1" ht="15" customHeight="1" x14ac:dyDescent="0.2">
      <c r="A1471" s="20"/>
      <c r="B1471" s="14" t="str">
        <f>IF(A1471="","",_xlfn.XLOOKUP(A1471,'DISPATCH SHEET'!B$3:B$121,'DISPATCH SHEET'!C$3:C$121,""))</f>
        <v/>
      </c>
      <c r="C1471" s="14" t="str">
        <f>IF(ISBLANK(A1471),"",_xlfn.XLOOKUP(A1471,'DISPATCH SHEET'!C$3:C$121,'DISPATCH SHEET'!#REF!,""))</f>
        <v/>
      </c>
      <c r="D1471" s="21"/>
      <c r="E1471" s="21"/>
      <c r="F1471" s="21"/>
      <c r="G1471" s="21"/>
      <c r="H1471" s="21"/>
      <c r="I1471" s="21"/>
      <c r="J1471" s="21"/>
      <c r="K1471" s="22"/>
    </row>
    <row r="1472" spans="1:11" s="5" customFormat="1" ht="15" customHeight="1" x14ac:dyDescent="0.2">
      <c r="A1472" s="20"/>
      <c r="B1472" s="14" t="str">
        <f>IF(A1472="","",_xlfn.XLOOKUP(A1472,'DISPATCH SHEET'!B$3:B$121,'DISPATCH SHEET'!C$3:C$121,""))</f>
        <v/>
      </c>
      <c r="C1472" s="14" t="str">
        <f>IF(ISBLANK(A1472),"",_xlfn.XLOOKUP(A1472,'DISPATCH SHEET'!C$3:C$121,'DISPATCH SHEET'!#REF!,""))</f>
        <v/>
      </c>
      <c r="D1472" s="21"/>
      <c r="E1472" s="21"/>
      <c r="F1472" s="21"/>
      <c r="G1472" s="21"/>
      <c r="H1472" s="21"/>
      <c r="I1472" s="21"/>
      <c r="J1472" s="21"/>
      <c r="K1472" s="22"/>
    </row>
    <row r="1473" spans="1:11" s="5" customFormat="1" ht="15" customHeight="1" x14ac:dyDescent="0.2">
      <c r="A1473" s="20"/>
      <c r="B1473" s="14" t="str">
        <f>IF(A1473="","",_xlfn.XLOOKUP(A1473,'DISPATCH SHEET'!B$3:B$121,'DISPATCH SHEET'!C$3:C$121,""))</f>
        <v/>
      </c>
      <c r="C1473" s="14" t="str">
        <f>IF(ISBLANK(A1473),"",_xlfn.XLOOKUP(A1473,'DISPATCH SHEET'!C$3:C$121,'DISPATCH SHEET'!#REF!,""))</f>
        <v/>
      </c>
      <c r="D1473" s="21"/>
      <c r="E1473" s="21"/>
      <c r="F1473" s="21"/>
      <c r="G1473" s="21"/>
      <c r="H1473" s="21"/>
      <c r="I1473" s="21"/>
      <c r="J1473" s="21"/>
      <c r="K1473" s="22"/>
    </row>
    <row r="1474" spans="1:11" s="5" customFormat="1" ht="15" customHeight="1" x14ac:dyDescent="0.2">
      <c r="A1474" s="20"/>
      <c r="B1474" s="14" t="str">
        <f>IF(A1474="","",_xlfn.XLOOKUP(A1474,'DISPATCH SHEET'!B$3:B$121,'DISPATCH SHEET'!C$3:C$121,""))</f>
        <v/>
      </c>
      <c r="C1474" s="14" t="str">
        <f>IF(ISBLANK(A1474),"",_xlfn.XLOOKUP(A1474,'DISPATCH SHEET'!C$3:C$121,'DISPATCH SHEET'!#REF!,""))</f>
        <v/>
      </c>
      <c r="D1474" s="21"/>
      <c r="E1474" s="21"/>
      <c r="F1474" s="21"/>
      <c r="G1474" s="21"/>
      <c r="H1474" s="21"/>
      <c r="I1474" s="21"/>
      <c r="J1474" s="21"/>
      <c r="K1474" s="22"/>
    </row>
    <row r="1475" spans="1:11" s="5" customFormat="1" ht="15" customHeight="1" x14ac:dyDescent="0.2">
      <c r="A1475" s="20"/>
      <c r="B1475" s="14" t="str">
        <f>IF(A1475="","",_xlfn.XLOOKUP(A1475,'DISPATCH SHEET'!B$3:B$121,'DISPATCH SHEET'!C$3:C$121,""))</f>
        <v/>
      </c>
      <c r="C1475" s="14" t="str">
        <f>IF(ISBLANK(A1475),"",_xlfn.XLOOKUP(A1475,'DISPATCH SHEET'!C$3:C$121,'DISPATCH SHEET'!#REF!,""))</f>
        <v/>
      </c>
      <c r="D1475" s="21"/>
      <c r="E1475" s="21"/>
      <c r="F1475" s="21"/>
      <c r="G1475" s="21"/>
      <c r="H1475" s="21"/>
      <c r="I1475" s="21"/>
      <c r="J1475" s="21"/>
      <c r="K1475" s="22"/>
    </row>
    <row r="1476" spans="1:11" s="5" customFormat="1" ht="15" customHeight="1" x14ac:dyDescent="0.2">
      <c r="A1476" s="20"/>
      <c r="B1476" s="14" t="str">
        <f>IF(A1476="","",_xlfn.XLOOKUP(A1476,'DISPATCH SHEET'!B$3:B$121,'DISPATCH SHEET'!C$3:C$121,""))</f>
        <v/>
      </c>
      <c r="C1476" s="14" t="str">
        <f>IF(ISBLANK(A1476),"",_xlfn.XLOOKUP(A1476,'DISPATCH SHEET'!C$3:C$121,'DISPATCH SHEET'!#REF!,""))</f>
        <v/>
      </c>
      <c r="D1476" s="21"/>
      <c r="E1476" s="21"/>
      <c r="F1476" s="21"/>
      <c r="G1476" s="21"/>
      <c r="H1476" s="21"/>
      <c r="I1476" s="21"/>
      <c r="J1476" s="21"/>
      <c r="K1476" s="22"/>
    </row>
    <row r="1477" spans="1:11" s="5" customFormat="1" ht="15" customHeight="1" x14ac:dyDescent="0.2">
      <c r="A1477" s="20"/>
      <c r="B1477" s="14" t="str">
        <f>IF(A1477="","",_xlfn.XLOOKUP(A1477,'DISPATCH SHEET'!B$3:B$121,'DISPATCH SHEET'!C$3:C$121,""))</f>
        <v/>
      </c>
      <c r="C1477" s="14" t="str">
        <f>IF(ISBLANK(A1477),"",_xlfn.XLOOKUP(A1477,'DISPATCH SHEET'!C$3:C$121,'DISPATCH SHEET'!#REF!,""))</f>
        <v/>
      </c>
      <c r="D1477" s="21"/>
      <c r="E1477" s="21"/>
      <c r="F1477" s="21"/>
      <c r="G1477" s="21"/>
      <c r="H1477" s="21"/>
      <c r="I1477" s="21"/>
      <c r="J1477" s="21"/>
      <c r="K1477" s="22"/>
    </row>
    <row r="1478" spans="1:11" s="5" customFormat="1" ht="15" customHeight="1" x14ac:dyDescent="0.2">
      <c r="A1478" s="20"/>
      <c r="B1478" s="14" t="str">
        <f>IF(A1478="","",_xlfn.XLOOKUP(A1478,'DISPATCH SHEET'!B$3:B$121,'DISPATCH SHEET'!C$3:C$121,""))</f>
        <v/>
      </c>
      <c r="C1478" s="14" t="str">
        <f>IF(ISBLANK(A1478),"",_xlfn.XLOOKUP(A1478,'DISPATCH SHEET'!C$3:C$121,'DISPATCH SHEET'!#REF!,""))</f>
        <v/>
      </c>
      <c r="D1478" s="21"/>
      <c r="E1478" s="21"/>
      <c r="F1478" s="21"/>
      <c r="G1478" s="21"/>
      <c r="H1478" s="21"/>
      <c r="I1478" s="21"/>
      <c r="J1478" s="21"/>
      <c r="K1478" s="22"/>
    </row>
    <row r="1479" spans="1:11" s="5" customFormat="1" ht="15" customHeight="1" x14ac:dyDescent="0.2">
      <c r="A1479" s="20"/>
      <c r="B1479" s="14" t="str">
        <f>IF(A1479="","",_xlfn.XLOOKUP(A1479,'DISPATCH SHEET'!B$3:B$121,'DISPATCH SHEET'!C$3:C$121,""))</f>
        <v/>
      </c>
      <c r="C1479" s="14" t="str">
        <f>IF(ISBLANK(A1479),"",_xlfn.XLOOKUP(A1479,'DISPATCH SHEET'!C$3:C$121,'DISPATCH SHEET'!#REF!,""))</f>
        <v/>
      </c>
      <c r="D1479" s="21"/>
      <c r="E1479" s="21"/>
      <c r="F1479" s="21"/>
      <c r="G1479" s="21"/>
      <c r="H1479" s="21"/>
      <c r="I1479" s="21"/>
      <c r="J1479" s="21"/>
      <c r="K1479" s="22"/>
    </row>
    <row r="1480" spans="1:11" s="5" customFormat="1" ht="15" customHeight="1" x14ac:dyDescent="0.2">
      <c r="A1480" s="20"/>
      <c r="B1480" s="14" t="str">
        <f>IF(A1480="","",_xlfn.XLOOKUP(A1480,'DISPATCH SHEET'!B$3:B$121,'DISPATCH SHEET'!C$3:C$121,""))</f>
        <v/>
      </c>
      <c r="C1480" s="14" t="str">
        <f>IF(ISBLANK(A1480),"",_xlfn.XLOOKUP(A1480,'DISPATCH SHEET'!C$3:C$121,'DISPATCH SHEET'!#REF!,""))</f>
        <v/>
      </c>
      <c r="D1480" s="21"/>
      <c r="E1480" s="21"/>
      <c r="F1480" s="21"/>
      <c r="G1480" s="21"/>
      <c r="H1480" s="21"/>
      <c r="I1480" s="21"/>
      <c r="J1480" s="21"/>
      <c r="K1480" s="22"/>
    </row>
    <row r="1481" spans="1:11" s="5" customFormat="1" ht="15" customHeight="1" x14ac:dyDescent="0.2">
      <c r="A1481" s="20"/>
      <c r="B1481" s="14" t="str">
        <f>IF(A1481="","",_xlfn.XLOOKUP(A1481,'DISPATCH SHEET'!B$3:B$121,'DISPATCH SHEET'!C$3:C$121,""))</f>
        <v/>
      </c>
      <c r="C1481" s="14" t="str">
        <f>IF(ISBLANK(A1481),"",_xlfn.XLOOKUP(A1481,'DISPATCH SHEET'!C$3:C$121,'DISPATCH SHEET'!#REF!,""))</f>
        <v/>
      </c>
      <c r="D1481" s="21"/>
      <c r="E1481" s="21"/>
      <c r="F1481" s="21"/>
      <c r="G1481" s="21"/>
      <c r="H1481" s="21"/>
      <c r="I1481" s="21"/>
      <c r="J1481" s="21"/>
      <c r="K1481" s="22"/>
    </row>
    <row r="1482" spans="1:11" s="5" customFormat="1" ht="15" customHeight="1" x14ac:dyDescent="0.2">
      <c r="A1482" s="20"/>
      <c r="B1482" s="14" t="str">
        <f>IF(A1482="","",_xlfn.XLOOKUP(A1482,'DISPATCH SHEET'!B$3:B$121,'DISPATCH SHEET'!C$3:C$121,""))</f>
        <v/>
      </c>
      <c r="C1482" s="14" t="str">
        <f>IF(ISBLANK(A1482),"",_xlfn.XLOOKUP(A1482,'DISPATCH SHEET'!C$3:C$121,'DISPATCH SHEET'!#REF!,""))</f>
        <v/>
      </c>
      <c r="D1482" s="21"/>
      <c r="E1482" s="21"/>
      <c r="F1482" s="21"/>
      <c r="G1482" s="21"/>
      <c r="H1482" s="21"/>
      <c r="I1482" s="21"/>
      <c r="J1482" s="21"/>
      <c r="K1482" s="22"/>
    </row>
    <row r="1483" spans="1:11" s="5" customFormat="1" ht="15" customHeight="1" x14ac:dyDescent="0.2">
      <c r="A1483" s="20"/>
      <c r="B1483" s="14" t="str">
        <f>IF(A1483="","",_xlfn.XLOOKUP(A1483,'DISPATCH SHEET'!B$3:B$121,'DISPATCH SHEET'!C$3:C$121,""))</f>
        <v/>
      </c>
      <c r="C1483" s="14" t="str">
        <f>IF(ISBLANK(A1483),"",_xlfn.XLOOKUP(A1483,'DISPATCH SHEET'!C$3:C$121,'DISPATCH SHEET'!#REF!,""))</f>
        <v/>
      </c>
      <c r="D1483" s="21"/>
      <c r="E1483" s="21"/>
      <c r="F1483" s="21"/>
      <c r="G1483" s="21"/>
      <c r="H1483" s="21"/>
      <c r="I1483" s="21"/>
      <c r="J1483" s="21"/>
      <c r="K1483" s="22"/>
    </row>
    <row r="1484" spans="1:11" s="5" customFormat="1" ht="15" customHeight="1" x14ac:dyDescent="0.2">
      <c r="A1484" s="20"/>
      <c r="B1484" s="14" t="str">
        <f>IF(A1484="","",_xlfn.XLOOKUP(A1484,'DISPATCH SHEET'!B$3:B$121,'DISPATCH SHEET'!C$3:C$121,""))</f>
        <v/>
      </c>
      <c r="C1484" s="14" t="str">
        <f>IF(ISBLANK(A1484),"",_xlfn.XLOOKUP(A1484,'DISPATCH SHEET'!C$3:C$121,'DISPATCH SHEET'!#REF!,""))</f>
        <v/>
      </c>
      <c r="D1484" s="21"/>
      <c r="E1484" s="21"/>
      <c r="F1484" s="21"/>
      <c r="G1484" s="21"/>
      <c r="H1484" s="21"/>
      <c r="I1484" s="21"/>
      <c r="J1484" s="21"/>
      <c r="K1484" s="22"/>
    </row>
    <row r="1485" spans="1:11" s="5" customFormat="1" ht="15" customHeight="1" x14ac:dyDescent="0.2">
      <c r="A1485" s="20"/>
      <c r="B1485" s="14" t="str">
        <f>IF(A1485="","",_xlfn.XLOOKUP(A1485,'DISPATCH SHEET'!B$3:B$121,'DISPATCH SHEET'!C$3:C$121,""))</f>
        <v/>
      </c>
      <c r="C1485" s="14" t="str">
        <f>IF(ISBLANK(A1485),"",_xlfn.XLOOKUP(A1485,'DISPATCH SHEET'!C$3:C$121,'DISPATCH SHEET'!#REF!,""))</f>
        <v/>
      </c>
      <c r="D1485" s="21"/>
      <c r="E1485" s="21"/>
      <c r="F1485" s="21"/>
      <c r="G1485" s="21"/>
      <c r="H1485" s="21"/>
      <c r="I1485" s="21"/>
      <c r="J1485" s="21"/>
      <c r="K1485" s="22"/>
    </row>
    <row r="1486" spans="1:11" s="5" customFormat="1" ht="15" customHeight="1" x14ac:dyDescent="0.2">
      <c r="A1486" s="20"/>
      <c r="B1486" s="14" t="str">
        <f>IF(A1486="","",_xlfn.XLOOKUP(A1486,'DISPATCH SHEET'!B$3:B$121,'DISPATCH SHEET'!C$3:C$121,""))</f>
        <v/>
      </c>
      <c r="C1486" s="14" t="str">
        <f>IF(ISBLANK(A1486),"",_xlfn.XLOOKUP(A1486,'DISPATCH SHEET'!C$3:C$121,'DISPATCH SHEET'!#REF!,""))</f>
        <v/>
      </c>
      <c r="D1486" s="21"/>
      <c r="E1486" s="21"/>
      <c r="F1486" s="21"/>
      <c r="G1486" s="21"/>
      <c r="H1486" s="21"/>
      <c r="I1486" s="21"/>
      <c r="J1486" s="21"/>
      <c r="K1486" s="22"/>
    </row>
    <row r="1487" spans="1:11" s="5" customFormat="1" ht="15" customHeight="1" x14ac:dyDescent="0.2">
      <c r="A1487" s="20"/>
      <c r="B1487" s="14" t="str">
        <f>IF(A1487="","",_xlfn.XLOOKUP(A1487,'DISPATCH SHEET'!B$3:B$121,'DISPATCH SHEET'!C$3:C$121,""))</f>
        <v/>
      </c>
      <c r="C1487" s="14" t="str">
        <f>IF(ISBLANK(A1487),"",_xlfn.XLOOKUP(A1487,'DISPATCH SHEET'!C$3:C$121,'DISPATCH SHEET'!#REF!,""))</f>
        <v/>
      </c>
      <c r="D1487" s="21"/>
      <c r="E1487" s="21"/>
      <c r="F1487" s="21"/>
      <c r="G1487" s="21"/>
      <c r="H1487" s="21"/>
      <c r="I1487" s="21"/>
      <c r="J1487" s="21"/>
      <c r="K1487" s="22"/>
    </row>
    <row r="1488" spans="1:11" s="5" customFormat="1" ht="15" customHeight="1" x14ac:dyDescent="0.2">
      <c r="A1488" s="20"/>
      <c r="B1488" s="14" t="str">
        <f>IF(A1488="","",_xlfn.XLOOKUP(A1488,'DISPATCH SHEET'!B$3:B$121,'DISPATCH SHEET'!C$3:C$121,""))</f>
        <v/>
      </c>
      <c r="C1488" s="14" t="str">
        <f>IF(ISBLANK(A1488),"",_xlfn.XLOOKUP(A1488,'DISPATCH SHEET'!C$3:C$121,'DISPATCH SHEET'!#REF!,""))</f>
        <v/>
      </c>
      <c r="D1488" s="21"/>
      <c r="E1488" s="21"/>
      <c r="F1488" s="21"/>
      <c r="G1488" s="21"/>
      <c r="H1488" s="21"/>
      <c r="I1488" s="21"/>
      <c r="J1488" s="21"/>
      <c r="K1488" s="22"/>
    </row>
    <row r="1489" spans="1:11" s="5" customFormat="1" ht="15" customHeight="1" thickBot="1" x14ac:dyDescent="0.25">
      <c r="A1489" s="23"/>
      <c r="B1489" s="14" t="str">
        <f>IF(A1489="","",_xlfn.XLOOKUP(A1489,'DISPATCH SHEET'!B$3:B$121,'DISPATCH SHEET'!C$3:C$121,""))</f>
        <v/>
      </c>
      <c r="C1489" s="14" t="str">
        <f>IF(ISBLANK(A1489),"",_xlfn.XLOOKUP(A1489,'DISPATCH SHEET'!C$3:C$121,'DISPATCH SHEET'!#REF!,""))</f>
        <v/>
      </c>
      <c r="D1489" s="24"/>
      <c r="E1489" s="24"/>
      <c r="F1489" s="24"/>
      <c r="G1489" s="24"/>
      <c r="H1489" s="24"/>
      <c r="I1489" s="24"/>
      <c r="J1489" s="24"/>
      <c r="K1489" s="25"/>
    </row>
    <row r="1490" spans="1:11" s="5" customFormat="1" ht="15" customHeight="1" x14ac:dyDescent="0.2">
      <c r="A1490" s="26"/>
      <c r="B1490" s="14" t="str">
        <f>IF(A1490="","",_xlfn.XLOOKUP(A1490,'DISPATCH SHEET'!B$3:B$121,'DISPATCH SHEET'!C$3:C$121,""))</f>
        <v/>
      </c>
      <c r="C1490" s="14" t="str">
        <f>IF(ISBLANK(A1490),"",_xlfn.XLOOKUP(A1490,'DISPATCH SHEET'!C$3:C$121,'DISPATCH SHEET'!#REF!,""))</f>
        <v/>
      </c>
      <c r="D1490" s="26"/>
      <c r="E1490" s="26"/>
      <c r="F1490" s="26"/>
      <c r="G1490" s="26"/>
      <c r="H1490" s="26"/>
      <c r="I1490" s="26"/>
      <c r="J1490" s="26"/>
      <c r="K1490" s="26"/>
    </row>
    <row r="1491" spans="1:11" s="5" customFormat="1" ht="15" customHeight="1" x14ac:dyDescent="0.2">
      <c r="A1491" s="26"/>
      <c r="B1491" s="14" t="str">
        <f>IF(A1491="","",_xlfn.XLOOKUP(A1491,'DISPATCH SHEET'!B$3:B$121,'DISPATCH SHEET'!C$3:C$121,""))</f>
        <v/>
      </c>
      <c r="C1491" s="14" t="str">
        <f>IF(ISBLANK(A1491),"",_xlfn.XLOOKUP(A1491,'DISPATCH SHEET'!C$3:C$121,'DISPATCH SHEET'!#REF!,""))</f>
        <v/>
      </c>
      <c r="D1491" s="26"/>
      <c r="E1491" s="26"/>
      <c r="F1491" s="26"/>
      <c r="G1491" s="26"/>
      <c r="H1491" s="26"/>
      <c r="I1491" s="26"/>
      <c r="J1491" s="26"/>
      <c r="K1491" s="26"/>
    </row>
    <row r="1492" spans="1:11" s="5" customFormat="1" ht="15" customHeight="1" x14ac:dyDescent="0.2">
      <c r="A1492" s="26"/>
      <c r="B1492" s="14" t="str">
        <f>IF(A1492="","",_xlfn.XLOOKUP(A1492,'DISPATCH SHEET'!B$3:B$121,'DISPATCH SHEET'!C$3:C$121,""))</f>
        <v/>
      </c>
      <c r="C1492" s="14" t="str">
        <f>IF(ISBLANK(A1492),"",_xlfn.XLOOKUP(A1492,'DISPATCH SHEET'!C$3:C$121,'DISPATCH SHEET'!#REF!,""))</f>
        <v/>
      </c>
      <c r="D1492" s="26"/>
      <c r="E1492" s="26"/>
      <c r="F1492" s="26"/>
      <c r="G1492" s="26"/>
      <c r="H1492" s="26"/>
      <c r="I1492" s="26"/>
      <c r="J1492" s="26"/>
      <c r="K1492" s="26"/>
    </row>
    <row r="1493" spans="1:11" s="5" customFormat="1" ht="15" customHeight="1" x14ac:dyDescent="0.2">
      <c r="A1493" s="26"/>
      <c r="B1493" s="14" t="str">
        <f>IF(A1493="","",_xlfn.XLOOKUP(A1493,'DISPATCH SHEET'!B$3:B$121,'DISPATCH SHEET'!C$3:C$121,""))</f>
        <v/>
      </c>
      <c r="C1493" s="14" t="str">
        <f>IF(ISBLANK(A1493),"",_xlfn.XLOOKUP(A1493,'DISPATCH SHEET'!C$3:C$121,'DISPATCH SHEET'!#REF!,""))</f>
        <v/>
      </c>
      <c r="D1493" s="26"/>
      <c r="E1493" s="26"/>
      <c r="F1493" s="26"/>
      <c r="G1493" s="26"/>
      <c r="H1493" s="26"/>
      <c r="I1493" s="26"/>
      <c r="J1493" s="26"/>
      <c r="K1493" s="26"/>
    </row>
    <row r="1494" spans="1:11" s="5" customFormat="1" ht="15" customHeight="1" x14ac:dyDescent="0.2">
      <c r="A1494" s="26"/>
      <c r="B1494" s="14" t="str">
        <f>IF(A1494="","",_xlfn.XLOOKUP(A1494,'DISPATCH SHEET'!B$3:B$121,'DISPATCH SHEET'!C$3:C$121,""))</f>
        <v/>
      </c>
      <c r="C1494" s="14" t="str">
        <f>IF(ISBLANK(A1494),"",_xlfn.XLOOKUP(A1494,'DISPATCH SHEET'!C$3:C$121,'DISPATCH SHEET'!#REF!,""))</f>
        <v/>
      </c>
      <c r="D1494" s="26"/>
      <c r="E1494" s="26"/>
      <c r="F1494" s="26"/>
      <c r="G1494" s="26"/>
      <c r="H1494" s="26"/>
      <c r="I1494" s="26"/>
      <c r="J1494" s="26"/>
      <c r="K1494" s="26"/>
    </row>
    <row r="1495" spans="1:11" s="5" customFormat="1" ht="15" customHeight="1" x14ac:dyDescent="0.2">
      <c r="A1495" s="26"/>
      <c r="B1495" s="14" t="str">
        <f>IF(A1495="","",_xlfn.XLOOKUP(A1495,'DISPATCH SHEET'!B$3:B$121,'DISPATCH SHEET'!C$3:C$121,""))</f>
        <v/>
      </c>
      <c r="C1495" s="14" t="str">
        <f>IF(ISBLANK(A1495),"",_xlfn.XLOOKUP(A1495,'DISPATCH SHEET'!C$3:C$121,'DISPATCH SHEET'!#REF!,""))</f>
        <v/>
      </c>
      <c r="D1495" s="26"/>
      <c r="E1495" s="26"/>
      <c r="F1495" s="26"/>
      <c r="G1495" s="26"/>
      <c r="H1495" s="26"/>
      <c r="I1495" s="26"/>
      <c r="J1495" s="26"/>
      <c r="K1495" s="26"/>
    </row>
    <row r="1496" spans="1:11" s="5" customFormat="1" ht="15" customHeight="1" x14ac:dyDescent="0.2">
      <c r="A1496" s="26"/>
      <c r="B1496" s="14" t="str">
        <f>IF(A1496="","",_xlfn.XLOOKUP(A1496,'DISPATCH SHEET'!B$3:B$121,'DISPATCH SHEET'!C$3:C$121,""))</f>
        <v/>
      </c>
      <c r="C1496" s="14" t="str">
        <f>IF(ISBLANK(A1496),"",_xlfn.XLOOKUP(A1496,'DISPATCH SHEET'!C$3:C$121,'DISPATCH SHEET'!#REF!,""))</f>
        <v/>
      </c>
      <c r="D1496" s="26"/>
      <c r="E1496" s="26"/>
      <c r="F1496" s="26"/>
      <c r="G1496" s="26"/>
      <c r="H1496" s="26"/>
      <c r="I1496" s="26"/>
      <c r="J1496" s="26"/>
      <c r="K1496" s="26"/>
    </row>
    <row r="1497" spans="1:11" s="5" customFormat="1" ht="15" customHeight="1" x14ac:dyDescent="0.2">
      <c r="A1497" s="26"/>
      <c r="B1497" s="14" t="str">
        <f>IF(A1497="","",_xlfn.XLOOKUP(A1497,'DISPATCH SHEET'!B$3:B$121,'DISPATCH SHEET'!C$3:C$121,""))</f>
        <v/>
      </c>
      <c r="C1497" s="14" t="str">
        <f>IF(ISBLANK(A1497),"",_xlfn.XLOOKUP(A1497,'DISPATCH SHEET'!C$3:C$121,'DISPATCH SHEET'!#REF!,""))</f>
        <v/>
      </c>
      <c r="D1497" s="26"/>
      <c r="E1497" s="26"/>
      <c r="F1497" s="26"/>
      <c r="G1497" s="26"/>
      <c r="H1497" s="26"/>
      <c r="I1497" s="26"/>
      <c r="J1497" s="26"/>
      <c r="K1497" s="26"/>
    </row>
    <row r="1498" spans="1:11" s="5" customFormat="1" ht="15" customHeight="1" x14ac:dyDescent="0.2">
      <c r="A1498" s="26"/>
      <c r="B1498" s="14" t="str">
        <f>IF(A1498="","",_xlfn.XLOOKUP(A1498,'DISPATCH SHEET'!B$3:B$121,'DISPATCH SHEET'!C$3:C$121,""))</f>
        <v/>
      </c>
      <c r="C1498" s="14" t="str">
        <f>IF(ISBLANK(A1498),"",_xlfn.XLOOKUP(A1498,'DISPATCH SHEET'!C$3:C$121,'DISPATCH SHEET'!#REF!,""))</f>
        <v/>
      </c>
      <c r="D1498" s="26"/>
      <c r="E1498" s="26"/>
      <c r="F1498" s="26"/>
      <c r="G1498" s="26"/>
      <c r="H1498" s="26"/>
      <c r="I1498" s="26"/>
      <c r="J1498" s="26"/>
      <c r="K1498" s="26"/>
    </row>
    <row r="1499" spans="1:11" s="5" customFormat="1" ht="15" customHeight="1" x14ac:dyDescent="0.2">
      <c r="A1499" s="26"/>
      <c r="B1499" s="14" t="str">
        <f>IF(A1499="","",_xlfn.XLOOKUP(A1499,'DISPATCH SHEET'!B$3:B$121,'DISPATCH SHEET'!C$3:C$121,""))</f>
        <v/>
      </c>
      <c r="C1499" s="14" t="str">
        <f>IF(ISBLANK(A1499),"",_xlfn.XLOOKUP(A1499,'DISPATCH SHEET'!C$3:C$121,'DISPATCH SHEET'!#REF!,""))</f>
        <v/>
      </c>
      <c r="D1499" s="26"/>
      <c r="E1499" s="26"/>
      <c r="F1499" s="26"/>
      <c r="G1499" s="26"/>
      <c r="H1499" s="26"/>
      <c r="I1499" s="26"/>
      <c r="J1499" s="26"/>
      <c r="K1499" s="26"/>
    </row>
    <row r="1500" spans="1:11" s="5" customFormat="1" ht="15" customHeight="1" x14ac:dyDescent="0.2">
      <c r="A1500" s="26"/>
      <c r="B1500" s="14" t="str">
        <f>IF(A1500="","",_xlfn.XLOOKUP(A1500,'DISPATCH SHEET'!B$3:B$121,'DISPATCH SHEET'!C$3:C$121,""))</f>
        <v/>
      </c>
      <c r="C1500" s="14" t="str">
        <f>IF(ISBLANK(A1500),"",_xlfn.XLOOKUP(A1500,'DISPATCH SHEET'!C$3:C$121,'DISPATCH SHEET'!#REF!,""))</f>
        <v/>
      </c>
      <c r="D1500" s="26"/>
      <c r="E1500" s="26"/>
      <c r="F1500" s="26"/>
      <c r="G1500" s="26"/>
      <c r="H1500" s="26"/>
      <c r="I1500" s="26"/>
      <c r="J1500" s="26"/>
      <c r="K1500" s="26"/>
    </row>
    <row r="1501" spans="1:11" s="5" customFormat="1" ht="15" customHeight="1" x14ac:dyDescent="0.2">
      <c r="A1501" s="26"/>
      <c r="B1501" s="14" t="str">
        <f>IF(A1501="","",_xlfn.XLOOKUP(A1501,'DISPATCH SHEET'!B$3:B$121,'DISPATCH SHEET'!C$3:C$121,""))</f>
        <v/>
      </c>
      <c r="C1501" s="14" t="str">
        <f>IF(ISBLANK(A1501),"",_xlfn.XLOOKUP(A1501,'DISPATCH SHEET'!C$3:C$121,'DISPATCH SHEET'!#REF!,""))</f>
        <v/>
      </c>
      <c r="D1501" s="26"/>
      <c r="E1501" s="26"/>
      <c r="F1501" s="26"/>
      <c r="G1501" s="26"/>
      <c r="H1501" s="26"/>
      <c r="I1501" s="26"/>
      <c r="J1501" s="26"/>
      <c r="K1501" s="26"/>
    </row>
    <row r="1502" spans="1:11" s="5" customFormat="1" ht="15" customHeight="1" x14ac:dyDescent="0.2">
      <c r="A1502" s="26"/>
      <c r="B1502" s="14" t="str">
        <f>IF(A1502="","",_xlfn.XLOOKUP(A1502,'DISPATCH SHEET'!B$3:B$121,'DISPATCH SHEET'!C$3:C$121,""))</f>
        <v/>
      </c>
      <c r="C1502" s="14" t="str">
        <f>IF(ISBLANK(A1502),"",_xlfn.XLOOKUP(A1502,'DISPATCH SHEET'!C$3:C$121,'DISPATCH SHEET'!#REF!,""))</f>
        <v/>
      </c>
      <c r="D1502" s="26"/>
      <c r="E1502" s="26"/>
      <c r="F1502" s="26"/>
      <c r="G1502" s="26"/>
      <c r="H1502" s="26"/>
      <c r="I1502" s="26"/>
      <c r="J1502" s="26"/>
      <c r="K1502" s="26"/>
    </row>
    <row r="1503" spans="1:11" s="5" customFormat="1" ht="15" customHeight="1" x14ac:dyDescent="0.2">
      <c r="A1503" s="26"/>
      <c r="B1503" s="14" t="str">
        <f>IF(A1503="","",_xlfn.XLOOKUP(A1503,'DISPATCH SHEET'!B$3:B$121,'DISPATCH SHEET'!C$3:C$121,""))</f>
        <v/>
      </c>
      <c r="C1503" s="14" t="str">
        <f>IF(ISBLANK(A1503),"",_xlfn.XLOOKUP(A1503,'DISPATCH SHEET'!C$3:C$121,'DISPATCH SHEET'!#REF!,""))</f>
        <v/>
      </c>
      <c r="D1503" s="26"/>
      <c r="E1503" s="26"/>
      <c r="F1503" s="26"/>
      <c r="G1503" s="26"/>
      <c r="H1503" s="26"/>
      <c r="I1503" s="26"/>
      <c r="J1503" s="26"/>
      <c r="K1503" s="26"/>
    </row>
    <row r="1504" spans="1:11" s="5" customFormat="1" ht="15" customHeight="1" x14ac:dyDescent="0.2">
      <c r="A1504" s="26"/>
      <c r="B1504" s="14" t="str">
        <f>IF(A1504="","",_xlfn.XLOOKUP(A1504,'DISPATCH SHEET'!B$3:B$121,'DISPATCH SHEET'!C$3:C$121,""))</f>
        <v/>
      </c>
      <c r="C1504" s="14" t="str">
        <f>IF(ISBLANK(A1504),"",_xlfn.XLOOKUP(A1504,'DISPATCH SHEET'!C$3:C$121,'DISPATCH SHEET'!#REF!,""))</f>
        <v/>
      </c>
      <c r="D1504" s="26"/>
      <c r="E1504" s="26"/>
      <c r="F1504" s="26"/>
      <c r="G1504" s="26"/>
      <c r="H1504" s="26"/>
      <c r="I1504" s="26"/>
      <c r="J1504" s="26"/>
      <c r="K1504" s="26"/>
    </row>
    <row r="1505" spans="1:11" s="5" customFormat="1" ht="15" customHeight="1" x14ac:dyDescent="0.2">
      <c r="A1505" s="26"/>
      <c r="B1505" s="14" t="str">
        <f>IF(A1505="","",_xlfn.XLOOKUP(A1505,'DISPATCH SHEET'!B$3:B$121,'DISPATCH SHEET'!C$3:C$121,""))</f>
        <v/>
      </c>
      <c r="C1505" s="14" t="str">
        <f>IF(ISBLANK(A1505),"",_xlfn.XLOOKUP(A1505,'DISPATCH SHEET'!C$3:C$121,'DISPATCH SHEET'!#REF!,""))</f>
        <v/>
      </c>
      <c r="D1505" s="26"/>
      <c r="E1505" s="26"/>
      <c r="F1505" s="26"/>
      <c r="G1505" s="26"/>
      <c r="H1505" s="26"/>
      <c r="I1505" s="26"/>
      <c r="J1505" s="26"/>
      <c r="K1505" s="26"/>
    </row>
    <row r="1506" spans="1:11" s="5" customFormat="1" ht="15" customHeight="1" x14ac:dyDescent="0.2">
      <c r="A1506" s="26"/>
      <c r="B1506" s="14" t="str">
        <f>IF(A1506="","",_xlfn.XLOOKUP(A1506,'DISPATCH SHEET'!B$3:B$121,'DISPATCH SHEET'!C$3:C$121,""))</f>
        <v/>
      </c>
      <c r="C1506" s="14" t="str">
        <f>IF(ISBLANK(A1506),"",_xlfn.XLOOKUP(A1506,'DISPATCH SHEET'!C$3:C$121,'DISPATCH SHEET'!#REF!,""))</f>
        <v/>
      </c>
      <c r="D1506" s="26"/>
      <c r="E1506" s="26"/>
      <c r="F1506" s="26"/>
      <c r="G1506" s="26"/>
      <c r="H1506" s="26"/>
      <c r="I1506" s="26"/>
      <c r="J1506" s="26"/>
      <c r="K1506" s="26"/>
    </row>
    <row r="1507" spans="1:11" s="5" customFormat="1" ht="15" customHeight="1" x14ac:dyDescent="0.2">
      <c r="A1507" s="26"/>
      <c r="B1507" s="14" t="str">
        <f>IF(A1507="","",_xlfn.XLOOKUP(A1507,'DISPATCH SHEET'!B$3:B$121,'DISPATCH SHEET'!C$3:C$121,""))</f>
        <v/>
      </c>
      <c r="C1507" s="14" t="str">
        <f>IF(ISBLANK(A1507),"",_xlfn.XLOOKUP(A1507,'DISPATCH SHEET'!C$3:C$121,'DISPATCH SHEET'!#REF!,""))</f>
        <v/>
      </c>
      <c r="D1507" s="26"/>
      <c r="E1507" s="26"/>
      <c r="F1507" s="26"/>
      <c r="G1507" s="26"/>
      <c r="H1507" s="26"/>
      <c r="I1507" s="26"/>
      <c r="J1507" s="26"/>
      <c r="K1507" s="26"/>
    </row>
    <row r="1508" spans="1:11" s="5" customFormat="1" ht="15" customHeight="1" x14ac:dyDescent="0.2">
      <c r="A1508" s="26"/>
      <c r="B1508" s="14" t="str">
        <f>IF(A1508="","",_xlfn.XLOOKUP(A1508,'DISPATCH SHEET'!B$3:B$121,'DISPATCH SHEET'!C$3:C$121,""))</f>
        <v/>
      </c>
      <c r="C1508" s="14" t="str">
        <f>IF(ISBLANK(A1508),"",_xlfn.XLOOKUP(A1508,'DISPATCH SHEET'!C$3:C$121,'DISPATCH SHEET'!#REF!,""))</f>
        <v/>
      </c>
      <c r="D1508" s="26"/>
      <c r="E1508" s="26"/>
      <c r="F1508" s="26"/>
      <c r="G1508" s="26"/>
      <c r="H1508" s="26"/>
      <c r="I1508" s="26"/>
      <c r="J1508" s="26"/>
      <c r="K1508" s="26"/>
    </row>
    <row r="1509" spans="1:11" s="5" customFormat="1" ht="15" customHeight="1" x14ac:dyDescent="0.2">
      <c r="A1509" s="26"/>
      <c r="B1509" s="14" t="str">
        <f>IF(A1509="","",_xlfn.XLOOKUP(A1509,'DISPATCH SHEET'!B$3:B$121,'DISPATCH SHEET'!C$3:C$121,""))</f>
        <v/>
      </c>
      <c r="C1509" s="14" t="str">
        <f>IF(ISBLANK(A1509),"",_xlfn.XLOOKUP(A1509,'DISPATCH SHEET'!C$3:C$121,'DISPATCH SHEET'!#REF!,""))</f>
        <v/>
      </c>
      <c r="D1509" s="26"/>
      <c r="E1509" s="26"/>
      <c r="F1509" s="26"/>
      <c r="G1509" s="26"/>
      <c r="H1509" s="26"/>
      <c r="I1509" s="26"/>
      <c r="J1509" s="26"/>
      <c r="K1509" s="26"/>
    </row>
    <row r="1510" spans="1:11" s="5" customFormat="1" ht="15" customHeight="1" x14ac:dyDescent="0.2">
      <c r="A1510" s="26"/>
      <c r="B1510" s="14" t="str">
        <f>IF(A1510="","",_xlfn.XLOOKUP(A1510,'DISPATCH SHEET'!B$3:B$121,'DISPATCH SHEET'!C$3:C$121,""))</f>
        <v/>
      </c>
      <c r="C1510" s="14" t="str">
        <f>IF(ISBLANK(A1510),"",_xlfn.XLOOKUP(A1510,'DISPATCH SHEET'!C$3:C$121,'DISPATCH SHEET'!#REF!,""))</f>
        <v/>
      </c>
      <c r="D1510" s="26"/>
      <c r="E1510" s="26"/>
      <c r="F1510" s="26"/>
      <c r="G1510" s="26"/>
      <c r="H1510" s="26"/>
      <c r="I1510" s="26"/>
      <c r="J1510" s="26"/>
      <c r="K1510" s="26"/>
    </row>
    <row r="1511" spans="1:11" s="5" customFormat="1" ht="15" customHeight="1" x14ac:dyDescent="0.2">
      <c r="A1511" s="26"/>
      <c r="B1511" s="14" t="str">
        <f>IF(A1511="","",_xlfn.XLOOKUP(A1511,'DISPATCH SHEET'!B$3:B$121,'DISPATCH SHEET'!C$3:C$121,""))</f>
        <v/>
      </c>
      <c r="C1511" s="14" t="str">
        <f>IF(ISBLANK(A1511),"",_xlfn.XLOOKUP(A1511,'DISPATCH SHEET'!C$3:C$121,'DISPATCH SHEET'!#REF!,""))</f>
        <v/>
      </c>
      <c r="D1511" s="26"/>
      <c r="E1511" s="26"/>
      <c r="F1511" s="26"/>
      <c r="G1511" s="26"/>
      <c r="H1511" s="26"/>
      <c r="I1511" s="26"/>
      <c r="J1511" s="26"/>
      <c r="K1511" s="26"/>
    </row>
    <row r="1512" spans="1:11" s="5" customFormat="1" ht="15" customHeight="1" x14ac:dyDescent="0.2">
      <c r="A1512" s="26"/>
      <c r="B1512" s="14" t="str">
        <f>IF(A1512="","",_xlfn.XLOOKUP(A1512,'DISPATCH SHEET'!B$3:B$121,'DISPATCH SHEET'!C$3:C$121,""))</f>
        <v/>
      </c>
      <c r="C1512" s="14" t="str">
        <f>IF(ISBLANK(A1512),"",_xlfn.XLOOKUP(A1512,'DISPATCH SHEET'!C$3:C$121,'DISPATCH SHEET'!#REF!,""))</f>
        <v/>
      </c>
      <c r="D1512" s="26"/>
      <c r="E1512" s="26"/>
      <c r="F1512" s="26"/>
      <c r="G1512" s="26"/>
      <c r="H1512" s="26"/>
      <c r="I1512" s="26"/>
      <c r="J1512" s="26"/>
      <c r="K1512" s="26"/>
    </row>
    <row r="1513" spans="1:11" s="5" customFormat="1" ht="15" customHeight="1" x14ac:dyDescent="0.2">
      <c r="A1513" s="26"/>
      <c r="B1513" s="14" t="str">
        <f>IF(A1513="","",_xlfn.XLOOKUP(A1513,'DISPATCH SHEET'!B$3:B$121,'DISPATCH SHEET'!C$3:C$121,""))</f>
        <v/>
      </c>
      <c r="C1513" s="14" t="str">
        <f>IF(ISBLANK(A1513),"",_xlfn.XLOOKUP(A1513,'DISPATCH SHEET'!C$3:C$121,'DISPATCH SHEET'!#REF!,""))</f>
        <v/>
      </c>
      <c r="D1513" s="26"/>
      <c r="E1513" s="26"/>
      <c r="F1513" s="26"/>
      <c r="G1513" s="26"/>
      <c r="H1513" s="26"/>
      <c r="I1513" s="26"/>
      <c r="J1513" s="26"/>
      <c r="K1513" s="26"/>
    </row>
    <row r="1514" spans="1:11" s="5" customFormat="1" ht="15" customHeight="1" x14ac:dyDescent="0.2">
      <c r="A1514" s="26"/>
      <c r="B1514" s="14" t="str">
        <f>IF(A1514="","",_xlfn.XLOOKUP(A1514,'DISPATCH SHEET'!B$3:B$121,'DISPATCH SHEET'!C$3:C$121,""))</f>
        <v/>
      </c>
      <c r="C1514" s="14" t="str">
        <f>IF(ISBLANK(A1514),"",_xlfn.XLOOKUP(A1514,'DISPATCH SHEET'!C$3:C$121,'DISPATCH SHEET'!#REF!,""))</f>
        <v/>
      </c>
      <c r="D1514" s="26"/>
      <c r="E1514" s="26"/>
      <c r="F1514" s="26"/>
      <c r="G1514" s="26"/>
      <c r="H1514" s="26"/>
      <c r="I1514" s="26"/>
      <c r="J1514" s="26"/>
      <c r="K1514" s="26"/>
    </row>
    <row r="1515" spans="1:11" s="5" customFormat="1" ht="15" customHeight="1" x14ac:dyDescent="0.2">
      <c r="A1515" s="26"/>
      <c r="B1515" s="14" t="str">
        <f>IF(A1515="","",_xlfn.XLOOKUP(A1515,'DISPATCH SHEET'!B$3:B$121,'DISPATCH SHEET'!C$3:C$121,""))</f>
        <v/>
      </c>
      <c r="C1515" s="14" t="str">
        <f>IF(ISBLANK(A1515),"",_xlfn.XLOOKUP(A1515,'DISPATCH SHEET'!C$3:C$121,'DISPATCH SHEET'!#REF!,""))</f>
        <v/>
      </c>
      <c r="D1515" s="26"/>
      <c r="E1515" s="26"/>
      <c r="F1515" s="26"/>
      <c r="G1515" s="26"/>
      <c r="H1515" s="26"/>
      <c r="I1515" s="26"/>
      <c r="J1515" s="26"/>
      <c r="K1515" s="26"/>
    </row>
    <row r="1516" spans="1:11" s="5" customFormat="1" ht="15" customHeight="1" x14ac:dyDescent="0.2">
      <c r="A1516" s="26"/>
      <c r="B1516" s="14" t="str">
        <f>IF(A1516="","",_xlfn.XLOOKUP(A1516,'DISPATCH SHEET'!B$3:B$121,'DISPATCH SHEET'!C$3:C$121,""))</f>
        <v/>
      </c>
      <c r="C1516" s="14" t="str">
        <f>IF(ISBLANK(A1516),"",_xlfn.XLOOKUP(A1516,'DISPATCH SHEET'!C$3:C$121,'DISPATCH SHEET'!#REF!,""))</f>
        <v/>
      </c>
      <c r="D1516" s="26"/>
      <c r="E1516" s="26"/>
      <c r="F1516" s="26"/>
      <c r="G1516" s="26"/>
      <c r="H1516" s="26"/>
      <c r="I1516" s="26"/>
      <c r="J1516" s="26"/>
      <c r="K1516" s="26"/>
    </row>
    <row r="1517" spans="1:11" s="5" customFormat="1" ht="15" customHeight="1" x14ac:dyDescent="0.2">
      <c r="A1517" s="26"/>
      <c r="B1517" s="14" t="str">
        <f>IF(A1517="","",_xlfn.XLOOKUP(A1517,'DISPATCH SHEET'!B$3:B$121,'DISPATCH SHEET'!C$3:C$121,""))</f>
        <v/>
      </c>
      <c r="C1517" s="14" t="str">
        <f>IF(ISBLANK(A1517),"",_xlfn.XLOOKUP(A1517,'DISPATCH SHEET'!C$3:C$121,'DISPATCH SHEET'!#REF!,""))</f>
        <v/>
      </c>
      <c r="D1517" s="26"/>
      <c r="E1517" s="26"/>
      <c r="F1517" s="26"/>
      <c r="G1517" s="26"/>
      <c r="H1517" s="26"/>
      <c r="I1517" s="26"/>
      <c r="J1517" s="26"/>
      <c r="K1517" s="26"/>
    </row>
    <row r="1518" spans="1:11" s="5" customFormat="1" ht="15" customHeight="1" x14ac:dyDescent="0.2">
      <c r="A1518" s="26"/>
      <c r="B1518" s="14" t="str">
        <f>IF(A1518="","",_xlfn.XLOOKUP(A1518,'DISPATCH SHEET'!B$3:B$121,'DISPATCH SHEET'!C$3:C$121,""))</f>
        <v/>
      </c>
      <c r="C1518" s="14" t="str">
        <f>IF(ISBLANK(A1518),"",_xlfn.XLOOKUP(A1518,'DISPATCH SHEET'!C$3:C$121,'DISPATCH SHEET'!#REF!,""))</f>
        <v/>
      </c>
      <c r="D1518" s="26"/>
      <c r="E1518" s="26"/>
      <c r="F1518" s="26"/>
      <c r="G1518" s="26"/>
      <c r="H1518" s="26"/>
      <c r="I1518" s="26"/>
      <c r="J1518" s="26"/>
      <c r="K1518" s="26"/>
    </row>
    <row r="1519" spans="1:11" s="5" customFormat="1" ht="15" customHeight="1" x14ac:dyDescent="0.2">
      <c r="A1519" s="26"/>
      <c r="B1519" s="14" t="str">
        <f>IF(A1519="","",_xlfn.XLOOKUP(A1519,'DISPATCH SHEET'!B$3:B$121,'DISPATCH SHEET'!C$3:C$121,""))</f>
        <v/>
      </c>
      <c r="C1519" s="14" t="str">
        <f>IF(ISBLANK(A1519),"",_xlfn.XLOOKUP(A1519,'DISPATCH SHEET'!C$3:C$121,'DISPATCH SHEET'!#REF!,""))</f>
        <v/>
      </c>
      <c r="D1519" s="26"/>
      <c r="E1519" s="26"/>
      <c r="F1519" s="26"/>
      <c r="G1519" s="26"/>
      <c r="H1519" s="26"/>
      <c r="I1519" s="26"/>
      <c r="J1519" s="26"/>
      <c r="K1519" s="26"/>
    </row>
    <row r="1520" spans="1:11" s="5" customFormat="1" ht="15" customHeight="1" x14ac:dyDescent="0.2">
      <c r="A1520" s="26"/>
      <c r="B1520" s="14" t="str">
        <f>IF(A1520="","",_xlfn.XLOOKUP(A1520,'DISPATCH SHEET'!B$3:B$121,'DISPATCH SHEET'!C$3:C$121,""))</f>
        <v/>
      </c>
      <c r="C1520" s="14" t="str">
        <f>IF(ISBLANK(A1520),"",_xlfn.XLOOKUP(A1520,'DISPATCH SHEET'!C$3:C$121,'DISPATCH SHEET'!#REF!,""))</f>
        <v/>
      </c>
      <c r="D1520" s="26"/>
      <c r="E1520" s="26"/>
      <c r="F1520" s="26"/>
      <c r="G1520" s="26"/>
      <c r="H1520" s="26"/>
      <c r="I1520" s="26"/>
      <c r="J1520" s="26"/>
      <c r="K1520" s="26"/>
    </row>
    <row r="1521" spans="1:11" s="5" customFormat="1" ht="15" customHeight="1" x14ac:dyDescent="0.2">
      <c r="A1521" s="26"/>
      <c r="B1521" s="14" t="str">
        <f>IF(A1521="","",_xlfn.XLOOKUP(A1521,'DISPATCH SHEET'!B$3:B$121,'DISPATCH SHEET'!C$3:C$121,""))</f>
        <v/>
      </c>
      <c r="C1521" s="14" t="str">
        <f>IF(ISBLANK(A1521),"",_xlfn.XLOOKUP(A1521,'DISPATCH SHEET'!C$3:C$121,'DISPATCH SHEET'!#REF!,""))</f>
        <v/>
      </c>
      <c r="D1521" s="26"/>
      <c r="E1521" s="26"/>
      <c r="F1521" s="26"/>
      <c r="G1521" s="26"/>
      <c r="H1521" s="26"/>
      <c r="I1521" s="26"/>
      <c r="J1521" s="26"/>
      <c r="K1521" s="26"/>
    </row>
    <row r="1522" spans="1:11" s="5" customFormat="1" ht="15" customHeight="1" x14ac:dyDescent="0.2">
      <c r="A1522" s="26"/>
      <c r="B1522" s="14" t="str">
        <f>IF(A1522="","",_xlfn.XLOOKUP(A1522,'DISPATCH SHEET'!B$3:B$121,'DISPATCH SHEET'!C$3:C$121,""))</f>
        <v/>
      </c>
      <c r="C1522" s="14" t="str">
        <f>IF(ISBLANK(A1522),"",_xlfn.XLOOKUP(A1522,'DISPATCH SHEET'!C$3:C$121,'DISPATCH SHEET'!#REF!,""))</f>
        <v/>
      </c>
      <c r="D1522" s="26"/>
      <c r="E1522" s="26"/>
      <c r="F1522" s="26"/>
      <c r="G1522" s="26"/>
      <c r="H1522" s="26"/>
      <c r="I1522" s="26"/>
      <c r="J1522" s="26"/>
      <c r="K1522" s="26"/>
    </row>
    <row r="1523" spans="1:11" s="5" customFormat="1" ht="15" customHeight="1" x14ac:dyDescent="0.2">
      <c r="A1523" s="26"/>
      <c r="B1523" s="14" t="str">
        <f>IF(A1523="","",_xlfn.XLOOKUP(A1523,'DISPATCH SHEET'!B$3:B$121,'DISPATCH SHEET'!C$3:C$121,""))</f>
        <v/>
      </c>
      <c r="C1523" s="14" t="str">
        <f>IF(ISBLANK(A1523),"",_xlfn.XLOOKUP(A1523,'DISPATCH SHEET'!C$3:C$121,'DISPATCH SHEET'!#REF!,""))</f>
        <v/>
      </c>
      <c r="D1523" s="26"/>
      <c r="E1523" s="26"/>
      <c r="F1523" s="26"/>
      <c r="G1523" s="26"/>
      <c r="H1523" s="26"/>
      <c r="I1523" s="26"/>
      <c r="J1523" s="26"/>
      <c r="K1523" s="26"/>
    </row>
    <row r="1524" spans="1:11" s="5" customFormat="1" ht="15" customHeight="1" x14ac:dyDescent="0.2">
      <c r="A1524" s="26"/>
      <c r="B1524" s="14" t="str">
        <f>IF(A1524="","",_xlfn.XLOOKUP(A1524,'DISPATCH SHEET'!B$3:B$121,'DISPATCH SHEET'!C$3:C$121,""))</f>
        <v/>
      </c>
      <c r="C1524" s="14" t="str">
        <f>IF(ISBLANK(A1524),"",_xlfn.XLOOKUP(A1524,'DISPATCH SHEET'!C$3:C$121,'DISPATCH SHEET'!#REF!,""))</f>
        <v/>
      </c>
      <c r="D1524" s="26"/>
      <c r="E1524" s="26"/>
      <c r="F1524" s="26"/>
      <c r="G1524" s="26"/>
      <c r="H1524" s="26"/>
      <c r="I1524" s="26"/>
      <c r="J1524" s="26"/>
      <c r="K1524" s="26"/>
    </row>
    <row r="1525" spans="1:11" s="5" customFormat="1" ht="15" customHeight="1" x14ac:dyDescent="0.2">
      <c r="A1525" s="26"/>
      <c r="B1525" s="14" t="str">
        <f>IF(A1525="","",_xlfn.XLOOKUP(A1525,'DISPATCH SHEET'!B$3:B$121,'DISPATCH SHEET'!C$3:C$121,""))</f>
        <v/>
      </c>
      <c r="C1525" s="14" t="str">
        <f>IF(ISBLANK(A1525),"",_xlfn.XLOOKUP(A1525,'DISPATCH SHEET'!C$3:C$121,'DISPATCH SHEET'!#REF!,""))</f>
        <v/>
      </c>
      <c r="D1525" s="26"/>
      <c r="E1525" s="26"/>
      <c r="F1525" s="26"/>
      <c r="G1525" s="26"/>
      <c r="H1525" s="26"/>
      <c r="I1525" s="26"/>
      <c r="J1525" s="26"/>
      <c r="K1525" s="26"/>
    </row>
    <row r="1526" spans="1:11" s="5" customFormat="1" ht="15" customHeight="1" x14ac:dyDescent="0.2">
      <c r="A1526" s="26"/>
      <c r="B1526" s="14" t="str">
        <f>IF(A1526="","",_xlfn.XLOOKUP(A1526,'DISPATCH SHEET'!B$3:B$121,'DISPATCH SHEET'!C$3:C$121,""))</f>
        <v/>
      </c>
      <c r="C1526" s="14" t="str">
        <f>IF(ISBLANK(A1526),"",_xlfn.XLOOKUP(A1526,'DISPATCH SHEET'!C$3:C$121,'DISPATCH SHEET'!#REF!,""))</f>
        <v/>
      </c>
      <c r="D1526" s="26"/>
      <c r="E1526" s="26"/>
      <c r="F1526" s="26"/>
      <c r="G1526" s="26"/>
      <c r="H1526" s="26"/>
      <c r="I1526" s="26"/>
      <c r="J1526" s="26"/>
      <c r="K1526" s="26"/>
    </row>
    <row r="1527" spans="1:11" s="5" customFormat="1" ht="15" customHeight="1" x14ac:dyDescent="0.2">
      <c r="A1527" s="26"/>
      <c r="B1527" s="14" t="str">
        <f>IF(A1527="","",_xlfn.XLOOKUP(A1527,'DISPATCH SHEET'!B$3:B$121,'DISPATCH SHEET'!C$3:C$121,""))</f>
        <v/>
      </c>
      <c r="C1527" s="14" t="str">
        <f>IF(ISBLANK(A1527),"",_xlfn.XLOOKUP(A1527,'DISPATCH SHEET'!C$3:C$121,'DISPATCH SHEET'!#REF!,""))</f>
        <v/>
      </c>
      <c r="D1527" s="26"/>
      <c r="E1527" s="26"/>
      <c r="F1527" s="26"/>
      <c r="G1527" s="26"/>
      <c r="H1527" s="26"/>
      <c r="I1527" s="26"/>
      <c r="J1527" s="26"/>
      <c r="K1527" s="26"/>
    </row>
    <row r="1528" spans="1:11" s="5" customFormat="1" ht="15" customHeight="1" x14ac:dyDescent="0.2">
      <c r="A1528" s="26"/>
      <c r="B1528" s="14" t="str">
        <f>IF(A1528="","",_xlfn.XLOOKUP(A1528,'DISPATCH SHEET'!B$3:B$121,'DISPATCH SHEET'!C$3:C$121,""))</f>
        <v/>
      </c>
      <c r="C1528" s="14" t="str">
        <f>IF(ISBLANK(A1528),"",_xlfn.XLOOKUP(A1528,'DISPATCH SHEET'!C$3:C$121,'DISPATCH SHEET'!#REF!,""))</f>
        <v/>
      </c>
      <c r="D1528" s="26"/>
      <c r="E1528" s="26"/>
      <c r="F1528" s="26"/>
      <c r="G1528" s="26"/>
      <c r="H1528" s="26"/>
      <c r="I1528" s="26"/>
      <c r="J1528" s="26"/>
      <c r="K1528" s="26"/>
    </row>
    <row r="1529" spans="1:11" s="5" customFormat="1" ht="15" customHeight="1" x14ac:dyDescent="0.2">
      <c r="A1529" s="26"/>
      <c r="B1529" s="14" t="str">
        <f>IF(A1529="","",_xlfn.XLOOKUP(A1529,'DISPATCH SHEET'!B$3:B$121,'DISPATCH SHEET'!C$3:C$121,""))</f>
        <v/>
      </c>
      <c r="C1529" s="14" t="str">
        <f>IF(ISBLANK(A1529),"",_xlfn.XLOOKUP(A1529,'DISPATCH SHEET'!C$3:C$121,'DISPATCH SHEET'!#REF!,""))</f>
        <v/>
      </c>
      <c r="D1529" s="26"/>
      <c r="E1529" s="26"/>
      <c r="F1529" s="26"/>
      <c r="G1529" s="26"/>
      <c r="H1529" s="26"/>
      <c r="I1529" s="26"/>
      <c r="J1529" s="26"/>
      <c r="K1529" s="26"/>
    </row>
    <row r="1530" spans="1:11" s="5" customFormat="1" ht="15" customHeight="1" x14ac:dyDescent="0.2">
      <c r="A1530" s="26"/>
      <c r="B1530" s="14" t="str">
        <f>IF(A1530="","",_xlfn.XLOOKUP(A1530,'DISPATCH SHEET'!B$3:B$121,'DISPATCH SHEET'!C$3:C$121,""))</f>
        <v/>
      </c>
      <c r="C1530" s="14" t="str">
        <f>IF(ISBLANK(A1530),"",_xlfn.XLOOKUP(A1530,'DISPATCH SHEET'!C$3:C$121,'DISPATCH SHEET'!#REF!,""))</f>
        <v/>
      </c>
      <c r="D1530" s="26"/>
      <c r="E1530" s="26"/>
      <c r="F1530" s="26"/>
      <c r="G1530" s="26"/>
      <c r="H1530" s="26"/>
      <c r="I1530" s="26"/>
      <c r="J1530" s="26"/>
      <c r="K1530" s="26"/>
    </row>
    <row r="1531" spans="1:11" s="5" customFormat="1" ht="15" customHeight="1" x14ac:dyDescent="0.2">
      <c r="A1531" s="26"/>
      <c r="B1531" s="14" t="str">
        <f>IF(A1531="","",_xlfn.XLOOKUP(A1531,'DISPATCH SHEET'!B$3:B$121,'DISPATCH SHEET'!C$3:C$121,""))</f>
        <v/>
      </c>
      <c r="C1531" s="14" t="str">
        <f>IF(ISBLANK(A1531),"",_xlfn.XLOOKUP(A1531,'DISPATCH SHEET'!C$3:C$121,'DISPATCH SHEET'!#REF!,""))</f>
        <v/>
      </c>
      <c r="D1531" s="26"/>
      <c r="E1531" s="26"/>
      <c r="F1531" s="26"/>
      <c r="G1531" s="26"/>
      <c r="H1531" s="26"/>
      <c r="I1531" s="26"/>
      <c r="J1531" s="26"/>
      <c r="K1531" s="26"/>
    </row>
    <row r="1532" spans="1:11" s="5" customFormat="1" ht="15" customHeight="1" x14ac:dyDescent="0.2">
      <c r="A1532" s="26"/>
      <c r="B1532" s="14" t="str">
        <f>IF(A1532="","",_xlfn.XLOOKUP(A1532,'DISPATCH SHEET'!B$3:B$121,'DISPATCH SHEET'!C$3:C$121,""))</f>
        <v/>
      </c>
      <c r="C1532" s="14" t="str">
        <f>IF(ISBLANK(A1532),"",_xlfn.XLOOKUP(A1532,'DISPATCH SHEET'!C$3:C$121,'DISPATCH SHEET'!#REF!,""))</f>
        <v/>
      </c>
      <c r="D1532" s="26"/>
      <c r="E1532" s="26"/>
      <c r="F1532" s="26"/>
      <c r="G1532" s="26"/>
      <c r="H1532" s="26"/>
      <c r="I1532" s="26"/>
      <c r="J1532" s="26"/>
      <c r="K1532" s="26"/>
    </row>
    <row r="1533" spans="1:11" s="5" customFormat="1" ht="15" customHeight="1" x14ac:dyDescent="0.2">
      <c r="A1533" s="26"/>
      <c r="B1533" s="14" t="str">
        <f>IF(A1533="","",_xlfn.XLOOKUP(A1533,'DISPATCH SHEET'!B$3:B$121,'DISPATCH SHEET'!C$3:C$121,""))</f>
        <v/>
      </c>
      <c r="C1533" s="14" t="str">
        <f>IF(ISBLANK(A1533),"",_xlfn.XLOOKUP(A1533,'DISPATCH SHEET'!C$3:C$121,'DISPATCH SHEET'!#REF!,""))</f>
        <v/>
      </c>
      <c r="D1533" s="26"/>
      <c r="E1533" s="26"/>
      <c r="F1533" s="26"/>
      <c r="G1533" s="26"/>
      <c r="H1533" s="26"/>
      <c r="I1533" s="26"/>
      <c r="J1533" s="26"/>
      <c r="K1533" s="26"/>
    </row>
    <row r="1534" spans="1:11" s="5" customFormat="1" ht="15" customHeight="1" x14ac:dyDescent="0.2">
      <c r="A1534" s="26"/>
      <c r="B1534" s="14" t="str">
        <f>IF(A1534="","",_xlfn.XLOOKUP(A1534,'DISPATCH SHEET'!B$3:B$121,'DISPATCH SHEET'!C$3:C$121,""))</f>
        <v/>
      </c>
      <c r="C1534" s="14" t="str">
        <f>IF(ISBLANK(A1534),"",_xlfn.XLOOKUP(A1534,'DISPATCH SHEET'!C$3:C$121,'DISPATCH SHEET'!#REF!,""))</f>
        <v/>
      </c>
      <c r="D1534" s="26"/>
      <c r="E1534" s="26"/>
      <c r="F1534" s="26"/>
      <c r="G1534" s="26"/>
      <c r="H1534" s="26"/>
      <c r="I1534" s="26"/>
      <c r="J1534" s="26"/>
      <c r="K1534" s="26"/>
    </row>
    <row r="1535" spans="1:11" s="5" customFormat="1" ht="15" customHeight="1" x14ac:dyDescent="0.2">
      <c r="A1535" s="26"/>
      <c r="B1535" s="14" t="str">
        <f>IF(A1535="","",_xlfn.XLOOKUP(A1535,'DISPATCH SHEET'!B$3:B$121,'DISPATCH SHEET'!C$3:C$121,""))</f>
        <v/>
      </c>
      <c r="C1535" s="14" t="str">
        <f>IF(ISBLANK(A1535),"",_xlfn.XLOOKUP(A1535,'DISPATCH SHEET'!C$3:C$121,'DISPATCH SHEET'!#REF!,""))</f>
        <v/>
      </c>
      <c r="D1535" s="26"/>
      <c r="E1535" s="26"/>
      <c r="F1535" s="26"/>
      <c r="G1535" s="26"/>
      <c r="H1535" s="26"/>
      <c r="I1535" s="26"/>
      <c r="J1535" s="26"/>
      <c r="K1535" s="26"/>
    </row>
    <row r="1536" spans="1:11" s="5" customFormat="1" ht="15" customHeight="1" x14ac:dyDescent="0.2">
      <c r="A1536" s="26"/>
      <c r="B1536" s="14" t="str">
        <f>IF(A1536="","",_xlfn.XLOOKUP(A1536,'DISPATCH SHEET'!B$3:B$121,'DISPATCH SHEET'!C$3:C$121,""))</f>
        <v/>
      </c>
      <c r="C1536" s="14" t="str">
        <f>IF(ISBLANK(A1536),"",_xlfn.XLOOKUP(A1536,'DISPATCH SHEET'!C$3:C$121,'DISPATCH SHEET'!#REF!,""))</f>
        <v/>
      </c>
      <c r="D1536" s="26"/>
      <c r="E1536" s="26"/>
      <c r="F1536" s="26"/>
      <c r="G1536" s="26"/>
      <c r="H1536" s="26"/>
      <c r="I1536" s="26"/>
      <c r="J1536" s="26"/>
      <c r="K1536" s="26"/>
    </row>
    <row r="1537" spans="1:11" s="5" customFormat="1" ht="15" customHeight="1" x14ac:dyDescent="0.2">
      <c r="A1537" s="26"/>
      <c r="B1537" s="14" t="str">
        <f>IF(A1537="","",_xlfn.XLOOKUP(A1537,'DISPATCH SHEET'!B$3:B$121,'DISPATCH SHEET'!C$3:C$121,""))</f>
        <v/>
      </c>
      <c r="C1537" s="14" t="str">
        <f>IF(ISBLANK(A1537),"",_xlfn.XLOOKUP(A1537,'DISPATCH SHEET'!C$3:C$121,'DISPATCH SHEET'!#REF!,""))</f>
        <v/>
      </c>
      <c r="D1537" s="26"/>
      <c r="E1537" s="26"/>
      <c r="F1537" s="26"/>
      <c r="G1537" s="26"/>
      <c r="H1537" s="26"/>
      <c r="I1537" s="26"/>
      <c r="J1537" s="26"/>
      <c r="K1537" s="26"/>
    </row>
    <row r="1538" spans="1:11" s="5" customFormat="1" ht="15" customHeight="1" x14ac:dyDescent="0.2">
      <c r="A1538" s="26"/>
      <c r="B1538" s="14" t="str">
        <f>IF(A1538="","",_xlfn.XLOOKUP(A1538,'DISPATCH SHEET'!B$3:B$121,'DISPATCH SHEET'!C$3:C$121,""))</f>
        <v/>
      </c>
      <c r="C1538" s="14" t="str">
        <f>IF(ISBLANK(A1538),"",_xlfn.XLOOKUP(A1538,'DISPATCH SHEET'!C$3:C$121,'DISPATCH SHEET'!#REF!,""))</f>
        <v/>
      </c>
      <c r="D1538" s="26"/>
      <c r="E1538" s="26"/>
      <c r="F1538" s="26"/>
      <c r="G1538" s="26"/>
      <c r="H1538" s="26"/>
      <c r="I1538" s="26"/>
      <c r="J1538" s="26"/>
      <c r="K1538" s="26"/>
    </row>
    <row r="1539" spans="1:11" s="5" customFormat="1" ht="15" customHeight="1" x14ac:dyDescent="0.2">
      <c r="A1539" s="26"/>
      <c r="B1539" s="14" t="str">
        <f>IF(A1539="","",_xlfn.XLOOKUP(A1539,'DISPATCH SHEET'!B$3:B$121,'DISPATCH SHEET'!C$3:C$121,""))</f>
        <v/>
      </c>
      <c r="C1539" s="14" t="str">
        <f>IF(ISBLANK(A1539),"",_xlfn.XLOOKUP(A1539,'DISPATCH SHEET'!C$3:C$121,'DISPATCH SHEET'!#REF!,""))</f>
        <v/>
      </c>
      <c r="D1539" s="26"/>
      <c r="E1539" s="26"/>
      <c r="F1539" s="26"/>
      <c r="G1539" s="26"/>
      <c r="H1539" s="26"/>
      <c r="I1539" s="26"/>
      <c r="J1539" s="26"/>
      <c r="K1539" s="26"/>
    </row>
    <row r="1540" spans="1:11" s="5" customFormat="1" ht="15" customHeight="1" x14ac:dyDescent="0.2">
      <c r="A1540" s="26"/>
      <c r="B1540" s="14" t="str">
        <f>IF(A1540="","",_xlfn.XLOOKUP(A1540,'DISPATCH SHEET'!B$3:B$121,'DISPATCH SHEET'!C$3:C$121,""))</f>
        <v/>
      </c>
      <c r="C1540" s="14" t="str">
        <f>IF(ISBLANK(A1540),"",_xlfn.XLOOKUP(A1540,'DISPATCH SHEET'!C$3:C$121,'DISPATCH SHEET'!#REF!,""))</f>
        <v/>
      </c>
      <c r="D1540" s="26"/>
      <c r="E1540" s="26"/>
      <c r="F1540" s="26"/>
      <c r="G1540" s="26"/>
      <c r="H1540" s="26"/>
      <c r="I1540" s="26"/>
      <c r="J1540" s="26"/>
      <c r="K1540" s="26"/>
    </row>
    <row r="1541" spans="1:11" s="5" customFormat="1" ht="15" customHeight="1" x14ac:dyDescent="0.2">
      <c r="A1541" s="26"/>
      <c r="B1541" s="14" t="str">
        <f>IF(A1541="","",_xlfn.XLOOKUP(A1541,'DISPATCH SHEET'!B$3:B$121,'DISPATCH SHEET'!C$3:C$121,""))</f>
        <v/>
      </c>
      <c r="C1541" s="14" t="str">
        <f>IF(ISBLANK(A1541),"",_xlfn.XLOOKUP(A1541,'DISPATCH SHEET'!C$3:C$121,'DISPATCH SHEET'!#REF!,""))</f>
        <v/>
      </c>
      <c r="D1541" s="26"/>
      <c r="E1541" s="26"/>
      <c r="F1541" s="26"/>
      <c r="G1541" s="26"/>
      <c r="H1541" s="26"/>
      <c r="I1541" s="26"/>
      <c r="J1541" s="26"/>
      <c r="K1541" s="26"/>
    </row>
    <row r="1542" spans="1:11" s="5" customFormat="1" ht="15" customHeight="1" x14ac:dyDescent="0.2">
      <c r="A1542" s="26"/>
      <c r="B1542" s="14" t="str">
        <f>IF(A1542="","",_xlfn.XLOOKUP(A1542,'DISPATCH SHEET'!B$3:B$121,'DISPATCH SHEET'!C$3:C$121,""))</f>
        <v/>
      </c>
      <c r="C1542" s="14" t="str">
        <f>IF(ISBLANK(A1542),"",_xlfn.XLOOKUP(A1542,'DISPATCH SHEET'!C$3:C$121,'DISPATCH SHEET'!#REF!,""))</f>
        <v/>
      </c>
      <c r="D1542" s="26"/>
      <c r="E1542" s="26"/>
      <c r="F1542" s="26"/>
      <c r="G1542" s="26"/>
      <c r="H1542" s="26"/>
      <c r="I1542" s="26"/>
      <c r="J1542" s="26"/>
      <c r="K1542" s="26"/>
    </row>
    <row r="1543" spans="1:11" s="5" customFormat="1" ht="15" customHeight="1" x14ac:dyDescent="0.2">
      <c r="A1543" s="26"/>
      <c r="B1543" s="14" t="str">
        <f>IF(A1543="","",_xlfn.XLOOKUP(A1543,'DISPATCH SHEET'!B$3:B$121,'DISPATCH SHEET'!C$3:C$121,""))</f>
        <v/>
      </c>
      <c r="C1543" s="14" t="str">
        <f>IF(ISBLANK(A1543),"",_xlfn.XLOOKUP(A1543,'DISPATCH SHEET'!C$3:C$121,'DISPATCH SHEET'!#REF!,""))</f>
        <v/>
      </c>
      <c r="D1543" s="26"/>
      <c r="E1543" s="26"/>
      <c r="F1543" s="26"/>
      <c r="G1543" s="26"/>
      <c r="H1543" s="26"/>
      <c r="I1543" s="26"/>
      <c r="J1543" s="26"/>
      <c r="K1543" s="26"/>
    </row>
    <row r="1544" spans="1:11" s="5" customFormat="1" ht="15" customHeight="1" x14ac:dyDescent="0.2">
      <c r="A1544" s="26"/>
      <c r="B1544" s="14" t="str">
        <f>IF(A1544="","",_xlfn.XLOOKUP(A1544,'DISPATCH SHEET'!B$3:B$121,'DISPATCH SHEET'!C$3:C$121,""))</f>
        <v/>
      </c>
      <c r="C1544" s="14" t="str">
        <f>IF(ISBLANK(A1544),"",_xlfn.XLOOKUP(A1544,'DISPATCH SHEET'!C$3:C$121,'DISPATCH SHEET'!#REF!,""))</f>
        <v/>
      </c>
      <c r="D1544" s="26"/>
      <c r="E1544" s="26"/>
      <c r="F1544" s="26"/>
      <c r="G1544" s="26"/>
      <c r="H1544" s="26"/>
      <c r="I1544" s="26"/>
      <c r="J1544" s="26"/>
      <c r="K1544" s="26"/>
    </row>
    <row r="1545" spans="1:11" s="5" customFormat="1" ht="15" customHeight="1" x14ac:dyDescent="0.2">
      <c r="A1545" s="26"/>
      <c r="B1545" s="14" t="str">
        <f>IF(A1545="","",_xlfn.XLOOKUP(A1545,'DISPATCH SHEET'!B$3:B$121,'DISPATCH SHEET'!C$3:C$121,""))</f>
        <v/>
      </c>
      <c r="C1545" s="14" t="str">
        <f>IF(ISBLANK(A1545),"",_xlfn.XLOOKUP(A1545,'DISPATCH SHEET'!C$3:C$121,'DISPATCH SHEET'!#REF!,""))</f>
        <v/>
      </c>
      <c r="D1545" s="26"/>
      <c r="E1545" s="26"/>
      <c r="F1545" s="26"/>
      <c r="G1545" s="26"/>
      <c r="H1545" s="26"/>
      <c r="I1545" s="26"/>
      <c r="J1545" s="26"/>
      <c r="K1545" s="26"/>
    </row>
    <row r="1546" spans="1:11" s="5" customFormat="1" ht="15" customHeight="1" x14ac:dyDescent="0.2">
      <c r="A1546" s="26"/>
      <c r="B1546" s="14" t="str">
        <f>IF(A1546="","",_xlfn.XLOOKUP(A1546,'DISPATCH SHEET'!B$3:B$121,'DISPATCH SHEET'!C$3:C$121,""))</f>
        <v/>
      </c>
      <c r="C1546" s="14" t="str">
        <f>IF(ISBLANK(A1546),"",_xlfn.XLOOKUP(A1546,'DISPATCH SHEET'!C$3:C$121,'DISPATCH SHEET'!#REF!,""))</f>
        <v/>
      </c>
      <c r="D1546" s="26"/>
      <c r="E1546" s="26"/>
      <c r="F1546" s="26"/>
      <c r="G1546" s="26"/>
      <c r="H1546" s="26"/>
      <c r="I1546" s="26"/>
      <c r="J1546" s="26"/>
      <c r="K1546" s="26"/>
    </row>
    <row r="1547" spans="1:11" s="5" customFormat="1" ht="15" customHeight="1" x14ac:dyDescent="0.2">
      <c r="A1547" s="26"/>
      <c r="B1547" s="14" t="str">
        <f>IF(A1547="","",_xlfn.XLOOKUP(A1547,'DISPATCH SHEET'!B$3:B$121,'DISPATCH SHEET'!C$3:C$121,""))</f>
        <v/>
      </c>
      <c r="C1547" s="14" t="str">
        <f>IF(ISBLANK(A1547),"",_xlfn.XLOOKUP(A1547,'DISPATCH SHEET'!C$3:C$121,'DISPATCH SHEET'!#REF!,""))</f>
        <v/>
      </c>
      <c r="D1547" s="26"/>
      <c r="E1547" s="26"/>
      <c r="F1547" s="26"/>
      <c r="G1547" s="26"/>
      <c r="H1547" s="26"/>
      <c r="I1547" s="26"/>
      <c r="J1547" s="26"/>
      <c r="K1547" s="26"/>
    </row>
    <row r="1548" spans="1:11" s="5" customFormat="1" ht="15" customHeight="1" x14ac:dyDescent="0.2">
      <c r="A1548" s="26"/>
      <c r="B1548" s="14" t="str">
        <f>IF(A1548="","",_xlfn.XLOOKUP(A1548,'DISPATCH SHEET'!B$3:B$121,'DISPATCH SHEET'!C$3:C$121,""))</f>
        <v/>
      </c>
      <c r="C1548" s="14" t="str">
        <f>IF(ISBLANK(A1548),"",_xlfn.XLOOKUP(A1548,'DISPATCH SHEET'!C$3:C$121,'DISPATCH SHEET'!#REF!,""))</f>
        <v/>
      </c>
      <c r="D1548" s="26"/>
      <c r="E1548" s="26"/>
      <c r="F1548" s="26"/>
      <c r="G1548" s="26"/>
      <c r="H1548" s="26"/>
      <c r="I1548" s="26"/>
      <c r="J1548" s="26"/>
      <c r="K1548" s="26"/>
    </row>
    <row r="1549" spans="1:11" s="5" customFormat="1" ht="15" customHeight="1" x14ac:dyDescent="0.2">
      <c r="A1549" s="26"/>
      <c r="B1549" s="14" t="str">
        <f>IF(A1549="","",_xlfn.XLOOKUP(A1549,'DISPATCH SHEET'!B$3:B$121,'DISPATCH SHEET'!C$3:C$121,""))</f>
        <v/>
      </c>
      <c r="C1549" s="14" t="str">
        <f>IF(ISBLANK(A1549),"",_xlfn.XLOOKUP(A1549,'DISPATCH SHEET'!C$3:C$121,'DISPATCH SHEET'!#REF!,""))</f>
        <v/>
      </c>
      <c r="D1549" s="26"/>
      <c r="E1549" s="26"/>
      <c r="F1549" s="26"/>
      <c r="G1549" s="26"/>
      <c r="H1549" s="26"/>
      <c r="I1549" s="26"/>
      <c r="J1549" s="26"/>
      <c r="K1549" s="26"/>
    </row>
    <row r="1550" spans="1:11" s="5" customFormat="1" ht="15" customHeight="1" x14ac:dyDescent="0.2">
      <c r="A1550" s="26"/>
      <c r="B1550" s="14" t="str">
        <f>IF(A1550="","",_xlfn.XLOOKUP(A1550,'DISPATCH SHEET'!B$3:B$121,'DISPATCH SHEET'!C$3:C$121,""))</f>
        <v/>
      </c>
      <c r="C1550" s="14" t="str">
        <f>IF(ISBLANK(A1550),"",_xlfn.XLOOKUP(A1550,'DISPATCH SHEET'!C$3:C$121,'DISPATCH SHEET'!#REF!,""))</f>
        <v/>
      </c>
      <c r="D1550" s="26"/>
      <c r="E1550" s="26"/>
      <c r="F1550" s="26"/>
      <c r="G1550" s="26"/>
      <c r="H1550" s="26"/>
      <c r="I1550" s="26"/>
      <c r="J1550" s="26"/>
      <c r="K1550" s="26"/>
    </row>
    <row r="1551" spans="1:11" s="5" customFormat="1" ht="15" customHeight="1" x14ac:dyDescent="0.2">
      <c r="A1551" s="26"/>
      <c r="B1551" s="14" t="str">
        <f>IF(A1551="","",_xlfn.XLOOKUP(A1551,'DISPATCH SHEET'!B$3:B$121,'DISPATCH SHEET'!C$3:C$121,""))</f>
        <v/>
      </c>
      <c r="C1551" s="14" t="str">
        <f>IF(ISBLANK(A1551),"",_xlfn.XLOOKUP(A1551,'DISPATCH SHEET'!C$3:C$121,'DISPATCH SHEET'!#REF!,""))</f>
        <v/>
      </c>
      <c r="D1551" s="26"/>
      <c r="E1551" s="26"/>
      <c r="F1551" s="26"/>
      <c r="G1551" s="26"/>
      <c r="H1551" s="26"/>
      <c r="I1551" s="26"/>
      <c r="J1551" s="26"/>
      <c r="K1551" s="26"/>
    </row>
    <row r="1552" spans="1:11" s="5" customFormat="1" ht="15" customHeight="1" x14ac:dyDescent="0.2">
      <c r="A1552" s="26"/>
      <c r="B1552" s="14" t="str">
        <f>IF(A1552="","",_xlfn.XLOOKUP(A1552,'DISPATCH SHEET'!B$3:B$121,'DISPATCH SHEET'!C$3:C$121,""))</f>
        <v/>
      </c>
      <c r="C1552" s="14" t="str">
        <f>IF(ISBLANK(A1552),"",_xlfn.XLOOKUP(A1552,'DISPATCH SHEET'!C$3:C$121,'DISPATCH SHEET'!#REF!,""))</f>
        <v/>
      </c>
      <c r="D1552" s="26"/>
      <c r="E1552" s="26"/>
      <c r="F1552" s="26"/>
      <c r="G1552" s="26"/>
      <c r="H1552" s="26"/>
      <c r="I1552" s="26"/>
      <c r="J1552" s="26"/>
      <c r="K1552" s="26"/>
    </row>
    <row r="1553" spans="1:11" s="5" customFormat="1" ht="15" customHeight="1" x14ac:dyDescent="0.2">
      <c r="A1553" s="26"/>
      <c r="B1553" s="14" t="str">
        <f>IF(A1553="","",_xlfn.XLOOKUP(A1553,'DISPATCH SHEET'!B$3:B$121,'DISPATCH SHEET'!C$3:C$121,""))</f>
        <v/>
      </c>
      <c r="C1553" s="14" t="str">
        <f>IF(ISBLANK(A1553),"",_xlfn.XLOOKUP(A1553,'DISPATCH SHEET'!C$3:C$121,'DISPATCH SHEET'!#REF!,""))</f>
        <v/>
      </c>
      <c r="D1553" s="26"/>
      <c r="E1553" s="26"/>
      <c r="F1553" s="26"/>
      <c r="G1553" s="26"/>
      <c r="H1553" s="26"/>
      <c r="I1553" s="26"/>
      <c r="J1553" s="26"/>
      <c r="K1553" s="26"/>
    </row>
    <row r="1554" spans="1:11" s="5" customFormat="1" ht="15" customHeight="1" x14ac:dyDescent="0.2">
      <c r="A1554" s="26"/>
      <c r="B1554" s="14" t="str">
        <f>IF(A1554="","",_xlfn.XLOOKUP(A1554,'DISPATCH SHEET'!B$3:B$121,'DISPATCH SHEET'!C$3:C$121,""))</f>
        <v/>
      </c>
      <c r="C1554" s="14" t="str">
        <f>IF(ISBLANK(A1554),"",_xlfn.XLOOKUP(A1554,'DISPATCH SHEET'!C$3:C$121,'DISPATCH SHEET'!#REF!,""))</f>
        <v/>
      </c>
      <c r="D1554" s="26"/>
      <c r="E1554" s="26"/>
      <c r="F1554" s="26"/>
      <c r="G1554" s="26"/>
      <c r="H1554" s="26"/>
      <c r="I1554" s="26"/>
      <c r="J1554" s="26"/>
      <c r="K1554" s="26"/>
    </row>
    <row r="1555" spans="1:11" s="5" customFormat="1" ht="15" customHeight="1" x14ac:dyDescent="0.2">
      <c r="A1555" s="26"/>
      <c r="B1555" s="14" t="str">
        <f>IF(A1555="","",_xlfn.XLOOKUP(A1555,'DISPATCH SHEET'!B$3:B$121,'DISPATCH SHEET'!C$3:C$121,""))</f>
        <v/>
      </c>
      <c r="C1555" s="14" t="str">
        <f>IF(ISBLANK(A1555),"",_xlfn.XLOOKUP(A1555,'DISPATCH SHEET'!C$3:C$121,'DISPATCH SHEET'!#REF!,""))</f>
        <v/>
      </c>
      <c r="D1555" s="26"/>
      <c r="E1555" s="26"/>
      <c r="F1555" s="26"/>
      <c r="G1555" s="26"/>
      <c r="H1555" s="26"/>
      <c r="I1555" s="26"/>
      <c r="J1555" s="26"/>
      <c r="K1555" s="26"/>
    </row>
    <row r="1556" spans="1:11" s="5" customFormat="1" ht="15" customHeight="1" x14ac:dyDescent="0.2">
      <c r="A1556" s="26"/>
      <c r="B1556" s="14" t="str">
        <f>IF(A1556="","",_xlfn.XLOOKUP(A1556,'DISPATCH SHEET'!B$3:B$121,'DISPATCH SHEET'!C$3:C$121,""))</f>
        <v/>
      </c>
      <c r="C1556" s="14" t="str">
        <f>IF(ISBLANK(A1556),"",_xlfn.XLOOKUP(A1556,'DISPATCH SHEET'!C$3:C$121,'DISPATCH SHEET'!#REF!,""))</f>
        <v/>
      </c>
      <c r="D1556" s="26"/>
      <c r="E1556" s="26"/>
      <c r="F1556" s="26"/>
      <c r="G1556" s="26"/>
      <c r="H1556" s="26"/>
      <c r="I1556" s="26"/>
      <c r="J1556" s="26"/>
      <c r="K1556" s="26"/>
    </row>
    <row r="1557" spans="1:11" s="5" customFormat="1" ht="15" customHeight="1" x14ac:dyDescent="0.2">
      <c r="A1557" s="26"/>
      <c r="B1557" s="14" t="str">
        <f>IF(A1557="","",_xlfn.XLOOKUP(A1557,'DISPATCH SHEET'!B$3:B$121,'DISPATCH SHEET'!C$3:C$121,""))</f>
        <v/>
      </c>
      <c r="C1557" s="14" t="str">
        <f>IF(ISBLANK(A1557),"",_xlfn.XLOOKUP(A1557,'DISPATCH SHEET'!C$3:C$121,'DISPATCH SHEET'!#REF!,""))</f>
        <v/>
      </c>
      <c r="D1557" s="26"/>
      <c r="E1557" s="26"/>
      <c r="F1557" s="26"/>
      <c r="G1557" s="26"/>
      <c r="H1557" s="26"/>
      <c r="I1557" s="26"/>
      <c r="J1557" s="26"/>
      <c r="K1557" s="26"/>
    </row>
    <row r="1558" spans="1:11" s="5" customFormat="1" ht="15" customHeight="1" x14ac:dyDescent="0.2">
      <c r="A1558" s="26"/>
      <c r="B1558" s="14" t="str">
        <f>IF(A1558="","",_xlfn.XLOOKUP(A1558,'DISPATCH SHEET'!B$3:B$121,'DISPATCH SHEET'!C$3:C$121,""))</f>
        <v/>
      </c>
      <c r="C1558" s="14" t="str">
        <f>IF(ISBLANK(A1558),"",_xlfn.XLOOKUP(A1558,'DISPATCH SHEET'!C$3:C$121,'DISPATCH SHEET'!#REF!,""))</f>
        <v/>
      </c>
      <c r="D1558" s="26"/>
      <c r="E1558" s="26"/>
      <c r="F1558" s="26"/>
      <c r="G1558" s="26"/>
      <c r="H1558" s="26"/>
      <c r="I1558" s="26"/>
      <c r="J1558" s="26"/>
      <c r="K1558" s="26"/>
    </row>
    <row r="1559" spans="1:11" s="5" customFormat="1" ht="15" customHeight="1" x14ac:dyDescent="0.2">
      <c r="A1559" s="26"/>
      <c r="B1559" s="14" t="str">
        <f>IF(A1559="","",_xlfn.XLOOKUP(A1559,'DISPATCH SHEET'!B$3:B$121,'DISPATCH SHEET'!C$3:C$121,""))</f>
        <v/>
      </c>
      <c r="C1559" s="14" t="str">
        <f>IF(ISBLANK(A1559),"",_xlfn.XLOOKUP(A1559,'DISPATCH SHEET'!C$3:C$121,'DISPATCH SHEET'!#REF!,""))</f>
        <v/>
      </c>
      <c r="D1559" s="26"/>
      <c r="E1559" s="26"/>
      <c r="F1559" s="26"/>
      <c r="G1559" s="26"/>
      <c r="H1559" s="26"/>
      <c r="I1559" s="26"/>
      <c r="J1559" s="26"/>
      <c r="K1559" s="26"/>
    </row>
    <row r="1560" spans="1:11" s="5" customFormat="1" ht="15" customHeight="1" x14ac:dyDescent="0.2">
      <c r="A1560" s="26"/>
      <c r="B1560" s="14" t="str">
        <f>IF(A1560="","",_xlfn.XLOOKUP(A1560,'DISPATCH SHEET'!B$3:B$121,'DISPATCH SHEET'!C$3:C$121,""))</f>
        <v/>
      </c>
      <c r="C1560" s="14" t="str">
        <f>IF(ISBLANK(A1560),"",_xlfn.XLOOKUP(A1560,'DISPATCH SHEET'!C$3:C$121,'DISPATCH SHEET'!#REF!,""))</f>
        <v/>
      </c>
      <c r="D1560" s="26"/>
      <c r="E1560" s="26"/>
      <c r="F1560" s="26"/>
      <c r="G1560" s="26"/>
      <c r="H1560" s="26"/>
      <c r="I1560" s="26"/>
      <c r="J1560" s="26"/>
      <c r="K1560" s="26"/>
    </row>
    <row r="1561" spans="1:11" s="5" customFormat="1" ht="15" customHeight="1" x14ac:dyDescent="0.2">
      <c r="A1561" s="26"/>
      <c r="B1561" s="14" t="str">
        <f>IF(A1561="","",_xlfn.XLOOKUP(A1561,'DISPATCH SHEET'!B$3:B$121,'DISPATCH SHEET'!C$3:C$121,""))</f>
        <v/>
      </c>
      <c r="C1561" s="14" t="str">
        <f>IF(ISBLANK(A1561),"",_xlfn.XLOOKUP(A1561,'DISPATCH SHEET'!C$3:C$121,'DISPATCH SHEET'!#REF!,""))</f>
        <v/>
      </c>
      <c r="D1561" s="26"/>
      <c r="E1561" s="26"/>
      <c r="F1561" s="26"/>
      <c r="G1561" s="26"/>
      <c r="H1561" s="26"/>
      <c r="I1561" s="26"/>
      <c r="J1561" s="26"/>
      <c r="K1561" s="26"/>
    </row>
    <row r="1562" spans="1:11" s="5" customFormat="1" ht="15" customHeight="1" x14ac:dyDescent="0.2">
      <c r="A1562" s="26"/>
      <c r="B1562" s="14" t="str">
        <f>IF(A1562="","",_xlfn.XLOOKUP(A1562,'DISPATCH SHEET'!B$3:B$121,'DISPATCH SHEET'!C$3:C$121,""))</f>
        <v/>
      </c>
      <c r="C1562" s="14" t="str">
        <f>IF(ISBLANK(A1562),"",_xlfn.XLOOKUP(A1562,'DISPATCH SHEET'!C$3:C$121,'DISPATCH SHEET'!#REF!,""))</f>
        <v/>
      </c>
      <c r="D1562" s="26"/>
      <c r="E1562" s="26"/>
      <c r="F1562" s="26"/>
      <c r="G1562" s="26"/>
      <c r="H1562" s="26"/>
      <c r="I1562" s="26"/>
      <c r="J1562" s="26"/>
      <c r="K1562" s="26"/>
    </row>
    <row r="1563" spans="1:11" s="5" customFormat="1" ht="15" customHeight="1" x14ac:dyDescent="0.2">
      <c r="A1563" s="26"/>
      <c r="B1563" s="14" t="str">
        <f>IF(A1563="","",_xlfn.XLOOKUP(A1563,'DISPATCH SHEET'!B$3:B$121,'DISPATCH SHEET'!C$3:C$121,""))</f>
        <v/>
      </c>
      <c r="C1563" s="14" t="str">
        <f>IF(ISBLANK(A1563),"",_xlfn.XLOOKUP(A1563,'DISPATCH SHEET'!C$3:C$121,'DISPATCH SHEET'!#REF!,""))</f>
        <v/>
      </c>
      <c r="D1563" s="26"/>
      <c r="E1563" s="26"/>
      <c r="F1563" s="26"/>
      <c r="G1563" s="26"/>
      <c r="H1563" s="26"/>
      <c r="I1563" s="26"/>
      <c r="J1563" s="26"/>
      <c r="K1563" s="26"/>
    </row>
    <row r="1564" spans="1:11" s="5" customFormat="1" ht="15" customHeight="1" x14ac:dyDescent="0.2">
      <c r="A1564" s="26"/>
      <c r="B1564" s="14" t="str">
        <f>IF(A1564="","",_xlfn.XLOOKUP(A1564,'DISPATCH SHEET'!B$3:B$121,'DISPATCH SHEET'!C$3:C$121,""))</f>
        <v/>
      </c>
      <c r="C1564" s="14" t="str">
        <f>IF(ISBLANK(A1564),"",_xlfn.XLOOKUP(A1564,'DISPATCH SHEET'!C$3:C$121,'DISPATCH SHEET'!#REF!,""))</f>
        <v/>
      </c>
      <c r="D1564" s="26"/>
      <c r="E1564" s="26"/>
      <c r="F1564" s="26"/>
      <c r="G1564" s="26"/>
      <c r="H1564" s="26"/>
      <c r="I1564" s="26"/>
      <c r="J1564" s="26"/>
      <c r="K1564" s="26"/>
    </row>
    <row r="1565" spans="1:11" s="5" customFormat="1" ht="15" customHeight="1" x14ac:dyDescent="0.2">
      <c r="A1565" s="26"/>
      <c r="B1565" s="14" t="str">
        <f>IF(A1565="","",_xlfn.XLOOKUP(A1565,'DISPATCH SHEET'!B$3:B$121,'DISPATCH SHEET'!C$3:C$121,""))</f>
        <v/>
      </c>
      <c r="C1565" s="14" t="str">
        <f>IF(ISBLANK(A1565),"",_xlfn.XLOOKUP(A1565,'DISPATCH SHEET'!C$3:C$121,'DISPATCH SHEET'!#REF!,""))</f>
        <v/>
      </c>
      <c r="D1565" s="26"/>
      <c r="E1565" s="26"/>
      <c r="F1565" s="26"/>
      <c r="G1565" s="26"/>
      <c r="H1565" s="26"/>
      <c r="I1565" s="26"/>
      <c r="J1565" s="26"/>
      <c r="K1565" s="26"/>
    </row>
    <row r="1566" spans="1:11" s="5" customFormat="1" ht="15" customHeight="1" x14ac:dyDescent="0.2">
      <c r="A1566" s="26"/>
      <c r="B1566" s="14" t="str">
        <f>IF(A1566="","",_xlfn.XLOOKUP(A1566,'DISPATCH SHEET'!B$3:B$121,'DISPATCH SHEET'!C$3:C$121,""))</f>
        <v/>
      </c>
      <c r="C1566" s="14" t="str">
        <f>IF(ISBLANK(A1566),"",_xlfn.XLOOKUP(A1566,'DISPATCH SHEET'!C$3:C$121,'DISPATCH SHEET'!#REF!,""))</f>
        <v/>
      </c>
      <c r="D1566" s="26"/>
      <c r="E1566" s="26"/>
      <c r="F1566" s="26"/>
      <c r="G1566" s="26"/>
      <c r="H1566" s="26"/>
      <c r="I1566" s="26"/>
      <c r="J1566" s="26"/>
      <c r="K1566" s="26"/>
    </row>
    <row r="1567" spans="1:11" s="5" customFormat="1" ht="15" customHeight="1" x14ac:dyDescent="0.2">
      <c r="A1567" s="26"/>
      <c r="B1567" s="14" t="str">
        <f>IF(A1567="","",_xlfn.XLOOKUP(A1567,'DISPATCH SHEET'!B$3:B$121,'DISPATCH SHEET'!C$3:C$121,""))</f>
        <v/>
      </c>
      <c r="C1567" s="14" t="str">
        <f>IF(ISBLANK(A1567),"",_xlfn.XLOOKUP(A1567,'DISPATCH SHEET'!C$3:C$121,'DISPATCH SHEET'!#REF!,""))</f>
        <v/>
      </c>
      <c r="D1567" s="26"/>
      <c r="E1567" s="26"/>
      <c r="F1567" s="26"/>
      <c r="G1567" s="26"/>
      <c r="H1567" s="26"/>
      <c r="I1567" s="26"/>
      <c r="J1567" s="26"/>
      <c r="K1567" s="26"/>
    </row>
    <row r="1568" spans="1:11" s="5" customFormat="1" ht="15" customHeight="1" x14ac:dyDescent="0.2">
      <c r="A1568" s="26"/>
      <c r="B1568" s="14" t="str">
        <f>IF(A1568="","",_xlfn.XLOOKUP(A1568,'DISPATCH SHEET'!B$3:B$121,'DISPATCH SHEET'!C$3:C$121,""))</f>
        <v/>
      </c>
      <c r="C1568" s="14" t="str">
        <f>IF(ISBLANK(A1568),"",_xlfn.XLOOKUP(A1568,'DISPATCH SHEET'!C$3:C$121,'DISPATCH SHEET'!#REF!,""))</f>
        <v/>
      </c>
      <c r="D1568" s="26"/>
      <c r="E1568" s="26"/>
      <c r="F1568" s="26"/>
      <c r="G1568" s="26"/>
      <c r="H1568" s="26"/>
      <c r="I1568" s="26"/>
      <c r="J1568" s="26"/>
      <c r="K1568" s="26"/>
    </row>
    <row r="1569" spans="1:11" s="5" customFormat="1" ht="15" customHeight="1" x14ac:dyDescent="0.2">
      <c r="A1569" s="26"/>
      <c r="B1569" s="14" t="str">
        <f>IF(A1569="","",_xlfn.XLOOKUP(A1569,'DISPATCH SHEET'!B$3:B$121,'DISPATCH SHEET'!C$3:C$121,""))</f>
        <v/>
      </c>
      <c r="C1569" s="14" t="str">
        <f>IF(ISBLANK(A1569),"",_xlfn.XLOOKUP(A1569,'DISPATCH SHEET'!C$3:C$121,'DISPATCH SHEET'!#REF!,""))</f>
        <v/>
      </c>
      <c r="D1569" s="26"/>
      <c r="E1569" s="26"/>
      <c r="F1569" s="26"/>
      <c r="G1569" s="26"/>
      <c r="H1569" s="26"/>
      <c r="I1569" s="26"/>
      <c r="J1569" s="26"/>
      <c r="K1569" s="26"/>
    </row>
    <row r="1570" spans="1:11" s="5" customFormat="1" ht="15" customHeight="1" x14ac:dyDescent="0.2">
      <c r="A1570" s="26"/>
      <c r="B1570" s="14" t="str">
        <f>IF(A1570="","",_xlfn.XLOOKUP(A1570,'DISPATCH SHEET'!B$3:B$121,'DISPATCH SHEET'!C$3:C$121,""))</f>
        <v/>
      </c>
      <c r="C1570" s="14" t="str">
        <f>IF(ISBLANK(A1570),"",_xlfn.XLOOKUP(A1570,'DISPATCH SHEET'!C$3:C$121,'DISPATCH SHEET'!#REF!,""))</f>
        <v/>
      </c>
      <c r="D1570" s="26"/>
      <c r="E1570" s="26"/>
      <c r="F1570" s="26"/>
      <c r="G1570" s="26"/>
      <c r="H1570" s="26"/>
      <c r="I1570" s="26"/>
      <c r="J1570" s="26"/>
      <c r="K1570" s="26"/>
    </row>
    <row r="1571" spans="1:11" s="5" customFormat="1" ht="15" customHeight="1" x14ac:dyDescent="0.2">
      <c r="A1571" s="26"/>
      <c r="B1571" s="14" t="str">
        <f>IF(A1571="","",_xlfn.XLOOKUP(A1571,'DISPATCH SHEET'!B$3:B$121,'DISPATCH SHEET'!C$3:C$121,""))</f>
        <v/>
      </c>
      <c r="C1571" s="14" t="str">
        <f>IF(ISBLANK(A1571),"",_xlfn.XLOOKUP(A1571,'DISPATCH SHEET'!C$3:C$121,'DISPATCH SHEET'!#REF!,""))</f>
        <v/>
      </c>
      <c r="D1571" s="26"/>
      <c r="E1571" s="26"/>
      <c r="F1571" s="26"/>
      <c r="G1571" s="26"/>
      <c r="H1571" s="26"/>
      <c r="I1571" s="26"/>
      <c r="J1571" s="26"/>
      <c r="K1571" s="26"/>
    </row>
    <row r="1572" spans="1:11" s="5" customFormat="1" ht="15" customHeight="1" x14ac:dyDescent="0.2">
      <c r="A1572" s="26"/>
      <c r="B1572" s="14" t="str">
        <f>IF(A1572="","",_xlfn.XLOOKUP(A1572,'DISPATCH SHEET'!B$3:B$121,'DISPATCH SHEET'!C$3:C$121,""))</f>
        <v/>
      </c>
      <c r="C1572" s="14" t="str">
        <f>IF(ISBLANK(A1572),"",_xlfn.XLOOKUP(A1572,'DISPATCH SHEET'!C$3:C$121,'DISPATCH SHEET'!#REF!,""))</f>
        <v/>
      </c>
      <c r="D1572" s="26"/>
      <c r="E1572" s="26"/>
      <c r="F1572" s="26"/>
      <c r="G1572" s="26"/>
      <c r="H1572" s="26"/>
      <c r="I1572" s="26"/>
      <c r="J1572" s="26"/>
      <c r="K1572" s="26"/>
    </row>
    <row r="1573" spans="1:11" s="5" customFormat="1" ht="15" customHeight="1" x14ac:dyDescent="0.2">
      <c r="A1573" s="26"/>
      <c r="B1573" s="14" t="str">
        <f>IF(A1573="","",_xlfn.XLOOKUP(A1573,'DISPATCH SHEET'!B$3:B$121,'DISPATCH SHEET'!C$3:C$121,""))</f>
        <v/>
      </c>
      <c r="C1573" s="14" t="str">
        <f>IF(ISBLANK(A1573),"",_xlfn.XLOOKUP(A1573,'DISPATCH SHEET'!C$3:C$121,'DISPATCH SHEET'!#REF!,""))</f>
        <v/>
      </c>
      <c r="D1573" s="26"/>
      <c r="E1573" s="26"/>
      <c r="F1573" s="26"/>
      <c r="G1573" s="26"/>
      <c r="H1573" s="26"/>
      <c r="I1573" s="26"/>
      <c r="J1573" s="26"/>
      <c r="K1573" s="26"/>
    </row>
    <row r="1574" spans="1:11" s="5" customFormat="1" ht="15" customHeight="1" x14ac:dyDescent="0.2">
      <c r="A1574" s="26"/>
      <c r="B1574" s="14" t="str">
        <f>IF(A1574="","",_xlfn.XLOOKUP(A1574,'DISPATCH SHEET'!B$3:B$121,'DISPATCH SHEET'!C$3:C$121,""))</f>
        <v/>
      </c>
      <c r="C1574" s="14" t="str">
        <f>IF(ISBLANK(A1574),"",_xlfn.XLOOKUP(A1574,'DISPATCH SHEET'!C$3:C$121,'DISPATCH SHEET'!#REF!,""))</f>
        <v/>
      </c>
      <c r="D1574" s="26"/>
      <c r="E1574" s="26"/>
      <c r="F1574" s="26"/>
      <c r="G1574" s="26"/>
      <c r="H1574" s="26"/>
      <c r="I1574" s="26"/>
      <c r="J1574" s="26"/>
      <c r="K1574" s="26"/>
    </row>
    <row r="1575" spans="1:11" s="5" customFormat="1" ht="15" customHeight="1" x14ac:dyDescent="0.2">
      <c r="A1575" s="26"/>
      <c r="B1575" s="14" t="str">
        <f>IF(A1575="","",_xlfn.XLOOKUP(A1575,'DISPATCH SHEET'!B$3:B$121,'DISPATCH SHEET'!C$3:C$121,""))</f>
        <v/>
      </c>
      <c r="C1575" s="14" t="str">
        <f>IF(ISBLANK(A1575),"",_xlfn.XLOOKUP(A1575,'DISPATCH SHEET'!C$3:C$121,'DISPATCH SHEET'!#REF!,""))</f>
        <v/>
      </c>
      <c r="D1575" s="26"/>
      <c r="E1575" s="26"/>
      <c r="F1575" s="26"/>
      <c r="G1575" s="26"/>
      <c r="H1575" s="26"/>
      <c r="I1575" s="26"/>
      <c r="J1575" s="26"/>
      <c r="K1575" s="26"/>
    </row>
    <row r="1576" spans="1:11" s="5" customFormat="1" ht="15" customHeight="1" x14ac:dyDescent="0.2">
      <c r="A1576" s="26"/>
      <c r="B1576" s="14" t="str">
        <f>IF(A1576="","",_xlfn.XLOOKUP(A1576,'DISPATCH SHEET'!B$3:B$121,'DISPATCH SHEET'!C$3:C$121,""))</f>
        <v/>
      </c>
      <c r="C1576" s="14" t="str">
        <f>IF(ISBLANK(A1576),"",_xlfn.XLOOKUP(A1576,'DISPATCH SHEET'!C$3:C$121,'DISPATCH SHEET'!#REF!,""))</f>
        <v/>
      </c>
      <c r="D1576" s="26"/>
      <c r="E1576" s="26"/>
      <c r="F1576" s="26"/>
      <c r="G1576" s="26"/>
      <c r="H1576" s="26"/>
      <c r="I1576" s="26"/>
      <c r="J1576" s="26"/>
      <c r="K1576" s="26"/>
    </row>
    <row r="1577" spans="1:11" s="5" customFormat="1" ht="15" customHeight="1" x14ac:dyDescent="0.2">
      <c r="A1577" s="26"/>
      <c r="B1577" s="14" t="str">
        <f>IF(A1577="","",_xlfn.XLOOKUP(A1577,'DISPATCH SHEET'!B$3:B$121,'DISPATCH SHEET'!C$3:C$121,""))</f>
        <v/>
      </c>
      <c r="C1577" s="14" t="str">
        <f>IF(ISBLANK(A1577),"",_xlfn.XLOOKUP(A1577,'DISPATCH SHEET'!C$3:C$121,'DISPATCH SHEET'!#REF!,""))</f>
        <v/>
      </c>
      <c r="D1577" s="26"/>
      <c r="E1577" s="26"/>
      <c r="F1577" s="26"/>
      <c r="G1577" s="26"/>
      <c r="H1577" s="26"/>
      <c r="I1577" s="26"/>
      <c r="J1577" s="26"/>
      <c r="K1577" s="26"/>
    </row>
    <row r="1578" spans="1:11" s="5" customFormat="1" ht="15" customHeight="1" x14ac:dyDescent="0.2">
      <c r="A1578" s="26"/>
      <c r="B1578" s="14" t="str">
        <f>IF(A1578="","",_xlfn.XLOOKUP(A1578,'DISPATCH SHEET'!B$3:B$121,'DISPATCH SHEET'!C$3:C$121,""))</f>
        <v/>
      </c>
      <c r="C1578" s="14" t="str">
        <f>IF(ISBLANK(A1578),"",_xlfn.XLOOKUP(A1578,'DISPATCH SHEET'!C$3:C$121,'DISPATCH SHEET'!#REF!,""))</f>
        <v/>
      </c>
      <c r="D1578" s="26"/>
      <c r="E1578" s="26"/>
      <c r="F1578" s="26"/>
      <c r="G1578" s="26"/>
      <c r="H1578" s="26"/>
      <c r="I1578" s="26"/>
      <c r="J1578" s="26"/>
      <c r="K1578" s="26"/>
    </row>
    <row r="1579" spans="1:11" s="5" customFormat="1" ht="15" customHeight="1" x14ac:dyDescent="0.2">
      <c r="A1579" s="26"/>
      <c r="B1579" s="14" t="str">
        <f>IF(A1579="","",_xlfn.XLOOKUP(A1579,'DISPATCH SHEET'!B$3:B$121,'DISPATCH SHEET'!C$3:C$121,""))</f>
        <v/>
      </c>
      <c r="C1579" s="14" t="str">
        <f>IF(ISBLANK(A1579),"",_xlfn.XLOOKUP(A1579,'DISPATCH SHEET'!C$3:C$121,'DISPATCH SHEET'!#REF!,""))</f>
        <v/>
      </c>
      <c r="D1579" s="26"/>
      <c r="E1579" s="26"/>
      <c r="F1579" s="26"/>
      <c r="G1579" s="26"/>
      <c r="H1579" s="26"/>
      <c r="I1579" s="26"/>
      <c r="J1579" s="26"/>
      <c r="K1579" s="26"/>
    </row>
    <row r="1580" spans="1:11" s="5" customFormat="1" ht="15" customHeight="1" x14ac:dyDescent="0.2">
      <c r="A1580" s="26"/>
      <c r="B1580" s="14" t="str">
        <f>IF(A1580="","",_xlfn.XLOOKUP(A1580,'DISPATCH SHEET'!B$3:B$121,'DISPATCH SHEET'!C$3:C$121,""))</f>
        <v/>
      </c>
      <c r="C1580" s="14" t="str">
        <f>IF(ISBLANK(A1580),"",_xlfn.XLOOKUP(A1580,'DISPATCH SHEET'!C$3:C$121,'DISPATCH SHEET'!#REF!,""))</f>
        <v/>
      </c>
      <c r="D1580" s="26"/>
      <c r="E1580" s="26"/>
      <c r="F1580" s="26"/>
      <c r="G1580" s="26"/>
      <c r="H1580" s="26"/>
      <c r="I1580" s="26"/>
      <c r="J1580" s="26"/>
      <c r="K1580" s="26"/>
    </row>
    <row r="1581" spans="1:11" s="5" customFormat="1" ht="15" customHeight="1" x14ac:dyDescent="0.2">
      <c r="A1581" s="26"/>
      <c r="B1581" s="14" t="str">
        <f>IF(A1581="","",_xlfn.XLOOKUP(A1581,'DISPATCH SHEET'!B$3:B$121,'DISPATCH SHEET'!C$3:C$121,""))</f>
        <v/>
      </c>
      <c r="C1581" s="14" t="str">
        <f>IF(ISBLANK(A1581),"",_xlfn.XLOOKUP(A1581,'DISPATCH SHEET'!C$3:C$121,'DISPATCH SHEET'!#REF!,""))</f>
        <v/>
      </c>
      <c r="D1581" s="26"/>
      <c r="E1581" s="26"/>
      <c r="F1581" s="26"/>
      <c r="G1581" s="26"/>
      <c r="H1581" s="26"/>
      <c r="I1581" s="26"/>
      <c r="J1581" s="26"/>
      <c r="K1581" s="26"/>
    </row>
    <row r="1582" spans="1:11" s="5" customFormat="1" ht="15" customHeight="1" x14ac:dyDescent="0.2">
      <c r="A1582" s="26"/>
      <c r="B1582" s="14" t="str">
        <f>IF(A1582="","",_xlfn.XLOOKUP(A1582,'DISPATCH SHEET'!B$3:B$121,'DISPATCH SHEET'!C$3:C$121,""))</f>
        <v/>
      </c>
      <c r="C1582" s="14" t="str">
        <f>IF(ISBLANK(A1582),"",_xlfn.XLOOKUP(A1582,'DISPATCH SHEET'!C$3:C$121,'DISPATCH SHEET'!#REF!,""))</f>
        <v/>
      </c>
      <c r="D1582" s="26"/>
      <c r="E1582" s="26"/>
      <c r="F1582" s="26"/>
      <c r="G1582" s="26"/>
      <c r="H1582" s="26"/>
      <c r="I1582" s="26"/>
      <c r="J1582" s="26"/>
      <c r="K1582" s="26"/>
    </row>
    <row r="1583" spans="1:11" s="5" customFormat="1" ht="15" customHeight="1" x14ac:dyDescent="0.2">
      <c r="A1583" s="26"/>
      <c r="B1583" s="14" t="str">
        <f>IF(A1583="","",_xlfn.XLOOKUP(A1583,'DISPATCH SHEET'!B$3:B$121,'DISPATCH SHEET'!C$3:C$121,""))</f>
        <v/>
      </c>
      <c r="C1583" s="14" t="str">
        <f>IF(ISBLANK(A1583),"",_xlfn.XLOOKUP(A1583,'DISPATCH SHEET'!C$3:C$121,'DISPATCH SHEET'!#REF!,""))</f>
        <v/>
      </c>
      <c r="D1583" s="26"/>
      <c r="E1583" s="26"/>
      <c r="F1583" s="26"/>
      <c r="G1583" s="26"/>
      <c r="H1583" s="26"/>
      <c r="I1583" s="26"/>
      <c r="J1583" s="26"/>
      <c r="K1583" s="26"/>
    </row>
    <row r="1584" spans="1:11" s="5" customFormat="1" ht="15" customHeight="1" x14ac:dyDescent="0.2">
      <c r="A1584" s="26"/>
      <c r="B1584" s="14" t="str">
        <f>IF(A1584="","",_xlfn.XLOOKUP(A1584,'DISPATCH SHEET'!B$3:B$121,'DISPATCH SHEET'!C$3:C$121,""))</f>
        <v/>
      </c>
      <c r="C1584" s="14" t="str">
        <f>IF(ISBLANK(A1584),"",_xlfn.XLOOKUP(A1584,'DISPATCH SHEET'!C$3:C$121,'DISPATCH SHEET'!#REF!,""))</f>
        <v/>
      </c>
      <c r="D1584" s="26"/>
      <c r="E1584" s="26"/>
      <c r="F1584" s="26"/>
      <c r="G1584" s="26"/>
      <c r="H1584" s="26"/>
      <c r="I1584" s="26"/>
      <c r="J1584" s="26"/>
      <c r="K1584" s="26"/>
    </row>
    <row r="1585" spans="1:11" s="5" customFormat="1" ht="15" customHeight="1" x14ac:dyDescent="0.2">
      <c r="A1585" s="26"/>
      <c r="B1585" s="14" t="str">
        <f>IF(A1585="","",_xlfn.XLOOKUP(A1585,'DISPATCH SHEET'!B$3:B$121,'DISPATCH SHEET'!C$3:C$121,""))</f>
        <v/>
      </c>
      <c r="C1585" s="14" t="str">
        <f>IF(ISBLANK(A1585),"",_xlfn.XLOOKUP(A1585,'DISPATCH SHEET'!C$3:C$121,'DISPATCH SHEET'!#REF!,""))</f>
        <v/>
      </c>
      <c r="D1585" s="26"/>
      <c r="E1585" s="26"/>
      <c r="F1585" s="26"/>
      <c r="G1585" s="26"/>
      <c r="H1585" s="26"/>
      <c r="I1585" s="26"/>
      <c r="J1585" s="26"/>
      <c r="K1585" s="26"/>
    </row>
    <row r="1586" spans="1:11" s="5" customFormat="1" ht="15" customHeight="1" x14ac:dyDescent="0.2">
      <c r="A1586" s="26"/>
      <c r="B1586" s="14" t="str">
        <f>IF(A1586="","",_xlfn.XLOOKUP(A1586,'DISPATCH SHEET'!B$3:B$121,'DISPATCH SHEET'!C$3:C$121,""))</f>
        <v/>
      </c>
      <c r="C1586" s="14" t="str">
        <f>IF(ISBLANK(A1586),"",_xlfn.XLOOKUP(A1586,'DISPATCH SHEET'!C$3:C$121,'DISPATCH SHEET'!#REF!,""))</f>
        <v/>
      </c>
      <c r="D1586" s="26"/>
      <c r="E1586" s="26"/>
      <c r="F1586" s="26"/>
      <c r="G1586" s="26"/>
      <c r="H1586" s="26"/>
      <c r="I1586" s="26"/>
      <c r="J1586" s="26"/>
      <c r="K1586" s="26"/>
    </row>
    <row r="1587" spans="1:11" s="5" customFormat="1" ht="15" customHeight="1" x14ac:dyDescent="0.2">
      <c r="A1587" s="26"/>
      <c r="B1587" s="14" t="str">
        <f>IF(A1587="","",_xlfn.XLOOKUP(A1587,'DISPATCH SHEET'!B$3:B$121,'DISPATCH SHEET'!C$3:C$121,""))</f>
        <v/>
      </c>
      <c r="C1587" s="14" t="str">
        <f>IF(ISBLANK(A1587),"",_xlfn.XLOOKUP(A1587,'DISPATCH SHEET'!C$3:C$121,'DISPATCH SHEET'!#REF!,""))</f>
        <v/>
      </c>
      <c r="D1587" s="26"/>
      <c r="E1587" s="26"/>
      <c r="F1587" s="26"/>
      <c r="G1587" s="26"/>
      <c r="H1587" s="26"/>
      <c r="I1587" s="26"/>
      <c r="J1587" s="26"/>
      <c r="K1587" s="26"/>
    </row>
    <row r="1588" spans="1:11" s="5" customFormat="1" ht="15" customHeight="1" x14ac:dyDescent="0.2">
      <c r="A1588" s="26"/>
      <c r="B1588" s="14" t="str">
        <f>IF(A1588="","",_xlfn.XLOOKUP(A1588,'DISPATCH SHEET'!B$3:B$121,'DISPATCH SHEET'!C$3:C$121,""))</f>
        <v/>
      </c>
      <c r="C1588" s="14" t="str">
        <f>IF(ISBLANK(A1588),"",_xlfn.XLOOKUP(A1588,'DISPATCH SHEET'!C$3:C$121,'DISPATCH SHEET'!#REF!,""))</f>
        <v/>
      </c>
      <c r="D1588" s="26"/>
      <c r="E1588" s="26"/>
      <c r="F1588" s="26"/>
      <c r="G1588" s="26"/>
      <c r="H1588" s="26"/>
      <c r="I1588" s="26"/>
      <c r="J1588" s="26"/>
      <c r="K1588" s="26"/>
    </row>
    <row r="1589" spans="1:11" s="5" customFormat="1" ht="15" customHeight="1" x14ac:dyDescent="0.2">
      <c r="A1589" s="26"/>
      <c r="B1589" s="14" t="str">
        <f>IF(A1589="","",_xlfn.XLOOKUP(A1589,'DISPATCH SHEET'!B$3:B$121,'DISPATCH SHEET'!C$3:C$121,""))</f>
        <v/>
      </c>
      <c r="C1589" s="14" t="str">
        <f>IF(ISBLANK(A1589),"",_xlfn.XLOOKUP(A1589,'DISPATCH SHEET'!C$3:C$121,'DISPATCH SHEET'!#REF!,""))</f>
        <v/>
      </c>
      <c r="D1589" s="26"/>
      <c r="E1589" s="26"/>
      <c r="F1589" s="26"/>
      <c r="G1589" s="26"/>
      <c r="H1589" s="26"/>
      <c r="I1589" s="26"/>
      <c r="J1589" s="26"/>
      <c r="K1589" s="26"/>
    </row>
    <row r="1590" spans="1:11" s="5" customFormat="1" ht="15" customHeight="1" x14ac:dyDescent="0.2">
      <c r="A1590" s="26"/>
      <c r="B1590" s="14" t="str">
        <f>IF(A1590="","",_xlfn.XLOOKUP(A1590,'DISPATCH SHEET'!B$3:B$121,'DISPATCH SHEET'!C$3:C$121,""))</f>
        <v/>
      </c>
      <c r="C1590" s="14" t="str">
        <f>IF(ISBLANK(A1590),"",_xlfn.XLOOKUP(A1590,'DISPATCH SHEET'!C$3:C$121,'DISPATCH SHEET'!#REF!,""))</f>
        <v/>
      </c>
      <c r="D1590" s="26"/>
      <c r="E1590" s="26"/>
      <c r="F1590" s="26"/>
      <c r="G1590" s="26"/>
      <c r="H1590" s="26"/>
      <c r="I1590" s="26"/>
      <c r="J1590" s="26"/>
      <c r="K1590" s="26"/>
    </row>
    <row r="1591" spans="1:11" s="5" customFormat="1" ht="15" customHeight="1" x14ac:dyDescent="0.2">
      <c r="A1591" s="26"/>
      <c r="B1591" s="14" t="str">
        <f>IF(A1591="","",_xlfn.XLOOKUP(A1591,'DISPATCH SHEET'!B$3:B$121,'DISPATCH SHEET'!C$3:C$121,""))</f>
        <v/>
      </c>
      <c r="C1591" s="14" t="str">
        <f>IF(ISBLANK(A1591),"",_xlfn.XLOOKUP(A1591,'DISPATCH SHEET'!C$3:C$121,'DISPATCH SHEET'!#REF!,""))</f>
        <v/>
      </c>
      <c r="D1591" s="26"/>
      <c r="E1591" s="26"/>
      <c r="F1591" s="26"/>
      <c r="G1591" s="26"/>
      <c r="H1591" s="26"/>
      <c r="I1591" s="26"/>
      <c r="J1591" s="26"/>
      <c r="K1591" s="26"/>
    </row>
    <row r="1592" spans="1:11" s="5" customFormat="1" ht="15" customHeight="1" x14ac:dyDescent="0.2">
      <c r="A1592" s="26"/>
      <c r="B1592" s="14" t="str">
        <f>IF(A1592="","",_xlfn.XLOOKUP(A1592,'DISPATCH SHEET'!B$3:B$121,'DISPATCH SHEET'!C$3:C$121,""))</f>
        <v/>
      </c>
      <c r="C1592" s="14" t="str">
        <f>IF(ISBLANK(A1592),"",_xlfn.XLOOKUP(A1592,'DISPATCH SHEET'!C$3:C$121,'DISPATCH SHEET'!#REF!,""))</f>
        <v/>
      </c>
      <c r="D1592" s="26"/>
      <c r="E1592" s="26"/>
      <c r="F1592" s="26"/>
      <c r="G1592" s="26"/>
      <c r="H1592" s="26"/>
      <c r="I1592" s="26"/>
      <c r="J1592" s="26"/>
      <c r="K1592" s="26"/>
    </row>
    <row r="1593" spans="1:11" s="5" customFormat="1" ht="15" customHeight="1" x14ac:dyDescent="0.2">
      <c r="A1593" s="26"/>
      <c r="B1593" s="14" t="str">
        <f>IF(A1593="","",_xlfn.XLOOKUP(A1593,'DISPATCH SHEET'!B$3:B$121,'DISPATCH SHEET'!C$3:C$121,""))</f>
        <v/>
      </c>
      <c r="C1593" s="14" t="str">
        <f>IF(ISBLANK(A1593),"",_xlfn.XLOOKUP(A1593,'DISPATCH SHEET'!C$3:C$121,'DISPATCH SHEET'!#REF!,""))</f>
        <v/>
      </c>
      <c r="D1593" s="26"/>
      <c r="E1593" s="26"/>
      <c r="F1593" s="26"/>
      <c r="G1593" s="26"/>
      <c r="H1593" s="26"/>
      <c r="I1593" s="26"/>
      <c r="J1593" s="26"/>
      <c r="K1593" s="26"/>
    </row>
    <row r="1594" spans="1:11" s="5" customFormat="1" ht="15" customHeight="1" x14ac:dyDescent="0.2">
      <c r="A1594" s="26"/>
      <c r="B1594" s="14" t="str">
        <f>IF(A1594="","",_xlfn.XLOOKUP(A1594,'DISPATCH SHEET'!B$3:B$121,'DISPATCH SHEET'!C$3:C$121,""))</f>
        <v/>
      </c>
      <c r="C1594" s="14" t="str">
        <f>IF(ISBLANK(A1594),"",_xlfn.XLOOKUP(A1594,'DISPATCH SHEET'!C$3:C$121,'DISPATCH SHEET'!#REF!,""))</f>
        <v/>
      </c>
      <c r="D1594" s="26"/>
      <c r="E1594" s="26"/>
      <c r="F1594" s="26"/>
      <c r="G1594" s="26"/>
      <c r="H1594" s="26"/>
      <c r="I1594" s="26"/>
      <c r="J1594" s="26"/>
      <c r="K1594" s="26"/>
    </row>
    <row r="1595" spans="1:11" s="5" customFormat="1" ht="15" customHeight="1" x14ac:dyDescent="0.2">
      <c r="A1595" s="26"/>
      <c r="B1595" s="14" t="str">
        <f>IF(A1595="","",_xlfn.XLOOKUP(A1595,'DISPATCH SHEET'!B$3:B$121,'DISPATCH SHEET'!C$3:C$121,""))</f>
        <v/>
      </c>
      <c r="C1595" s="14" t="str">
        <f>IF(ISBLANK(A1595),"",_xlfn.XLOOKUP(A1595,'DISPATCH SHEET'!C$3:C$121,'DISPATCH SHEET'!#REF!,""))</f>
        <v/>
      </c>
      <c r="D1595" s="26"/>
      <c r="E1595" s="26"/>
      <c r="F1595" s="26"/>
      <c r="G1595" s="26"/>
      <c r="H1595" s="26"/>
      <c r="I1595" s="26"/>
      <c r="J1595" s="26"/>
      <c r="K1595" s="26"/>
    </row>
    <row r="1596" spans="1:11" s="5" customFormat="1" ht="15" customHeight="1" x14ac:dyDescent="0.2">
      <c r="A1596" s="26"/>
      <c r="B1596" s="14" t="str">
        <f>IF(A1596="","",_xlfn.XLOOKUP(A1596,'DISPATCH SHEET'!B$3:B$121,'DISPATCH SHEET'!C$3:C$121,""))</f>
        <v/>
      </c>
      <c r="C1596" s="14" t="str">
        <f>IF(ISBLANK(A1596),"",_xlfn.XLOOKUP(A1596,'DISPATCH SHEET'!C$3:C$121,'DISPATCH SHEET'!#REF!,""))</f>
        <v/>
      </c>
      <c r="D1596" s="26"/>
      <c r="E1596" s="26"/>
      <c r="F1596" s="26"/>
      <c r="G1596" s="26"/>
      <c r="H1596" s="26"/>
      <c r="I1596" s="26"/>
      <c r="J1596" s="26"/>
      <c r="K1596" s="26"/>
    </row>
    <row r="1597" spans="1:11" s="5" customFormat="1" ht="15" customHeight="1" x14ac:dyDescent="0.2">
      <c r="A1597" s="26"/>
      <c r="B1597" s="14" t="str">
        <f>IF(A1597="","",_xlfn.XLOOKUP(A1597,'DISPATCH SHEET'!B$3:B$121,'DISPATCH SHEET'!C$3:C$121,""))</f>
        <v/>
      </c>
      <c r="C1597" s="14" t="str">
        <f>IF(ISBLANK(A1597),"",_xlfn.XLOOKUP(A1597,'DISPATCH SHEET'!C$3:C$121,'DISPATCH SHEET'!#REF!,""))</f>
        <v/>
      </c>
      <c r="D1597" s="26"/>
      <c r="E1597" s="26"/>
      <c r="F1597" s="26"/>
      <c r="G1597" s="26"/>
      <c r="H1597" s="26"/>
      <c r="I1597" s="26"/>
      <c r="J1597" s="26"/>
      <c r="K1597" s="26"/>
    </row>
    <row r="1598" spans="1:11" s="5" customFormat="1" ht="15" customHeight="1" x14ac:dyDescent="0.2">
      <c r="A1598" s="26"/>
      <c r="B1598" s="14" t="str">
        <f>IF(A1598="","",_xlfn.XLOOKUP(A1598,'DISPATCH SHEET'!B$3:B$121,'DISPATCH SHEET'!C$3:C$121,""))</f>
        <v/>
      </c>
      <c r="C1598" s="14" t="str">
        <f>IF(ISBLANK(A1598),"",_xlfn.XLOOKUP(A1598,'DISPATCH SHEET'!C$3:C$121,'DISPATCH SHEET'!#REF!,""))</f>
        <v/>
      </c>
      <c r="D1598" s="26"/>
      <c r="E1598" s="26"/>
      <c r="F1598" s="26"/>
      <c r="G1598" s="26"/>
      <c r="H1598" s="26"/>
      <c r="I1598" s="26"/>
      <c r="J1598" s="26"/>
      <c r="K1598" s="26"/>
    </row>
    <row r="1599" spans="1:11" s="5" customFormat="1" ht="15" customHeight="1" x14ac:dyDescent="0.2">
      <c r="A1599" s="26"/>
      <c r="B1599" s="14" t="str">
        <f>IF(A1599="","",_xlfn.XLOOKUP(A1599,'DISPATCH SHEET'!B$3:B$121,'DISPATCH SHEET'!C$3:C$121,""))</f>
        <v/>
      </c>
      <c r="C1599" s="14" t="str">
        <f>IF(ISBLANK(A1599),"",_xlfn.XLOOKUP(A1599,'DISPATCH SHEET'!C$3:C$121,'DISPATCH SHEET'!#REF!,""))</f>
        <v/>
      </c>
      <c r="D1599" s="26"/>
      <c r="E1599" s="26"/>
      <c r="F1599" s="26"/>
      <c r="G1599" s="26"/>
      <c r="H1599" s="26"/>
      <c r="I1599" s="26"/>
      <c r="J1599" s="26"/>
      <c r="K1599" s="26"/>
    </row>
    <row r="1600" spans="1:11" s="5" customFormat="1" ht="15" customHeight="1" x14ac:dyDescent="0.2">
      <c r="A1600" s="26"/>
      <c r="B1600" s="14" t="str">
        <f>IF(A1600="","",_xlfn.XLOOKUP(A1600,'DISPATCH SHEET'!B$3:B$121,'DISPATCH SHEET'!C$3:C$121,""))</f>
        <v/>
      </c>
      <c r="C1600" s="14" t="str">
        <f>IF(ISBLANK(A1600),"",_xlfn.XLOOKUP(A1600,'DISPATCH SHEET'!C$3:C$121,'DISPATCH SHEET'!#REF!,""))</f>
        <v/>
      </c>
      <c r="D1600" s="26"/>
      <c r="E1600" s="26"/>
      <c r="F1600" s="26"/>
      <c r="G1600" s="26"/>
      <c r="H1600" s="26"/>
      <c r="I1600" s="26"/>
      <c r="J1600" s="26"/>
      <c r="K1600" s="26"/>
    </row>
    <row r="1601" spans="1:11" s="5" customFormat="1" ht="15" customHeight="1" x14ac:dyDescent="0.2">
      <c r="A1601" s="26"/>
      <c r="B1601" s="14" t="str">
        <f>IF(A1601="","",_xlfn.XLOOKUP(A1601,'DISPATCH SHEET'!B$3:B$121,'DISPATCH SHEET'!C$3:C$121,""))</f>
        <v/>
      </c>
      <c r="C1601" s="14" t="str">
        <f>IF(ISBLANK(A1601),"",_xlfn.XLOOKUP(A1601,'DISPATCH SHEET'!C$3:C$121,'DISPATCH SHEET'!#REF!,""))</f>
        <v/>
      </c>
      <c r="D1601" s="26"/>
      <c r="E1601" s="26"/>
      <c r="F1601" s="26"/>
      <c r="G1601" s="26"/>
      <c r="H1601" s="26"/>
      <c r="I1601" s="26"/>
      <c r="J1601" s="26"/>
      <c r="K1601" s="26"/>
    </row>
    <row r="1602" spans="1:11" s="5" customFormat="1" ht="15" customHeight="1" x14ac:dyDescent="0.2">
      <c r="A1602" s="26"/>
      <c r="B1602" s="14" t="str">
        <f>IF(A1602="","",_xlfn.XLOOKUP(A1602,'DISPATCH SHEET'!B$3:B$121,'DISPATCH SHEET'!C$3:C$121,""))</f>
        <v/>
      </c>
      <c r="C1602" s="14" t="str">
        <f>IF(ISBLANK(A1602),"",_xlfn.XLOOKUP(A1602,'DISPATCH SHEET'!C$3:C$121,'DISPATCH SHEET'!#REF!,""))</f>
        <v/>
      </c>
      <c r="D1602" s="26"/>
      <c r="E1602" s="26"/>
      <c r="F1602" s="26"/>
      <c r="G1602" s="26"/>
      <c r="H1602" s="26"/>
      <c r="I1602" s="26"/>
      <c r="J1602" s="26"/>
      <c r="K1602" s="26"/>
    </row>
    <row r="1603" spans="1:11" s="5" customFormat="1" ht="15" customHeight="1" x14ac:dyDescent="0.2">
      <c r="A1603" s="26"/>
      <c r="B1603" s="14" t="str">
        <f>IF(A1603="","",_xlfn.XLOOKUP(A1603,'DISPATCH SHEET'!B$3:B$121,'DISPATCH SHEET'!C$3:C$121,""))</f>
        <v/>
      </c>
      <c r="C1603" s="14" t="str">
        <f>IF(ISBLANK(A1603),"",_xlfn.XLOOKUP(A1603,'DISPATCH SHEET'!C$3:C$121,'DISPATCH SHEET'!#REF!,""))</f>
        <v/>
      </c>
      <c r="D1603" s="26"/>
      <c r="E1603" s="26"/>
      <c r="F1603" s="26"/>
      <c r="G1603" s="26"/>
      <c r="H1603" s="26"/>
      <c r="I1603" s="26"/>
      <c r="J1603" s="26"/>
      <c r="K1603" s="26"/>
    </row>
    <row r="1604" spans="1:11" s="5" customFormat="1" ht="15" customHeight="1" x14ac:dyDescent="0.2">
      <c r="A1604" s="26"/>
      <c r="B1604" s="14" t="str">
        <f>IF(A1604="","",_xlfn.XLOOKUP(A1604,'DISPATCH SHEET'!B$3:B$121,'DISPATCH SHEET'!C$3:C$121,""))</f>
        <v/>
      </c>
      <c r="C1604" s="14" t="str">
        <f>IF(ISBLANK(A1604),"",_xlfn.XLOOKUP(A1604,'DISPATCH SHEET'!C$3:C$121,'DISPATCH SHEET'!#REF!,""))</f>
        <v/>
      </c>
      <c r="D1604" s="26"/>
      <c r="E1604" s="26"/>
      <c r="F1604" s="26"/>
      <c r="G1604" s="26"/>
      <c r="H1604" s="26"/>
      <c r="I1604" s="26"/>
      <c r="J1604" s="26"/>
      <c r="K1604" s="26"/>
    </row>
    <row r="1605" spans="1:11" s="5" customFormat="1" ht="15" customHeight="1" x14ac:dyDescent="0.2">
      <c r="A1605" s="26"/>
      <c r="B1605" s="14" t="str">
        <f>IF(A1605="","",_xlfn.XLOOKUP(A1605,'DISPATCH SHEET'!B$3:B$121,'DISPATCH SHEET'!C$3:C$121,""))</f>
        <v/>
      </c>
      <c r="C1605" s="14" t="str">
        <f>IF(ISBLANK(A1605),"",_xlfn.XLOOKUP(A1605,'DISPATCH SHEET'!C$3:C$121,'DISPATCH SHEET'!#REF!,""))</f>
        <v/>
      </c>
      <c r="D1605" s="26"/>
      <c r="E1605" s="26"/>
      <c r="F1605" s="26"/>
      <c r="G1605" s="26"/>
      <c r="H1605" s="26"/>
      <c r="I1605" s="26"/>
      <c r="J1605" s="26"/>
      <c r="K1605" s="26"/>
    </row>
    <row r="1606" spans="1:11" s="5" customFormat="1" ht="15" customHeight="1" x14ac:dyDescent="0.2">
      <c r="A1606" s="26"/>
      <c r="B1606" s="14" t="str">
        <f>IF(A1606="","",_xlfn.XLOOKUP(A1606,'DISPATCH SHEET'!B$3:B$121,'DISPATCH SHEET'!C$3:C$121,""))</f>
        <v/>
      </c>
      <c r="C1606" s="14" t="str">
        <f>IF(ISBLANK(A1606),"",_xlfn.XLOOKUP(A1606,'DISPATCH SHEET'!C$3:C$121,'DISPATCH SHEET'!#REF!,""))</f>
        <v/>
      </c>
      <c r="D1606" s="26"/>
      <c r="E1606" s="26"/>
      <c r="F1606" s="26"/>
      <c r="G1606" s="26"/>
      <c r="H1606" s="26"/>
      <c r="I1606" s="26"/>
      <c r="J1606" s="26"/>
      <c r="K1606" s="26"/>
    </row>
    <row r="1607" spans="1:11" s="5" customFormat="1" ht="15" customHeight="1" x14ac:dyDescent="0.2">
      <c r="A1607" s="26"/>
      <c r="B1607" s="14" t="str">
        <f>IF(A1607="","",_xlfn.XLOOKUP(A1607,'DISPATCH SHEET'!B$3:B$121,'DISPATCH SHEET'!C$3:C$121,""))</f>
        <v/>
      </c>
      <c r="C1607" s="14" t="str">
        <f>IF(ISBLANK(A1607),"",_xlfn.XLOOKUP(A1607,'DISPATCH SHEET'!C$3:C$121,'DISPATCH SHEET'!#REF!,""))</f>
        <v/>
      </c>
      <c r="D1607" s="26"/>
      <c r="E1607" s="26"/>
      <c r="F1607" s="26"/>
      <c r="G1607" s="26"/>
      <c r="H1607" s="26"/>
      <c r="I1607" s="26"/>
      <c r="J1607" s="26"/>
      <c r="K1607" s="26"/>
    </row>
    <row r="1608" spans="1:11" s="5" customFormat="1" ht="15" customHeight="1" x14ac:dyDescent="0.2">
      <c r="A1608" s="26"/>
      <c r="B1608" s="14" t="str">
        <f>IF(A1608="","",_xlfn.XLOOKUP(A1608,'DISPATCH SHEET'!B$3:B$121,'DISPATCH SHEET'!C$3:C$121,""))</f>
        <v/>
      </c>
      <c r="C1608" s="14" t="str">
        <f>IF(ISBLANK(A1608),"",_xlfn.XLOOKUP(A1608,'DISPATCH SHEET'!C$3:C$121,'DISPATCH SHEET'!#REF!,""))</f>
        <v/>
      </c>
      <c r="D1608" s="26"/>
      <c r="E1608" s="26"/>
      <c r="F1608" s="26"/>
      <c r="G1608" s="26"/>
      <c r="H1608" s="26"/>
      <c r="I1608" s="26"/>
      <c r="J1608" s="26"/>
      <c r="K1608" s="26"/>
    </row>
    <row r="1609" spans="1:11" s="5" customFormat="1" ht="15" customHeight="1" x14ac:dyDescent="0.2">
      <c r="A1609" s="26"/>
      <c r="B1609" s="14" t="str">
        <f>IF(A1609="","",_xlfn.XLOOKUP(A1609,'DISPATCH SHEET'!B$3:B$121,'DISPATCH SHEET'!C$3:C$121,""))</f>
        <v/>
      </c>
      <c r="C1609" s="14" t="str">
        <f>IF(ISBLANK(A1609),"",_xlfn.XLOOKUP(A1609,'DISPATCH SHEET'!C$3:C$121,'DISPATCH SHEET'!#REF!,""))</f>
        <v/>
      </c>
      <c r="D1609" s="26"/>
      <c r="E1609" s="26"/>
      <c r="F1609" s="26"/>
      <c r="G1609" s="26"/>
      <c r="H1609" s="26"/>
      <c r="I1609" s="26"/>
      <c r="J1609" s="26"/>
      <c r="K1609" s="26"/>
    </row>
    <row r="1610" spans="1:11" s="5" customFormat="1" ht="15" customHeight="1" x14ac:dyDescent="0.2">
      <c r="A1610" s="26"/>
      <c r="B1610" s="14" t="str">
        <f>IF(A1610="","",_xlfn.XLOOKUP(A1610,'DISPATCH SHEET'!B$3:B$121,'DISPATCH SHEET'!C$3:C$121,""))</f>
        <v/>
      </c>
      <c r="C1610" s="14" t="str">
        <f>IF(ISBLANK(A1610),"",_xlfn.XLOOKUP(A1610,'DISPATCH SHEET'!C$3:C$121,'DISPATCH SHEET'!#REF!,""))</f>
        <v/>
      </c>
      <c r="D1610" s="26"/>
      <c r="E1610" s="26"/>
      <c r="F1610" s="26"/>
      <c r="G1610" s="26"/>
      <c r="H1610" s="26"/>
      <c r="I1610" s="26"/>
      <c r="J1610" s="26"/>
      <c r="K1610" s="26"/>
    </row>
    <row r="1611" spans="1:11" s="5" customFormat="1" ht="15" customHeight="1" x14ac:dyDescent="0.2">
      <c r="A1611" s="26"/>
      <c r="B1611" s="14" t="str">
        <f>IF(A1611="","",_xlfn.XLOOKUP(A1611,'DISPATCH SHEET'!B$3:B$121,'DISPATCH SHEET'!C$3:C$121,""))</f>
        <v/>
      </c>
      <c r="C1611" s="14" t="str">
        <f>IF(ISBLANK(A1611),"",_xlfn.XLOOKUP(A1611,'DISPATCH SHEET'!C$3:C$121,'DISPATCH SHEET'!#REF!,""))</f>
        <v/>
      </c>
      <c r="D1611" s="26"/>
      <c r="E1611" s="26"/>
      <c r="F1611" s="26"/>
      <c r="G1611" s="26"/>
      <c r="H1611" s="26"/>
      <c r="I1611" s="26"/>
      <c r="J1611" s="26"/>
      <c r="K1611" s="26"/>
    </row>
    <row r="1612" spans="1:11" s="5" customFormat="1" ht="15" customHeight="1" x14ac:dyDescent="0.2">
      <c r="A1612" s="26"/>
      <c r="B1612" s="14" t="str">
        <f>IF(A1612="","",_xlfn.XLOOKUP(A1612,'DISPATCH SHEET'!B$3:B$121,'DISPATCH SHEET'!C$3:C$121,""))</f>
        <v/>
      </c>
      <c r="C1612" s="14" t="str">
        <f>IF(ISBLANK(A1612),"",_xlfn.XLOOKUP(A1612,'DISPATCH SHEET'!C$3:C$121,'DISPATCH SHEET'!#REF!,""))</f>
        <v/>
      </c>
      <c r="D1612" s="26"/>
      <c r="E1612" s="26"/>
      <c r="F1612" s="26"/>
      <c r="G1612" s="26"/>
      <c r="H1612" s="26"/>
      <c r="I1612" s="26"/>
      <c r="J1612" s="26"/>
      <c r="K1612" s="26"/>
    </row>
    <row r="1613" spans="1:11" s="5" customFormat="1" ht="15" customHeight="1" x14ac:dyDescent="0.2">
      <c r="A1613" s="26"/>
      <c r="B1613" s="14" t="str">
        <f>IF(A1613="","",_xlfn.XLOOKUP(A1613,'DISPATCH SHEET'!B$3:B$121,'DISPATCH SHEET'!C$3:C$121,""))</f>
        <v/>
      </c>
      <c r="C1613" s="14" t="str">
        <f>IF(ISBLANK(A1613),"",_xlfn.XLOOKUP(A1613,'DISPATCH SHEET'!C$3:C$121,'DISPATCH SHEET'!#REF!,""))</f>
        <v/>
      </c>
      <c r="D1613" s="26"/>
      <c r="E1613" s="26"/>
      <c r="F1613" s="26"/>
      <c r="G1613" s="26"/>
      <c r="H1613" s="26"/>
      <c r="I1613" s="26"/>
      <c r="J1613" s="26"/>
      <c r="K1613" s="26"/>
    </row>
    <row r="1614" spans="1:11" s="5" customFormat="1" ht="15" customHeight="1" x14ac:dyDescent="0.2">
      <c r="A1614" s="26"/>
      <c r="B1614" s="14" t="str">
        <f>IF(A1614="","",_xlfn.XLOOKUP(A1614,'DISPATCH SHEET'!B$3:B$121,'DISPATCH SHEET'!C$3:C$121,""))</f>
        <v/>
      </c>
      <c r="C1614" s="14" t="str">
        <f>IF(ISBLANK(A1614),"",_xlfn.XLOOKUP(A1614,'DISPATCH SHEET'!C$3:C$121,'DISPATCH SHEET'!#REF!,""))</f>
        <v/>
      </c>
      <c r="D1614" s="26"/>
      <c r="E1614" s="26"/>
      <c r="F1614" s="26"/>
      <c r="G1614" s="26"/>
      <c r="H1614" s="26"/>
      <c r="I1614" s="26"/>
      <c r="J1614" s="26"/>
      <c r="K1614" s="26"/>
    </row>
    <row r="1615" spans="1:11" s="5" customFormat="1" ht="15" customHeight="1" x14ac:dyDescent="0.2">
      <c r="A1615" s="26"/>
      <c r="B1615" s="14" t="str">
        <f>IF(A1615="","",_xlfn.XLOOKUP(A1615,'DISPATCH SHEET'!B$3:B$121,'DISPATCH SHEET'!C$3:C$121,""))</f>
        <v/>
      </c>
      <c r="C1615" s="14" t="str">
        <f>IF(ISBLANK(A1615),"",_xlfn.XLOOKUP(A1615,'DISPATCH SHEET'!C$3:C$121,'DISPATCH SHEET'!#REF!,""))</f>
        <v/>
      </c>
      <c r="D1615" s="26"/>
      <c r="E1615" s="26"/>
      <c r="F1615" s="26"/>
      <c r="G1615" s="26"/>
      <c r="H1615" s="26"/>
      <c r="I1615" s="26"/>
      <c r="J1615" s="26"/>
      <c r="K1615" s="26"/>
    </row>
    <row r="1616" spans="1:11" s="5" customFormat="1" ht="15" customHeight="1" x14ac:dyDescent="0.2">
      <c r="A1616" s="26"/>
      <c r="B1616" s="14" t="str">
        <f>IF(A1616="","",_xlfn.XLOOKUP(A1616,'DISPATCH SHEET'!B$3:B$121,'DISPATCH SHEET'!C$3:C$121,""))</f>
        <v/>
      </c>
      <c r="C1616" s="14" t="str">
        <f>IF(ISBLANK(A1616),"",_xlfn.XLOOKUP(A1616,'DISPATCH SHEET'!C$3:C$121,'DISPATCH SHEET'!#REF!,""))</f>
        <v/>
      </c>
      <c r="D1616" s="26"/>
      <c r="E1616" s="26"/>
      <c r="F1616" s="26"/>
      <c r="G1616" s="26"/>
      <c r="H1616" s="26"/>
      <c r="I1616" s="26"/>
      <c r="J1616" s="26"/>
      <c r="K1616" s="26"/>
    </row>
    <row r="1617" spans="1:11" s="5" customFormat="1" ht="15" customHeight="1" x14ac:dyDescent="0.2">
      <c r="A1617" s="26"/>
      <c r="B1617" s="14" t="str">
        <f>IF(A1617="","",_xlfn.XLOOKUP(A1617,'DISPATCH SHEET'!B$3:B$121,'DISPATCH SHEET'!C$3:C$121,""))</f>
        <v/>
      </c>
      <c r="C1617" s="14" t="str">
        <f>IF(ISBLANK(A1617),"",_xlfn.XLOOKUP(A1617,'DISPATCH SHEET'!C$3:C$121,'DISPATCH SHEET'!#REF!,""))</f>
        <v/>
      </c>
      <c r="D1617" s="26"/>
      <c r="E1617" s="26"/>
      <c r="F1617" s="26"/>
      <c r="G1617" s="26"/>
      <c r="H1617" s="26"/>
      <c r="I1617" s="26"/>
      <c r="J1617" s="26"/>
      <c r="K1617" s="26"/>
    </row>
    <row r="1618" spans="1:11" s="5" customFormat="1" ht="15" customHeight="1" x14ac:dyDescent="0.2">
      <c r="A1618" s="26"/>
      <c r="B1618" s="14" t="str">
        <f>IF(A1618="","",_xlfn.XLOOKUP(A1618,'DISPATCH SHEET'!B$3:B$121,'DISPATCH SHEET'!C$3:C$121,""))</f>
        <v/>
      </c>
      <c r="C1618" s="14" t="str">
        <f>IF(ISBLANK(A1618),"",_xlfn.XLOOKUP(A1618,'DISPATCH SHEET'!C$3:C$121,'DISPATCH SHEET'!#REF!,""))</f>
        <v/>
      </c>
      <c r="D1618" s="26"/>
      <c r="E1618" s="26"/>
      <c r="F1618" s="26"/>
      <c r="G1618" s="26"/>
      <c r="H1618" s="26"/>
      <c r="I1618" s="26"/>
      <c r="J1618" s="26"/>
      <c r="K1618" s="26"/>
    </row>
    <row r="1619" spans="1:11" s="5" customFormat="1" ht="15" customHeight="1" x14ac:dyDescent="0.2">
      <c r="A1619" s="26"/>
      <c r="B1619" s="14" t="str">
        <f>IF(A1619="","",_xlfn.XLOOKUP(A1619,'DISPATCH SHEET'!B$3:B$121,'DISPATCH SHEET'!C$3:C$121,""))</f>
        <v/>
      </c>
      <c r="C1619" s="14" t="str">
        <f>IF(ISBLANK(A1619),"",_xlfn.XLOOKUP(A1619,'DISPATCH SHEET'!C$3:C$121,'DISPATCH SHEET'!#REF!,""))</f>
        <v/>
      </c>
      <c r="D1619" s="26"/>
      <c r="E1619" s="26"/>
      <c r="F1619" s="26"/>
      <c r="G1619" s="26"/>
      <c r="H1619" s="26"/>
      <c r="I1619" s="26"/>
      <c r="J1619" s="26"/>
      <c r="K1619" s="26"/>
    </row>
    <row r="1620" spans="1:11" s="5" customFormat="1" ht="15" customHeight="1" x14ac:dyDescent="0.2">
      <c r="A1620" s="26"/>
      <c r="B1620" s="14" t="str">
        <f>IF(A1620="","",_xlfn.XLOOKUP(A1620,'DISPATCH SHEET'!B$3:B$121,'DISPATCH SHEET'!C$3:C$121,""))</f>
        <v/>
      </c>
      <c r="C1620" s="14" t="str">
        <f>IF(ISBLANK(A1620),"",_xlfn.XLOOKUP(A1620,'DISPATCH SHEET'!C$3:C$121,'DISPATCH SHEET'!#REF!,""))</f>
        <v/>
      </c>
      <c r="D1620" s="26"/>
      <c r="E1620" s="26"/>
      <c r="F1620" s="26"/>
      <c r="G1620" s="26"/>
      <c r="H1620" s="26"/>
      <c r="I1620" s="26"/>
      <c r="J1620" s="26"/>
      <c r="K1620" s="26"/>
    </row>
    <row r="1621" spans="1:11" s="5" customFormat="1" ht="15" customHeight="1" x14ac:dyDescent="0.2">
      <c r="A1621" s="26"/>
      <c r="B1621" s="14" t="str">
        <f>IF(A1621="","",_xlfn.XLOOKUP(A1621,'DISPATCH SHEET'!B$3:B$121,'DISPATCH SHEET'!C$3:C$121,""))</f>
        <v/>
      </c>
      <c r="C1621" s="14" t="str">
        <f>IF(ISBLANK(A1621),"",_xlfn.XLOOKUP(A1621,'DISPATCH SHEET'!C$3:C$121,'DISPATCH SHEET'!#REF!,""))</f>
        <v/>
      </c>
      <c r="D1621" s="26"/>
      <c r="E1621" s="26"/>
      <c r="F1621" s="26"/>
      <c r="G1621" s="26"/>
      <c r="H1621" s="26"/>
      <c r="I1621" s="26"/>
      <c r="J1621" s="26"/>
      <c r="K1621" s="26"/>
    </row>
    <row r="1622" spans="1:11" s="5" customFormat="1" ht="15" customHeight="1" x14ac:dyDescent="0.2">
      <c r="A1622" s="26"/>
      <c r="B1622" s="14" t="str">
        <f>IF(A1622="","",_xlfn.XLOOKUP(A1622,'DISPATCH SHEET'!B$3:B$121,'DISPATCH SHEET'!C$3:C$121,""))</f>
        <v/>
      </c>
      <c r="C1622" s="14" t="str">
        <f>IF(ISBLANK(A1622),"",_xlfn.XLOOKUP(A1622,'DISPATCH SHEET'!C$3:C$121,'DISPATCH SHEET'!#REF!,""))</f>
        <v/>
      </c>
      <c r="D1622" s="26"/>
      <c r="E1622" s="26"/>
      <c r="F1622" s="26"/>
      <c r="G1622" s="26"/>
      <c r="H1622" s="26"/>
      <c r="I1622" s="26"/>
      <c r="J1622" s="26"/>
      <c r="K1622" s="26"/>
    </row>
    <row r="1623" spans="1:11" s="5" customFormat="1" ht="15" customHeight="1" x14ac:dyDescent="0.2">
      <c r="A1623" s="26"/>
      <c r="B1623" s="14" t="str">
        <f>IF(A1623="","",_xlfn.XLOOKUP(A1623,'DISPATCH SHEET'!B$3:B$121,'DISPATCH SHEET'!C$3:C$121,""))</f>
        <v/>
      </c>
      <c r="C1623" s="14" t="str">
        <f>IF(ISBLANK(A1623),"",_xlfn.XLOOKUP(A1623,'DISPATCH SHEET'!C$3:C$121,'DISPATCH SHEET'!#REF!,""))</f>
        <v/>
      </c>
      <c r="D1623" s="26"/>
      <c r="E1623" s="26"/>
      <c r="F1623" s="26"/>
      <c r="G1623" s="26"/>
      <c r="H1623" s="26"/>
      <c r="I1623" s="26"/>
      <c r="J1623" s="26"/>
      <c r="K1623" s="26"/>
    </row>
    <row r="1624" spans="1:11" s="5" customFormat="1" ht="15" customHeight="1" x14ac:dyDescent="0.2">
      <c r="A1624" s="26"/>
      <c r="B1624" s="14" t="str">
        <f>IF(A1624="","",_xlfn.XLOOKUP(A1624,'DISPATCH SHEET'!B$3:B$121,'DISPATCH SHEET'!C$3:C$121,""))</f>
        <v/>
      </c>
      <c r="C1624" s="14" t="str">
        <f>IF(ISBLANK(A1624),"",_xlfn.XLOOKUP(A1624,'DISPATCH SHEET'!C$3:C$121,'DISPATCH SHEET'!#REF!,""))</f>
        <v/>
      </c>
      <c r="D1624" s="26"/>
      <c r="E1624" s="26"/>
      <c r="F1624" s="26"/>
      <c r="G1624" s="26"/>
      <c r="H1624" s="26"/>
      <c r="I1624" s="26"/>
      <c r="J1624" s="26"/>
      <c r="K1624" s="26"/>
    </row>
    <row r="1625" spans="1:11" s="5" customFormat="1" ht="15" customHeight="1" x14ac:dyDescent="0.2">
      <c r="A1625" s="26"/>
      <c r="B1625" s="14" t="str">
        <f>IF(A1625="","",_xlfn.XLOOKUP(A1625,'DISPATCH SHEET'!B$3:B$121,'DISPATCH SHEET'!C$3:C$121,""))</f>
        <v/>
      </c>
      <c r="C1625" s="14" t="str">
        <f>IF(ISBLANK(A1625),"",_xlfn.XLOOKUP(A1625,'DISPATCH SHEET'!C$3:C$121,'DISPATCH SHEET'!#REF!,""))</f>
        <v/>
      </c>
      <c r="D1625" s="26"/>
      <c r="E1625" s="26"/>
      <c r="F1625" s="26"/>
      <c r="G1625" s="26"/>
      <c r="H1625" s="26"/>
      <c r="I1625" s="26"/>
      <c r="J1625" s="26"/>
      <c r="K1625" s="26"/>
    </row>
    <row r="1626" spans="1:11" s="5" customFormat="1" ht="15" customHeight="1" x14ac:dyDescent="0.2">
      <c r="A1626" s="26"/>
      <c r="B1626" s="14" t="str">
        <f>IF(A1626="","",_xlfn.XLOOKUP(A1626,'DISPATCH SHEET'!B$3:B$121,'DISPATCH SHEET'!C$3:C$121,""))</f>
        <v/>
      </c>
      <c r="C1626" s="14" t="str">
        <f>IF(ISBLANK(A1626),"",_xlfn.XLOOKUP(A1626,'DISPATCH SHEET'!C$3:C$121,'DISPATCH SHEET'!#REF!,""))</f>
        <v/>
      </c>
      <c r="D1626" s="26"/>
      <c r="E1626" s="26"/>
      <c r="F1626" s="26"/>
      <c r="G1626" s="26"/>
      <c r="H1626" s="26"/>
      <c r="I1626" s="26"/>
      <c r="J1626" s="26"/>
      <c r="K1626" s="26"/>
    </row>
    <row r="1627" spans="1:11" s="5" customFormat="1" ht="15" customHeight="1" x14ac:dyDescent="0.2">
      <c r="A1627" s="26"/>
      <c r="B1627" s="14" t="str">
        <f>IF(A1627="","",_xlfn.XLOOKUP(A1627,'DISPATCH SHEET'!B$3:B$121,'DISPATCH SHEET'!C$3:C$121,""))</f>
        <v/>
      </c>
      <c r="C1627" s="14" t="str">
        <f>IF(ISBLANK(A1627),"",_xlfn.XLOOKUP(A1627,'DISPATCH SHEET'!C$3:C$121,'DISPATCH SHEET'!#REF!,""))</f>
        <v/>
      </c>
      <c r="D1627" s="26"/>
      <c r="E1627" s="26"/>
      <c r="F1627" s="26"/>
      <c r="G1627" s="26"/>
      <c r="H1627" s="26"/>
      <c r="I1627" s="26"/>
      <c r="J1627" s="26"/>
      <c r="K1627" s="26"/>
    </row>
    <row r="1628" spans="1:11" s="5" customFormat="1" ht="15" customHeight="1" x14ac:dyDescent="0.2">
      <c r="A1628" s="26"/>
      <c r="B1628" s="14" t="str">
        <f>IF(A1628="","",_xlfn.XLOOKUP(A1628,'DISPATCH SHEET'!B$3:B$121,'DISPATCH SHEET'!C$3:C$121,""))</f>
        <v/>
      </c>
      <c r="C1628" s="14" t="str">
        <f>IF(ISBLANK(A1628),"",_xlfn.XLOOKUP(A1628,'DISPATCH SHEET'!C$3:C$121,'DISPATCH SHEET'!#REF!,""))</f>
        <v/>
      </c>
      <c r="D1628" s="26"/>
      <c r="E1628" s="26"/>
      <c r="F1628" s="26"/>
      <c r="G1628" s="26"/>
      <c r="H1628" s="26"/>
      <c r="I1628" s="26"/>
      <c r="J1628" s="26"/>
      <c r="K1628" s="26"/>
    </row>
    <row r="1629" spans="1:11" s="5" customFormat="1" ht="15" customHeight="1" x14ac:dyDescent="0.2">
      <c r="A1629" s="26"/>
      <c r="B1629" s="14" t="str">
        <f>IF(A1629="","",_xlfn.XLOOKUP(A1629,'DISPATCH SHEET'!B$3:B$121,'DISPATCH SHEET'!C$3:C$121,""))</f>
        <v/>
      </c>
      <c r="C1629" s="14" t="str">
        <f>IF(ISBLANK(A1629),"",_xlfn.XLOOKUP(A1629,'DISPATCH SHEET'!C$3:C$121,'DISPATCH SHEET'!#REF!,""))</f>
        <v/>
      </c>
      <c r="D1629" s="26"/>
      <c r="E1629" s="26"/>
      <c r="F1629" s="26"/>
      <c r="G1629" s="26"/>
      <c r="H1629" s="26"/>
      <c r="I1629" s="26"/>
      <c r="J1629" s="26"/>
      <c r="K1629" s="26"/>
    </row>
    <row r="1630" spans="1:11" s="5" customFormat="1" ht="15" customHeight="1" x14ac:dyDescent="0.2">
      <c r="A1630" s="26"/>
      <c r="B1630" s="14" t="str">
        <f>IF(A1630="","",_xlfn.XLOOKUP(A1630,'DISPATCH SHEET'!B$3:B$121,'DISPATCH SHEET'!C$3:C$121,""))</f>
        <v/>
      </c>
      <c r="C1630" s="14" t="str">
        <f>IF(ISBLANK(A1630),"",_xlfn.XLOOKUP(A1630,'DISPATCH SHEET'!C$3:C$121,'DISPATCH SHEET'!#REF!,""))</f>
        <v/>
      </c>
      <c r="D1630" s="26"/>
      <c r="E1630" s="26"/>
      <c r="F1630" s="26"/>
      <c r="G1630" s="26"/>
      <c r="H1630" s="26"/>
      <c r="I1630" s="26"/>
      <c r="J1630" s="26"/>
      <c r="K1630" s="26"/>
    </row>
    <row r="1631" spans="1:11" s="5" customFormat="1" ht="15" customHeight="1" x14ac:dyDescent="0.2">
      <c r="A1631" s="26"/>
      <c r="B1631" s="14" t="str">
        <f>IF(A1631="","",_xlfn.XLOOKUP(A1631,'DISPATCH SHEET'!B$3:B$121,'DISPATCH SHEET'!C$3:C$121,""))</f>
        <v/>
      </c>
      <c r="C1631" s="14" t="str">
        <f>IF(ISBLANK(A1631),"",_xlfn.XLOOKUP(A1631,'DISPATCH SHEET'!C$3:C$121,'DISPATCH SHEET'!#REF!,""))</f>
        <v/>
      </c>
      <c r="D1631" s="26"/>
      <c r="E1631" s="26"/>
      <c r="F1631" s="26"/>
      <c r="G1631" s="26"/>
      <c r="H1631" s="26"/>
      <c r="I1631" s="26"/>
      <c r="J1631" s="26"/>
      <c r="K1631" s="26"/>
    </row>
    <row r="1632" spans="1:11" s="5" customFormat="1" ht="15" customHeight="1" x14ac:dyDescent="0.2">
      <c r="A1632" s="26"/>
      <c r="B1632" s="14" t="str">
        <f>IF(A1632="","",_xlfn.XLOOKUP(A1632,'DISPATCH SHEET'!B$3:B$121,'DISPATCH SHEET'!C$3:C$121,""))</f>
        <v/>
      </c>
      <c r="C1632" s="14" t="str">
        <f>IF(ISBLANK(A1632),"",_xlfn.XLOOKUP(A1632,'DISPATCH SHEET'!C$3:C$121,'DISPATCH SHEET'!#REF!,""))</f>
        <v/>
      </c>
      <c r="D1632" s="26"/>
      <c r="E1632" s="26"/>
      <c r="F1632" s="26"/>
      <c r="G1632" s="26"/>
      <c r="H1632" s="26"/>
      <c r="I1632" s="26"/>
      <c r="J1632" s="26"/>
      <c r="K1632" s="26"/>
    </row>
    <row r="1633" spans="1:11" s="5" customFormat="1" ht="15" customHeight="1" x14ac:dyDescent="0.2">
      <c r="A1633" s="26"/>
      <c r="B1633" s="14" t="str">
        <f>IF(A1633="","",_xlfn.XLOOKUP(A1633,'DISPATCH SHEET'!B$3:B$121,'DISPATCH SHEET'!C$3:C$121,""))</f>
        <v/>
      </c>
      <c r="C1633" s="14" t="str">
        <f>IF(ISBLANK(A1633),"",_xlfn.XLOOKUP(A1633,'DISPATCH SHEET'!C$3:C$121,'DISPATCH SHEET'!#REF!,""))</f>
        <v/>
      </c>
      <c r="D1633" s="26"/>
      <c r="E1633" s="26"/>
      <c r="F1633" s="26"/>
      <c r="G1633" s="26"/>
      <c r="H1633" s="26"/>
      <c r="I1633" s="26"/>
      <c r="J1633" s="26"/>
      <c r="K1633" s="26"/>
    </row>
    <row r="1634" spans="1:11" s="5" customFormat="1" ht="15" customHeight="1" x14ac:dyDescent="0.2">
      <c r="A1634" s="26"/>
      <c r="B1634" s="14" t="str">
        <f>IF(A1634="","",_xlfn.XLOOKUP(A1634,'DISPATCH SHEET'!B$3:B$121,'DISPATCH SHEET'!C$3:C$121,""))</f>
        <v/>
      </c>
      <c r="C1634" s="14" t="str">
        <f>IF(ISBLANK(A1634),"",_xlfn.XLOOKUP(A1634,'DISPATCH SHEET'!C$3:C$121,'DISPATCH SHEET'!#REF!,""))</f>
        <v/>
      </c>
      <c r="D1634" s="26"/>
      <c r="E1634" s="26"/>
      <c r="F1634" s="26"/>
      <c r="G1634" s="26"/>
      <c r="H1634" s="26"/>
      <c r="I1634" s="26"/>
      <c r="J1634" s="26"/>
      <c r="K1634" s="26"/>
    </row>
    <row r="1635" spans="1:11" s="5" customFormat="1" ht="15" customHeight="1" x14ac:dyDescent="0.2">
      <c r="A1635" s="26"/>
      <c r="B1635" s="14" t="str">
        <f>IF(A1635="","",_xlfn.XLOOKUP(A1635,'DISPATCH SHEET'!B$3:B$121,'DISPATCH SHEET'!C$3:C$121,""))</f>
        <v/>
      </c>
      <c r="C1635" s="14" t="str">
        <f>IF(ISBLANK(A1635),"",_xlfn.XLOOKUP(A1635,'DISPATCH SHEET'!C$3:C$121,'DISPATCH SHEET'!#REF!,""))</f>
        <v/>
      </c>
      <c r="D1635" s="26"/>
      <c r="E1635" s="26"/>
      <c r="F1635" s="26"/>
      <c r="G1635" s="26"/>
      <c r="H1635" s="26"/>
      <c r="I1635" s="26"/>
      <c r="J1635" s="26"/>
      <c r="K1635" s="26"/>
    </row>
    <row r="1636" spans="1:11" s="5" customFormat="1" ht="15" customHeight="1" x14ac:dyDescent="0.2">
      <c r="A1636" s="26"/>
      <c r="B1636" s="14" t="str">
        <f>IF(A1636="","",_xlfn.XLOOKUP(A1636,'DISPATCH SHEET'!B$3:B$121,'DISPATCH SHEET'!C$3:C$121,""))</f>
        <v/>
      </c>
      <c r="C1636" s="14" t="str">
        <f>IF(ISBLANK(A1636),"",_xlfn.XLOOKUP(A1636,'DISPATCH SHEET'!C$3:C$121,'DISPATCH SHEET'!#REF!,""))</f>
        <v/>
      </c>
      <c r="D1636" s="26"/>
      <c r="E1636" s="26"/>
      <c r="F1636" s="26"/>
      <c r="G1636" s="26"/>
      <c r="H1636" s="26"/>
      <c r="I1636" s="26"/>
      <c r="J1636" s="26"/>
      <c r="K1636" s="26"/>
    </row>
    <row r="1637" spans="1:11" s="5" customFormat="1" ht="15" customHeight="1" x14ac:dyDescent="0.2">
      <c r="A1637" s="26"/>
      <c r="B1637" s="14" t="str">
        <f>IF(A1637="","",_xlfn.XLOOKUP(A1637,'DISPATCH SHEET'!B$3:B$121,'DISPATCH SHEET'!C$3:C$121,""))</f>
        <v/>
      </c>
      <c r="C1637" s="14" t="str">
        <f>IF(ISBLANK(A1637),"",_xlfn.XLOOKUP(A1637,'DISPATCH SHEET'!C$3:C$121,'DISPATCH SHEET'!#REF!,""))</f>
        <v/>
      </c>
      <c r="D1637" s="26"/>
      <c r="E1637" s="26"/>
      <c r="F1637" s="26"/>
      <c r="G1637" s="26"/>
      <c r="H1637" s="26"/>
      <c r="I1637" s="26"/>
      <c r="J1637" s="26"/>
      <c r="K1637" s="26"/>
    </row>
    <row r="1638" spans="1:11" s="5" customFormat="1" ht="15" customHeight="1" x14ac:dyDescent="0.2">
      <c r="A1638" s="26"/>
      <c r="B1638" s="14" t="str">
        <f>IF(A1638="","",_xlfn.XLOOKUP(A1638,'DISPATCH SHEET'!B$3:B$121,'DISPATCH SHEET'!C$3:C$121,""))</f>
        <v/>
      </c>
      <c r="C1638" s="14" t="str">
        <f>IF(ISBLANK(A1638),"",_xlfn.XLOOKUP(A1638,'DISPATCH SHEET'!C$3:C$121,'DISPATCH SHEET'!#REF!,""))</f>
        <v/>
      </c>
      <c r="D1638" s="26"/>
      <c r="E1638" s="26"/>
      <c r="F1638" s="26"/>
      <c r="G1638" s="26"/>
      <c r="H1638" s="26"/>
      <c r="I1638" s="26"/>
      <c r="J1638" s="26"/>
      <c r="K1638" s="26"/>
    </row>
    <row r="1639" spans="1:11" s="5" customFormat="1" ht="15" customHeight="1" x14ac:dyDescent="0.2">
      <c r="A1639" s="26"/>
      <c r="B1639" s="14" t="str">
        <f>IF(A1639="","",_xlfn.XLOOKUP(A1639,'DISPATCH SHEET'!B$3:B$121,'DISPATCH SHEET'!C$3:C$121,""))</f>
        <v/>
      </c>
      <c r="C1639" s="14" t="str">
        <f>IF(ISBLANK(A1639),"",_xlfn.XLOOKUP(A1639,'DISPATCH SHEET'!C$3:C$121,'DISPATCH SHEET'!#REF!,""))</f>
        <v/>
      </c>
      <c r="D1639" s="26"/>
      <c r="E1639" s="26"/>
      <c r="F1639" s="26"/>
      <c r="G1639" s="26"/>
      <c r="H1639" s="26"/>
      <c r="I1639" s="26"/>
      <c r="J1639" s="26"/>
      <c r="K1639" s="26"/>
    </row>
    <row r="1640" spans="1:11" s="5" customFormat="1" ht="15" customHeight="1" x14ac:dyDescent="0.2">
      <c r="A1640" s="26"/>
      <c r="B1640" s="14" t="str">
        <f>IF(A1640="","",_xlfn.XLOOKUP(A1640,'DISPATCH SHEET'!B$3:B$121,'DISPATCH SHEET'!C$3:C$121,""))</f>
        <v/>
      </c>
      <c r="C1640" s="14" t="str">
        <f>IF(ISBLANK(A1640),"",_xlfn.XLOOKUP(A1640,'DISPATCH SHEET'!C$3:C$121,'DISPATCH SHEET'!#REF!,""))</f>
        <v/>
      </c>
      <c r="D1640" s="26"/>
      <c r="E1640" s="26"/>
      <c r="F1640" s="26"/>
      <c r="G1640" s="26"/>
      <c r="H1640" s="26"/>
      <c r="I1640" s="26"/>
      <c r="J1640" s="26"/>
      <c r="K1640" s="26"/>
    </row>
    <row r="1641" spans="1:11" s="5" customFormat="1" ht="15" customHeight="1" x14ac:dyDescent="0.2">
      <c r="A1641" s="26"/>
      <c r="B1641" s="14" t="str">
        <f>IF(A1641="","",_xlfn.XLOOKUP(A1641,'DISPATCH SHEET'!B$3:B$121,'DISPATCH SHEET'!C$3:C$121,""))</f>
        <v/>
      </c>
      <c r="C1641" s="14" t="str">
        <f>IF(ISBLANK(A1641),"",_xlfn.XLOOKUP(A1641,'DISPATCH SHEET'!C$3:C$121,'DISPATCH SHEET'!#REF!,""))</f>
        <v/>
      </c>
      <c r="D1641" s="26"/>
      <c r="E1641" s="26"/>
      <c r="F1641" s="26"/>
      <c r="G1641" s="26"/>
      <c r="H1641" s="26"/>
      <c r="I1641" s="26"/>
      <c r="J1641" s="26"/>
      <c r="K1641" s="26"/>
    </row>
    <row r="1642" spans="1:11" s="5" customFormat="1" ht="15" customHeight="1" x14ac:dyDescent="0.2">
      <c r="A1642" s="26"/>
      <c r="B1642" s="14" t="str">
        <f>IF(A1642="","",_xlfn.XLOOKUP(A1642,'DISPATCH SHEET'!B$3:B$121,'DISPATCH SHEET'!C$3:C$121,""))</f>
        <v/>
      </c>
      <c r="C1642" s="14" t="str">
        <f>IF(ISBLANK(A1642),"",_xlfn.XLOOKUP(A1642,'DISPATCH SHEET'!C$3:C$121,'DISPATCH SHEET'!#REF!,""))</f>
        <v/>
      </c>
      <c r="D1642" s="26"/>
      <c r="E1642" s="26"/>
      <c r="F1642" s="26"/>
      <c r="G1642" s="26"/>
      <c r="H1642" s="26"/>
      <c r="I1642" s="26"/>
      <c r="J1642" s="26"/>
      <c r="K1642" s="26"/>
    </row>
    <row r="1643" spans="1:11" s="5" customFormat="1" ht="15" customHeight="1" x14ac:dyDescent="0.2">
      <c r="A1643" s="26"/>
      <c r="B1643" s="14" t="str">
        <f>IF(A1643="","",_xlfn.XLOOKUP(A1643,'DISPATCH SHEET'!B$3:B$121,'DISPATCH SHEET'!C$3:C$121,""))</f>
        <v/>
      </c>
      <c r="C1643" s="14" t="str">
        <f>IF(ISBLANK(A1643),"",_xlfn.XLOOKUP(A1643,'DISPATCH SHEET'!C$3:C$121,'DISPATCH SHEET'!#REF!,""))</f>
        <v/>
      </c>
      <c r="D1643" s="26"/>
      <c r="E1643" s="26"/>
      <c r="F1643" s="26"/>
      <c r="G1643" s="26"/>
      <c r="H1643" s="26"/>
      <c r="I1643" s="26"/>
      <c r="J1643" s="26"/>
      <c r="K1643" s="26"/>
    </row>
    <row r="1644" spans="1:11" s="5" customFormat="1" ht="15" customHeight="1" x14ac:dyDescent="0.2">
      <c r="A1644" s="26"/>
      <c r="B1644" s="14" t="str">
        <f>IF(A1644="","",_xlfn.XLOOKUP(A1644,'DISPATCH SHEET'!B$3:B$121,'DISPATCH SHEET'!C$3:C$121,""))</f>
        <v/>
      </c>
      <c r="C1644" s="14" t="str">
        <f>IF(ISBLANK(A1644),"",_xlfn.XLOOKUP(A1644,'DISPATCH SHEET'!C$3:C$121,'DISPATCH SHEET'!#REF!,""))</f>
        <v/>
      </c>
      <c r="D1644" s="26"/>
      <c r="E1644" s="26"/>
      <c r="F1644" s="26"/>
      <c r="G1644" s="26"/>
      <c r="H1644" s="26"/>
      <c r="I1644" s="26"/>
      <c r="J1644" s="26"/>
      <c r="K1644" s="26"/>
    </row>
    <row r="1645" spans="1:11" s="5" customFormat="1" ht="15" customHeight="1" x14ac:dyDescent="0.2">
      <c r="A1645" s="26"/>
      <c r="B1645" s="14" t="str">
        <f>IF(A1645="","",_xlfn.XLOOKUP(A1645,'DISPATCH SHEET'!B$3:B$121,'DISPATCH SHEET'!C$3:C$121,""))</f>
        <v/>
      </c>
      <c r="C1645" s="14" t="str">
        <f>IF(ISBLANK(A1645),"",_xlfn.XLOOKUP(A1645,'DISPATCH SHEET'!C$3:C$121,'DISPATCH SHEET'!#REF!,""))</f>
        <v/>
      </c>
      <c r="D1645" s="26"/>
      <c r="E1645" s="26"/>
      <c r="F1645" s="26"/>
      <c r="G1645" s="26"/>
      <c r="H1645" s="26"/>
      <c r="I1645" s="26"/>
      <c r="J1645" s="26"/>
      <c r="K1645" s="26"/>
    </row>
    <row r="1646" spans="1:11" s="5" customFormat="1" ht="15" customHeight="1" x14ac:dyDescent="0.2">
      <c r="A1646" s="26"/>
      <c r="B1646" s="14" t="str">
        <f>IF(A1646="","",_xlfn.XLOOKUP(A1646,'DISPATCH SHEET'!B$3:B$121,'DISPATCH SHEET'!C$3:C$121,""))</f>
        <v/>
      </c>
      <c r="C1646" s="14" t="str">
        <f>IF(ISBLANK(A1646),"",_xlfn.XLOOKUP(A1646,'DISPATCH SHEET'!C$3:C$121,'DISPATCH SHEET'!#REF!,""))</f>
        <v/>
      </c>
      <c r="D1646" s="26"/>
      <c r="E1646" s="26"/>
      <c r="F1646" s="26"/>
      <c r="G1646" s="26"/>
      <c r="H1646" s="26"/>
      <c r="I1646" s="26"/>
      <c r="J1646" s="26"/>
      <c r="K1646" s="26"/>
    </row>
    <row r="1647" spans="1:11" s="5" customFormat="1" ht="15" customHeight="1" x14ac:dyDescent="0.2">
      <c r="A1647" s="26"/>
      <c r="B1647" s="14" t="str">
        <f>IF(A1647="","",_xlfn.XLOOKUP(A1647,'DISPATCH SHEET'!B$3:B$121,'DISPATCH SHEET'!C$3:C$121,""))</f>
        <v/>
      </c>
      <c r="C1647" s="14" t="str">
        <f>IF(ISBLANK(A1647),"",_xlfn.XLOOKUP(A1647,'DISPATCH SHEET'!C$3:C$121,'DISPATCH SHEET'!#REF!,""))</f>
        <v/>
      </c>
      <c r="D1647" s="26"/>
      <c r="E1647" s="26"/>
      <c r="F1647" s="26"/>
      <c r="G1647" s="26"/>
      <c r="H1647" s="26"/>
      <c r="I1647" s="26"/>
      <c r="J1647" s="26"/>
      <c r="K1647" s="26"/>
    </row>
    <row r="1648" spans="1:11" s="5" customFormat="1" ht="15" customHeight="1" x14ac:dyDescent="0.2">
      <c r="A1648" s="26"/>
      <c r="B1648" s="14" t="str">
        <f>IF(A1648="","",_xlfn.XLOOKUP(A1648,'DISPATCH SHEET'!B$3:B$121,'DISPATCH SHEET'!C$3:C$121,""))</f>
        <v/>
      </c>
      <c r="C1648" s="14" t="str">
        <f>IF(ISBLANK(A1648),"",_xlfn.XLOOKUP(A1648,'DISPATCH SHEET'!C$3:C$121,'DISPATCH SHEET'!#REF!,""))</f>
        <v/>
      </c>
      <c r="D1648" s="26"/>
      <c r="E1648" s="26"/>
      <c r="F1648" s="26"/>
      <c r="G1648" s="26"/>
      <c r="H1648" s="26"/>
      <c r="I1648" s="26"/>
      <c r="J1648" s="26"/>
      <c r="K1648" s="26"/>
    </row>
    <row r="1649" spans="1:11" s="5" customFormat="1" ht="15" customHeight="1" x14ac:dyDescent="0.2">
      <c r="A1649" s="26"/>
      <c r="B1649" s="14" t="str">
        <f>IF(A1649="","",_xlfn.XLOOKUP(A1649,'DISPATCH SHEET'!B$3:B$121,'DISPATCH SHEET'!C$3:C$121,""))</f>
        <v/>
      </c>
      <c r="C1649" s="14" t="str">
        <f>IF(ISBLANK(A1649),"",_xlfn.XLOOKUP(A1649,'DISPATCH SHEET'!C$3:C$121,'DISPATCH SHEET'!#REF!,""))</f>
        <v/>
      </c>
      <c r="D1649" s="26"/>
      <c r="E1649" s="26"/>
      <c r="F1649" s="26"/>
      <c r="G1649" s="26"/>
      <c r="H1649" s="26"/>
      <c r="I1649" s="26"/>
      <c r="J1649" s="26"/>
      <c r="K1649" s="26"/>
    </row>
    <row r="1650" spans="1:11" s="5" customFormat="1" ht="15" customHeight="1" x14ac:dyDescent="0.2">
      <c r="A1650" s="26"/>
      <c r="B1650" s="14" t="str">
        <f>IF(A1650="","",_xlfn.XLOOKUP(A1650,'DISPATCH SHEET'!B$3:B$121,'DISPATCH SHEET'!C$3:C$121,""))</f>
        <v/>
      </c>
      <c r="C1650" s="14" t="str">
        <f>IF(ISBLANK(A1650),"",_xlfn.XLOOKUP(A1650,'DISPATCH SHEET'!C$3:C$121,'DISPATCH SHEET'!#REF!,""))</f>
        <v/>
      </c>
      <c r="D1650" s="26"/>
      <c r="E1650" s="26"/>
      <c r="F1650" s="26"/>
      <c r="G1650" s="26"/>
      <c r="H1650" s="26"/>
      <c r="I1650" s="26"/>
      <c r="J1650" s="26"/>
      <c r="K1650" s="26"/>
    </row>
    <row r="1651" spans="1:11" s="5" customFormat="1" ht="15" customHeight="1" x14ac:dyDescent="0.2">
      <c r="A1651" s="26"/>
      <c r="B1651" s="14" t="str">
        <f>IF(A1651="","",_xlfn.XLOOKUP(A1651,'DISPATCH SHEET'!B$3:B$121,'DISPATCH SHEET'!C$3:C$121,""))</f>
        <v/>
      </c>
      <c r="C1651" s="14" t="str">
        <f>IF(ISBLANK(A1651),"",_xlfn.XLOOKUP(A1651,'DISPATCH SHEET'!C$3:C$121,'DISPATCH SHEET'!#REF!,""))</f>
        <v/>
      </c>
      <c r="D1651" s="26"/>
      <c r="E1651" s="26"/>
      <c r="F1651" s="26"/>
      <c r="G1651" s="26"/>
      <c r="H1651" s="26"/>
      <c r="I1651" s="26"/>
      <c r="J1651" s="26"/>
      <c r="K1651" s="26"/>
    </row>
    <row r="1652" spans="1:11" s="5" customFormat="1" ht="15" customHeight="1" x14ac:dyDescent="0.2">
      <c r="A1652" s="26"/>
      <c r="B1652" s="14" t="str">
        <f>IF(A1652="","",_xlfn.XLOOKUP(A1652,'DISPATCH SHEET'!B$3:B$121,'DISPATCH SHEET'!C$3:C$121,""))</f>
        <v/>
      </c>
      <c r="C1652" s="14" t="str">
        <f>IF(ISBLANK(A1652),"",_xlfn.XLOOKUP(A1652,'DISPATCH SHEET'!C$3:C$121,'DISPATCH SHEET'!#REF!,""))</f>
        <v/>
      </c>
      <c r="D1652" s="26"/>
      <c r="E1652" s="26"/>
      <c r="F1652" s="26"/>
      <c r="G1652" s="26"/>
      <c r="H1652" s="26"/>
      <c r="I1652" s="26"/>
      <c r="J1652" s="26"/>
      <c r="K1652" s="26"/>
    </row>
    <row r="1653" spans="1:11" s="5" customFormat="1" ht="15" customHeight="1" x14ac:dyDescent="0.2">
      <c r="A1653" s="26"/>
      <c r="B1653" s="14" t="str">
        <f>IF(A1653="","",_xlfn.XLOOKUP(A1653,'DISPATCH SHEET'!B$3:B$121,'DISPATCH SHEET'!C$3:C$121,""))</f>
        <v/>
      </c>
      <c r="C1653" s="14" t="str">
        <f>IF(ISBLANK(A1653),"",_xlfn.XLOOKUP(A1653,'DISPATCH SHEET'!C$3:C$121,'DISPATCH SHEET'!#REF!,""))</f>
        <v/>
      </c>
      <c r="D1653" s="26"/>
      <c r="E1653" s="26"/>
      <c r="F1653" s="26"/>
      <c r="G1653" s="26"/>
      <c r="H1653" s="26"/>
      <c r="I1653" s="26"/>
      <c r="J1653" s="26"/>
      <c r="K1653" s="26"/>
    </row>
    <row r="1654" spans="1:11" s="5" customFormat="1" ht="15" customHeight="1" x14ac:dyDescent="0.2">
      <c r="A1654" s="26"/>
      <c r="B1654" s="14" t="str">
        <f>IF(A1654="","",_xlfn.XLOOKUP(A1654,'DISPATCH SHEET'!B$3:B$121,'DISPATCH SHEET'!C$3:C$121,""))</f>
        <v/>
      </c>
      <c r="C1654" s="14" t="str">
        <f>IF(ISBLANK(A1654),"",_xlfn.XLOOKUP(A1654,'DISPATCH SHEET'!C$3:C$121,'DISPATCH SHEET'!#REF!,""))</f>
        <v/>
      </c>
      <c r="D1654" s="26"/>
      <c r="E1654" s="26"/>
      <c r="F1654" s="26"/>
      <c r="G1654" s="26"/>
      <c r="H1654" s="26"/>
      <c r="I1654" s="26"/>
      <c r="J1654" s="26"/>
      <c r="K1654" s="26"/>
    </row>
    <row r="1655" spans="1:11" s="5" customFormat="1" ht="15" customHeight="1" x14ac:dyDescent="0.2">
      <c r="A1655" s="26"/>
      <c r="B1655" s="14" t="str">
        <f>IF(A1655="","",_xlfn.XLOOKUP(A1655,'DISPATCH SHEET'!B$3:B$121,'DISPATCH SHEET'!C$3:C$121,""))</f>
        <v/>
      </c>
      <c r="C1655" s="14" t="str">
        <f>IF(ISBLANK(A1655),"",_xlfn.XLOOKUP(A1655,'DISPATCH SHEET'!C$3:C$121,'DISPATCH SHEET'!#REF!,""))</f>
        <v/>
      </c>
      <c r="D1655" s="26"/>
      <c r="E1655" s="26"/>
      <c r="F1655" s="26"/>
      <c r="G1655" s="26"/>
      <c r="H1655" s="26"/>
      <c r="I1655" s="26"/>
      <c r="J1655" s="26"/>
      <c r="K1655" s="26"/>
    </row>
    <row r="1656" spans="1:11" s="5" customFormat="1" ht="15" customHeight="1" x14ac:dyDescent="0.2">
      <c r="A1656" s="26"/>
      <c r="B1656" s="14" t="str">
        <f>IF(A1656="","",_xlfn.XLOOKUP(A1656,'DISPATCH SHEET'!B$3:B$121,'DISPATCH SHEET'!C$3:C$121,""))</f>
        <v/>
      </c>
      <c r="C1656" s="14" t="str">
        <f>IF(ISBLANK(A1656),"",_xlfn.XLOOKUP(A1656,'DISPATCH SHEET'!C$3:C$121,'DISPATCH SHEET'!#REF!,""))</f>
        <v/>
      </c>
      <c r="D1656" s="26"/>
      <c r="E1656" s="26"/>
      <c r="F1656" s="26"/>
      <c r="G1656" s="26"/>
      <c r="H1656" s="26"/>
      <c r="I1656" s="26"/>
      <c r="J1656" s="26"/>
      <c r="K1656" s="26"/>
    </row>
    <row r="1657" spans="1:11" s="5" customFormat="1" ht="15" customHeight="1" x14ac:dyDescent="0.2">
      <c r="A1657" s="26"/>
      <c r="B1657" s="14" t="str">
        <f>IF(A1657="","",_xlfn.XLOOKUP(A1657,'DISPATCH SHEET'!B$3:B$121,'DISPATCH SHEET'!C$3:C$121,""))</f>
        <v/>
      </c>
      <c r="C1657" s="14" t="str">
        <f>IF(ISBLANK(A1657),"",_xlfn.XLOOKUP(A1657,'DISPATCH SHEET'!C$3:C$121,'DISPATCH SHEET'!#REF!,""))</f>
        <v/>
      </c>
      <c r="D1657" s="26"/>
      <c r="E1657" s="26"/>
      <c r="F1657" s="26"/>
      <c r="G1657" s="26"/>
      <c r="H1657" s="26"/>
      <c r="I1657" s="26"/>
      <c r="J1657" s="26"/>
      <c r="K1657" s="26"/>
    </row>
    <row r="1658" spans="1:11" s="5" customFormat="1" ht="15" customHeight="1" x14ac:dyDescent="0.2">
      <c r="A1658" s="26"/>
      <c r="B1658" s="14" t="str">
        <f>IF(A1658="","",_xlfn.XLOOKUP(A1658,'DISPATCH SHEET'!B$3:B$121,'DISPATCH SHEET'!C$3:C$121,""))</f>
        <v/>
      </c>
      <c r="C1658" s="14" t="str">
        <f>IF(ISBLANK(A1658),"",_xlfn.XLOOKUP(A1658,'DISPATCH SHEET'!C$3:C$121,'DISPATCH SHEET'!#REF!,""))</f>
        <v/>
      </c>
      <c r="D1658" s="26"/>
      <c r="E1658" s="26"/>
      <c r="F1658" s="26"/>
      <c r="G1658" s="26"/>
      <c r="H1658" s="26"/>
      <c r="I1658" s="26"/>
      <c r="J1658" s="26"/>
      <c r="K1658" s="26"/>
    </row>
    <row r="1659" spans="1:11" s="5" customFormat="1" ht="15" customHeight="1" x14ac:dyDescent="0.2">
      <c r="A1659" s="26"/>
      <c r="B1659" s="14" t="str">
        <f>IF(A1659="","",_xlfn.XLOOKUP(A1659,'DISPATCH SHEET'!B$3:B$121,'DISPATCH SHEET'!C$3:C$121,""))</f>
        <v/>
      </c>
      <c r="C1659" s="14" t="str">
        <f>IF(ISBLANK(A1659),"",_xlfn.XLOOKUP(A1659,'DISPATCH SHEET'!C$3:C$121,'DISPATCH SHEET'!#REF!,""))</f>
        <v/>
      </c>
      <c r="D1659" s="26"/>
      <c r="E1659" s="26"/>
      <c r="F1659" s="26"/>
      <c r="G1659" s="26"/>
      <c r="H1659" s="26"/>
      <c r="I1659" s="26"/>
      <c r="J1659" s="26"/>
      <c r="K1659" s="26"/>
    </row>
    <row r="1660" spans="1:11" s="5" customFormat="1" ht="15" customHeight="1" x14ac:dyDescent="0.2">
      <c r="A1660" s="26"/>
      <c r="B1660" s="14" t="str">
        <f>IF(A1660="","",_xlfn.XLOOKUP(A1660,'DISPATCH SHEET'!B$3:B$121,'DISPATCH SHEET'!C$3:C$121,""))</f>
        <v/>
      </c>
      <c r="C1660" s="14" t="str">
        <f>IF(ISBLANK(A1660),"",_xlfn.XLOOKUP(A1660,'DISPATCH SHEET'!C$3:C$121,'DISPATCH SHEET'!#REF!,""))</f>
        <v/>
      </c>
      <c r="D1660" s="26"/>
      <c r="E1660" s="26"/>
      <c r="F1660" s="26"/>
      <c r="G1660" s="26"/>
      <c r="H1660" s="26"/>
      <c r="I1660" s="26"/>
      <c r="J1660" s="26"/>
      <c r="K1660" s="26"/>
    </row>
    <row r="1661" spans="1:11" s="5" customFormat="1" ht="15" customHeight="1" x14ac:dyDescent="0.2">
      <c r="A1661" s="26"/>
      <c r="B1661" s="14" t="str">
        <f>IF(A1661="","",_xlfn.XLOOKUP(A1661,'DISPATCH SHEET'!B$3:B$121,'DISPATCH SHEET'!C$3:C$121,""))</f>
        <v/>
      </c>
      <c r="C1661" s="14" t="str">
        <f>IF(ISBLANK(A1661),"",_xlfn.XLOOKUP(A1661,'DISPATCH SHEET'!C$3:C$121,'DISPATCH SHEET'!#REF!,""))</f>
        <v/>
      </c>
      <c r="D1661" s="26"/>
      <c r="E1661" s="26"/>
      <c r="F1661" s="26"/>
      <c r="G1661" s="26"/>
      <c r="H1661" s="26"/>
      <c r="I1661" s="26"/>
      <c r="J1661" s="26"/>
      <c r="K1661" s="26"/>
    </row>
    <row r="1662" spans="1:11" s="5" customFormat="1" ht="15" customHeight="1" x14ac:dyDescent="0.2">
      <c r="A1662" s="26"/>
      <c r="B1662" s="14" t="str">
        <f>IF(A1662="","",_xlfn.XLOOKUP(A1662,'DISPATCH SHEET'!B$3:B$121,'DISPATCH SHEET'!C$3:C$121,""))</f>
        <v/>
      </c>
      <c r="C1662" s="14" t="str">
        <f>IF(ISBLANK(A1662),"",_xlfn.XLOOKUP(A1662,'DISPATCH SHEET'!C$3:C$121,'DISPATCH SHEET'!#REF!,""))</f>
        <v/>
      </c>
      <c r="D1662" s="26"/>
      <c r="E1662" s="26"/>
      <c r="F1662" s="26"/>
      <c r="G1662" s="26"/>
      <c r="H1662" s="26"/>
      <c r="I1662" s="26"/>
      <c r="J1662" s="26"/>
      <c r="K1662" s="26"/>
    </row>
    <row r="1663" spans="1:11" s="5" customFormat="1" ht="15" customHeight="1" x14ac:dyDescent="0.2">
      <c r="A1663" s="26"/>
      <c r="B1663" s="14" t="str">
        <f>IF(A1663="","",_xlfn.XLOOKUP(A1663,'DISPATCH SHEET'!B$3:B$121,'DISPATCH SHEET'!C$3:C$121,""))</f>
        <v/>
      </c>
      <c r="C1663" s="14" t="str">
        <f>IF(ISBLANK(A1663),"",_xlfn.XLOOKUP(A1663,'DISPATCH SHEET'!C$3:C$121,'DISPATCH SHEET'!#REF!,""))</f>
        <v/>
      </c>
      <c r="D1663" s="26"/>
      <c r="E1663" s="26"/>
      <c r="F1663" s="26"/>
      <c r="G1663" s="26"/>
      <c r="H1663" s="26"/>
      <c r="I1663" s="26"/>
      <c r="J1663" s="26"/>
      <c r="K1663" s="26"/>
    </row>
    <row r="1664" spans="1:11" s="5" customFormat="1" ht="15" customHeight="1" x14ac:dyDescent="0.2">
      <c r="A1664" s="26"/>
      <c r="B1664" s="14" t="str">
        <f>IF(A1664="","",_xlfn.XLOOKUP(A1664,'DISPATCH SHEET'!B$3:B$121,'DISPATCH SHEET'!C$3:C$121,""))</f>
        <v/>
      </c>
      <c r="C1664" s="14" t="str">
        <f>IF(ISBLANK(A1664),"",_xlfn.XLOOKUP(A1664,'DISPATCH SHEET'!C$3:C$121,'DISPATCH SHEET'!#REF!,""))</f>
        <v/>
      </c>
      <c r="D1664" s="26"/>
      <c r="E1664" s="26"/>
      <c r="F1664" s="26"/>
      <c r="G1664" s="26"/>
      <c r="H1664" s="26"/>
      <c r="I1664" s="26"/>
      <c r="J1664" s="26"/>
      <c r="K1664" s="26"/>
    </row>
    <row r="1665" spans="1:11" s="5" customFormat="1" ht="15" customHeight="1" x14ac:dyDescent="0.2">
      <c r="A1665" s="26"/>
      <c r="B1665" s="14" t="str">
        <f>IF(A1665="","",_xlfn.XLOOKUP(A1665,'DISPATCH SHEET'!B$3:B$121,'DISPATCH SHEET'!C$3:C$121,""))</f>
        <v/>
      </c>
      <c r="C1665" s="14" t="str">
        <f>IF(ISBLANK(A1665),"",_xlfn.XLOOKUP(A1665,'DISPATCH SHEET'!C$3:C$121,'DISPATCH SHEET'!#REF!,""))</f>
        <v/>
      </c>
      <c r="D1665" s="26"/>
      <c r="E1665" s="26"/>
      <c r="F1665" s="26"/>
      <c r="G1665" s="26"/>
      <c r="H1665" s="26"/>
      <c r="I1665" s="26"/>
      <c r="J1665" s="26"/>
      <c r="K1665" s="26"/>
    </row>
    <row r="1666" spans="1:11" s="5" customFormat="1" ht="15" customHeight="1" x14ac:dyDescent="0.2">
      <c r="A1666" s="26"/>
      <c r="B1666" s="14" t="str">
        <f>IF(A1666="","",_xlfn.XLOOKUP(A1666,'DISPATCH SHEET'!B$3:B$121,'DISPATCH SHEET'!C$3:C$121,""))</f>
        <v/>
      </c>
      <c r="C1666" s="14" t="str">
        <f>IF(ISBLANK(A1666),"",_xlfn.XLOOKUP(A1666,'DISPATCH SHEET'!C$3:C$121,'DISPATCH SHEET'!#REF!,""))</f>
        <v/>
      </c>
      <c r="D1666" s="26"/>
      <c r="E1666" s="26"/>
      <c r="F1666" s="26"/>
      <c r="G1666" s="26"/>
      <c r="H1666" s="26"/>
      <c r="I1666" s="26"/>
      <c r="J1666" s="26"/>
      <c r="K1666" s="26"/>
    </row>
    <row r="1667" spans="1:11" s="5" customFormat="1" ht="15" customHeight="1" x14ac:dyDescent="0.2">
      <c r="A1667" s="26"/>
      <c r="B1667" s="14" t="str">
        <f>IF(A1667="","",_xlfn.XLOOKUP(A1667,'DISPATCH SHEET'!B$3:B$121,'DISPATCH SHEET'!C$3:C$121,""))</f>
        <v/>
      </c>
      <c r="C1667" s="14" t="str">
        <f>IF(ISBLANK(A1667),"",_xlfn.XLOOKUP(A1667,'DISPATCH SHEET'!C$3:C$121,'DISPATCH SHEET'!#REF!,""))</f>
        <v/>
      </c>
      <c r="D1667" s="26"/>
      <c r="E1667" s="26"/>
      <c r="F1667" s="26"/>
      <c r="G1667" s="26"/>
      <c r="H1667" s="26"/>
      <c r="I1667" s="26"/>
      <c r="J1667" s="26"/>
      <c r="K1667" s="26"/>
    </row>
    <row r="1668" spans="1:11" s="5" customFormat="1" ht="15" customHeight="1" x14ac:dyDescent="0.2">
      <c r="A1668" s="26"/>
      <c r="B1668" s="14" t="str">
        <f>IF(A1668="","",_xlfn.XLOOKUP(A1668,'DISPATCH SHEET'!B$3:B$121,'DISPATCH SHEET'!C$3:C$121,""))</f>
        <v/>
      </c>
      <c r="C1668" s="14" t="str">
        <f>IF(ISBLANK(A1668),"",_xlfn.XLOOKUP(A1668,'DISPATCH SHEET'!C$3:C$121,'DISPATCH SHEET'!#REF!,""))</f>
        <v/>
      </c>
      <c r="D1668" s="26"/>
      <c r="E1668" s="26"/>
      <c r="F1668" s="26"/>
      <c r="G1668" s="26"/>
      <c r="H1668" s="26"/>
      <c r="I1668" s="26"/>
      <c r="J1668" s="26"/>
      <c r="K1668" s="26"/>
    </row>
    <row r="1669" spans="1:11" s="5" customFormat="1" ht="15" customHeight="1" x14ac:dyDescent="0.2">
      <c r="A1669" s="26"/>
      <c r="B1669" s="14" t="str">
        <f>IF(A1669="","",_xlfn.XLOOKUP(A1669,'DISPATCH SHEET'!B$3:B$121,'DISPATCH SHEET'!C$3:C$121,""))</f>
        <v/>
      </c>
      <c r="C1669" s="14" t="str">
        <f>IF(ISBLANK(A1669),"",_xlfn.XLOOKUP(A1669,'DISPATCH SHEET'!C$3:C$121,'DISPATCH SHEET'!#REF!,""))</f>
        <v/>
      </c>
      <c r="D1669" s="26"/>
      <c r="E1669" s="26"/>
      <c r="F1669" s="26"/>
      <c r="G1669" s="26"/>
      <c r="H1669" s="26"/>
      <c r="I1669" s="26"/>
      <c r="J1669" s="26"/>
      <c r="K1669" s="26"/>
    </row>
    <row r="1670" spans="1:11" s="5" customFormat="1" ht="15" customHeight="1" x14ac:dyDescent="0.2">
      <c r="A1670" s="26"/>
      <c r="B1670" s="14" t="str">
        <f>IF(A1670="","",_xlfn.XLOOKUP(A1670,'DISPATCH SHEET'!B$3:B$121,'DISPATCH SHEET'!C$3:C$121,""))</f>
        <v/>
      </c>
      <c r="C1670" s="14" t="str">
        <f>IF(ISBLANK(A1670),"",_xlfn.XLOOKUP(A1670,'DISPATCH SHEET'!C$3:C$121,'DISPATCH SHEET'!#REF!,""))</f>
        <v/>
      </c>
      <c r="D1670" s="26"/>
      <c r="E1670" s="26"/>
      <c r="F1670" s="26"/>
      <c r="G1670" s="26"/>
      <c r="H1670" s="26"/>
      <c r="I1670" s="26"/>
      <c r="J1670" s="26"/>
      <c r="K1670" s="26"/>
    </row>
    <row r="1671" spans="1:11" s="5" customFormat="1" ht="15" customHeight="1" x14ac:dyDescent="0.2">
      <c r="A1671" s="26"/>
      <c r="B1671" s="14" t="str">
        <f>IF(A1671="","",_xlfn.XLOOKUP(A1671,'DISPATCH SHEET'!B$3:B$121,'DISPATCH SHEET'!C$3:C$121,""))</f>
        <v/>
      </c>
      <c r="C1671" s="14" t="str">
        <f>IF(ISBLANK(A1671),"",_xlfn.XLOOKUP(A1671,'DISPATCH SHEET'!C$3:C$121,'DISPATCH SHEET'!#REF!,""))</f>
        <v/>
      </c>
      <c r="D1671" s="26"/>
      <c r="E1671" s="26"/>
      <c r="F1671" s="26"/>
      <c r="G1671" s="26"/>
      <c r="H1671" s="26"/>
      <c r="I1671" s="26"/>
      <c r="J1671" s="26"/>
      <c r="K1671" s="26"/>
    </row>
    <row r="1672" spans="1:11" s="5" customFormat="1" ht="15" customHeight="1" x14ac:dyDescent="0.2">
      <c r="A1672" s="26"/>
      <c r="B1672" s="14" t="str">
        <f>IF(A1672="","",_xlfn.XLOOKUP(A1672,'DISPATCH SHEET'!B$3:B$121,'DISPATCH SHEET'!C$3:C$121,""))</f>
        <v/>
      </c>
      <c r="C1672" s="14" t="str">
        <f>IF(ISBLANK(A1672),"",_xlfn.XLOOKUP(A1672,'DISPATCH SHEET'!C$3:C$121,'DISPATCH SHEET'!#REF!,""))</f>
        <v/>
      </c>
      <c r="D1672" s="26"/>
      <c r="E1672" s="26"/>
      <c r="F1672" s="26"/>
      <c r="G1672" s="26"/>
      <c r="H1672" s="26"/>
      <c r="I1672" s="26"/>
      <c r="J1672" s="26"/>
      <c r="K1672" s="26"/>
    </row>
    <row r="1673" spans="1:11" s="5" customFormat="1" ht="15" customHeight="1" x14ac:dyDescent="0.2">
      <c r="A1673" s="26"/>
      <c r="B1673" s="14" t="str">
        <f>IF(A1673="","",_xlfn.XLOOKUP(A1673,'DISPATCH SHEET'!B$3:B$121,'DISPATCH SHEET'!C$3:C$121,""))</f>
        <v/>
      </c>
      <c r="C1673" s="14" t="str">
        <f>IF(ISBLANK(A1673),"",_xlfn.XLOOKUP(A1673,'DISPATCH SHEET'!C$3:C$121,'DISPATCH SHEET'!#REF!,""))</f>
        <v/>
      </c>
      <c r="D1673" s="26"/>
      <c r="E1673" s="26"/>
      <c r="F1673" s="26"/>
      <c r="G1673" s="26"/>
      <c r="H1673" s="26"/>
      <c r="I1673" s="26"/>
      <c r="J1673" s="26"/>
      <c r="K1673" s="26"/>
    </row>
    <row r="1674" spans="1:11" s="5" customFormat="1" ht="15" customHeight="1" x14ac:dyDescent="0.2">
      <c r="A1674" s="26"/>
      <c r="B1674" s="14" t="str">
        <f>IF(A1674="","",_xlfn.XLOOKUP(A1674,'DISPATCH SHEET'!B$3:B$121,'DISPATCH SHEET'!C$3:C$121,""))</f>
        <v/>
      </c>
      <c r="C1674" s="14" t="str">
        <f>IF(ISBLANK(A1674),"",_xlfn.XLOOKUP(A1674,'DISPATCH SHEET'!C$3:C$121,'DISPATCH SHEET'!#REF!,""))</f>
        <v/>
      </c>
      <c r="D1674" s="26"/>
      <c r="E1674" s="26"/>
      <c r="F1674" s="26"/>
      <c r="G1674" s="26"/>
      <c r="H1674" s="26"/>
      <c r="I1674" s="26"/>
      <c r="J1674" s="26"/>
      <c r="K1674" s="26"/>
    </row>
    <row r="1675" spans="1:11" s="5" customFormat="1" ht="15" customHeight="1" x14ac:dyDescent="0.2">
      <c r="A1675" s="26"/>
      <c r="B1675" s="14" t="str">
        <f>IF(A1675="","",_xlfn.XLOOKUP(A1675,'DISPATCH SHEET'!B$3:B$121,'DISPATCH SHEET'!C$3:C$121,""))</f>
        <v/>
      </c>
      <c r="C1675" s="14" t="str">
        <f>IF(ISBLANK(A1675),"",_xlfn.XLOOKUP(A1675,'DISPATCH SHEET'!C$3:C$121,'DISPATCH SHEET'!#REF!,""))</f>
        <v/>
      </c>
      <c r="D1675" s="26"/>
      <c r="E1675" s="26"/>
      <c r="F1675" s="26"/>
      <c r="G1675" s="26"/>
      <c r="H1675" s="26"/>
      <c r="I1675" s="26"/>
      <c r="J1675" s="26"/>
      <c r="K1675" s="26"/>
    </row>
    <row r="1676" spans="1:11" s="5" customFormat="1" ht="15" customHeight="1" x14ac:dyDescent="0.2">
      <c r="A1676" s="26"/>
      <c r="B1676" s="14" t="str">
        <f>IF(A1676="","",_xlfn.XLOOKUP(A1676,'DISPATCH SHEET'!B$3:B$121,'DISPATCH SHEET'!C$3:C$121,""))</f>
        <v/>
      </c>
      <c r="C1676" s="14" t="str">
        <f>IF(ISBLANK(A1676),"",_xlfn.XLOOKUP(A1676,'DISPATCH SHEET'!C$3:C$121,'DISPATCH SHEET'!#REF!,""))</f>
        <v/>
      </c>
      <c r="D1676" s="26"/>
      <c r="E1676" s="26"/>
      <c r="F1676" s="26"/>
      <c r="G1676" s="26"/>
      <c r="H1676" s="26"/>
      <c r="I1676" s="26"/>
      <c r="J1676" s="26"/>
      <c r="K1676" s="26"/>
    </row>
    <row r="1677" spans="1:11" s="5" customFormat="1" ht="15" customHeight="1" x14ac:dyDescent="0.2">
      <c r="A1677" s="26"/>
      <c r="B1677" s="14" t="str">
        <f>IF(A1677="","",_xlfn.XLOOKUP(A1677,'DISPATCH SHEET'!B$3:B$121,'DISPATCH SHEET'!C$3:C$121,""))</f>
        <v/>
      </c>
      <c r="C1677" s="14" t="str">
        <f>IF(ISBLANK(A1677),"",_xlfn.XLOOKUP(A1677,'DISPATCH SHEET'!C$3:C$121,'DISPATCH SHEET'!#REF!,""))</f>
        <v/>
      </c>
      <c r="D1677" s="26"/>
      <c r="E1677" s="26"/>
      <c r="F1677" s="26"/>
      <c r="G1677" s="26"/>
      <c r="H1677" s="26"/>
      <c r="I1677" s="26"/>
      <c r="J1677" s="26"/>
      <c r="K1677" s="26"/>
    </row>
    <row r="1678" spans="1:11" s="5" customFormat="1" ht="15" customHeight="1" x14ac:dyDescent="0.2">
      <c r="A1678" s="26"/>
      <c r="B1678" s="14" t="str">
        <f>IF(A1678="","",_xlfn.XLOOKUP(A1678,'DISPATCH SHEET'!B$3:B$121,'DISPATCH SHEET'!C$3:C$121,""))</f>
        <v/>
      </c>
      <c r="C1678" s="14" t="str">
        <f>IF(ISBLANK(A1678),"",_xlfn.XLOOKUP(A1678,'DISPATCH SHEET'!C$3:C$121,'DISPATCH SHEET'!#REF!,""))</f>
        <v/>
      </c>
      <c r="D1678" s="26"/>
      <c r="E1678" s="26"/>
      <c r="F1678" s="26"/>
      <c r="G1678" s="26"/>
      <c r="H1678" s="26"/>
      <c r="I1678" s="26"/>
      <c r="J1678" s="26"/>
      <c r="K1678" s="26"/>
    </row>
    <row r="1679" spans="1:11" s="5" customFormat="1" ht="15" customHeight="1" x14ac:dyDescent="0.2">
      <c r="A1679" s="26"/>
      <c r="B1679" s="14" t="str">
        <f>IF(A1679="","",_xlfn.XLOOKUP(A1679,'DISPATCH SHEET'!B$3:B$121,'DISPATCH SHEET'!C$3:C$121,""))</f>
        <v/>
      </c>
      <c r="C1679" s="14" t="str">
        <f>IF(ISBLANK(A1679),"",_xlfn.XLOOKUP(A1679,'DISPATCH SHEET'!C$3:C$121,'DISPATCH SHEET'!#REF!,""))</f>
        <v/>
      </c>
      <c r="D1679" s="26"/>
      <c r="E1679" s="26"/>
      <c r="F1679" s="26"/>
      <c r="G1679" s="26"/>
      <c r="H1679" s="26"/>
      <c r="I1679" s="26"/>
      <c r="J1679" s="26"/>
      <c r="K1679" s="26"/>
    </row>
    <row r="1680" spans="1:11" s="5" customFormat="1" ht="15" customHeight="1" x14ac:dyDescent="0.2">
      <c r="A1680" s="26"/>
      <c r="B1680" s="14" t="str">
        <f>IF(A1680="","",_xlfn.XLOOKUP(A1680,'DISPATCH SHEET'!B$3:B$121,'DISPATCH SHEET'!C$3:C$121,""))</f>
        <v/>
      </c>
      <c r="C1680" s="14" t="str">
        <f>IF(ISBLANK(A1680),"",_xlfn.XLOOKUP(A1680,'DISPATCH SHEET'!C$3:C$121,'DISPATCH SHEET'!#REF!,""))</f>
        <v/>
      </c>
      <c r="D1680" s="26"/>
      <c r="E1680" s="26"/>
      <c r="F1680" s="26"/>
      <c r="G1680" s="26"/>
      <c r="H1680" s="26"/>
      <c r="I1680" s="26"/>
      <c r="J1680" s="26"/>
      <c r="K1680" s="26"/>
    </row>
    <row r="1681" spans="1:11" s="5" customFormat="1" ht="15" customHeight="1" x14ac:dyDescent="0.2">
      <c r="A1681" s="26"/>
      <c r="B1681" s="14" t="str">
        <f>IF(A1681="","",_xlfn.XLOOKUP(A1681,'DISPATCH SHEET'!B$3:B$121,'DISPATCH SHEET'!C$3:C$121,""))</f>
        <v/>
      </c>
      <c r="C1681" s="14" t="str">
        <f>IF(ISBLANK(A1681),"",_xlfn.XLOOKUP(A1681,'DISPATCH SHEET'!C$3:C$121,'DISPATCH SHEET'!#REF!,""))</f>
        <v/>
      </c>
      <c r="D1681" s="26"/>
      <c r="E1681" s="26"/>
      <c r="F1681" s="26"/>
      <c r="G1681" s="26"/>
      <c r="H1681" s="26"/>
      <c r="I1681" s="26"/>
      <c r="J1681" s="26"/>
      <c r="K1681" s="26"/>
    </row>
    <row r="1682" spans="1:11" s="5" customFormat="1" ht="15" customHeight="1" x14ac:dyDescent="0.2">
      <c r="A1682" s="26"/>
      <c r="B1682" s="14" t="str">
        <f>IF(A1682="","",_xlfn.XLOOKUP(A1682,'DISPATCH SHEET'!B$3:B$121,'DISPATCH SHEET'!C$3:C$121,""))</f>
        <v/>
      </c>
      <c r="C1682" s="14" t="str">
        <f>IF(ISBLANK(A1682),"",_xlfn.XLOOKUP(A1682,'DISPATCH SHEET'!C$3:C$121,'DISPATCH SHEET'!#REF!,""))</f>
        <v/>
      </c>
      <c r="D1682" s="26"/>
      <c r="E1682" s="26"/>
      <c r="F1682" s="26"/>
      <c r="G1682" s="26"/>
      <c r="H1682" s="26"/>
      <c r="I1682" s="26"/>
      <c r="J1682" s="26"/>
      <c r="K1682" s="26"/>
    </row>
    <row r="1683" spans="1:11" s="5" customFormat="1" ht="15" customHeight="1" x14ac:dyDescent="0.2">
      <c r="A1683" s="26"/>
      <c r="B1683" s="14" t="str">
        <f>IF(A1683="","",_xlfn.XLOOKUP(A1683,'DISPATCH SHEET'!B$3:B$121,'DISPATCH SHEET'!C$3:C$121,""))</f>
        <v/>
      </c>
      <c r="C1683" s="14" t="str">
        <f>IF(ISBLANK(A1683),"",_xlfn.XLOOKUP(A1683,'DISPATCH SHEET'!C$3:C$121,'DISPATCH SHEET'!#REF!,""))</f>
        <v/>
      </c>
      <c r="D1683" s="26"/>
      <c r="E1683" s="26"/>
      <c r="F1683" s="26"/>
      <c r="G1683" s="26"/>
      <c r="H1683" s="26"/>
      <c r="I1683" s="26"/>
      <c r="J1683" s="26"/>
      <c r="K1683" s="26"/>
    </row>
    <row r="1684" spans="1:11" s="5" customFormat="1" ht="15" customHeight="1" x14ac:dyDescent="0.2">
      <c r="A1684" s="26"/>
      <c r="B1684" s="14" t="str">
        <f>IF(A1684="","",_xlfn.XLOOKUP(A1684,'DISPATCH SHEET'!B$3:B$121,'DISPATCH SHEET'!C$3:C$121,""))</f>
        <v/>
      </c>
      <c r="C1684" s="14" t="str">
        <f>IF(ISBLANK(A1684),"",_xlfn.XLOOKUP(A1684,'DISPATCH SHEET'!C$3:C$121,'DISPATCH SHEET'!#REF!,""))</f>
        <v/>
      </c>
      <c r="D1684" s="26"/>
      <c r="E1684" s="26"/>
      <c r="F1684" s="26"/>
      <c r="G1684" s="26"/>
      <c r="H1684" s="26"/>
      <c r="I1684" s="26"/>
      <c r="J1684" s="26"/>
      <c r="K1684" s="26"/>
    </row>
    <row r="1685" spans="1:11" s="5" customFormat="1" ht="15" customHeight="1" x14ac:dyDescent="0.2">
      <c r="A1685" s="26"/>
      <c r="B1685" s="14" t="str">
        <f>IF(A1685="","",_xlfn.XLOOKUP(A1685,'DISPATCH SHEET'!B$3:B$121,'DISPATCH SHEET'!C$3:C$121,""))</f>
        <v/>
      </c>
      <c r="C1685" s="14" t="str">
        <f>IF(ISBLANK(A1685),"",_xlfn.XLOOKUP(A1685,'DISPATCH SHEET'!C$3:C$121,'DISPATCH SHEET'!#REF!,""))</f>
        <v/>
      </c>
      <c r="D1685" s="26"/>
      <c r="E1685" s="26"/>
      <c r="F1685" s="26"/>
      <c r="G1685" s="26"/>
      <c r="H1685" s="26"/>
      <c r="I1685" s="26"/>
      <c r="J1685" s="26"/>
      <c r="K1685" s="26"/>
    </row>
    <row r="1686" spans="1:11" s="5" customFormat="1" ht="15" customHeight="1" x14ac:dyDescent="0.2">
      <c r="A1686" s="26"/>
      <c r="B1686" s="14" t="str">
        <f>IF(A1686="","",_xlfn.XLOOKUP(A1686,'DISPATCH SHEET'!B$3:B$121,'DISPATCH SHEET'!C$3:C$121,""))</f>
        <v/>
      </c>
      <c r="C1686" s="14" t="str">
        <f>IF(ISBLANK(A1686),"",_xlfn.XLOOKUP(A1686,'DISPATCH SHEET'!C$3:C$121,'DISPATCH SHEET'!#REF!,""))</f>
        <v/>
      </c>
      <c r="D1686" s="26"/>
      <c r="E1686" s="26"/>
      <c r="F1686" s="26"/>
      <c r="G1686" s="26"/>
      <c r="H1686" s="26"/>
      <c r="I1686" s="26"/>
      <c r="J1686" s="26"/>
      <c r="K1686" s="26"/>
    </row>
    <row r="1687" spans="1:11" s="5" customFormat="1" ht="15" customHeight="1" x14ac:dyDescent="0.2">
      <c r="A1687" s="26"/>
      <c r="B1687" s="14" t="str">
        <f>IF(A1687="","",_xlfn.XLOOKUP(A1687,'DISPATCH SHEET'!B$3:B$121,'DISPATCH SHEET'!C$3:C$121,""))</f>
        <v/>
      </c>
      <c r="C1687" s="14" t="str">
        <f>IF(ISBLANK(A1687),"",_xlfn.XLOOKUP(A1687,'DISPATCH SHEET'!C$3:C$121,'DISPATCH SHEET'!#REF!,""))</f>
        <v/>
      </c>
      <c r="D1687" s="26"/>
      <c r="E1687" s="26"/>
      <c r="F1687" s="26"/>
      <c r="G1687" s="26"/>
      <c r="H1687" s="26"/>
      <c r="I1687" s="26"/>
      <c r="J1687" s="26"/>
      <c r="K1687" s="26"/>
    </row>
    <row r="1688" spans="1:11" s="5" customFormat="1" ht="15" customHeight="1" x14ac:dyDescent="0.2">
      <c r="A1688" s="26"/>
      <c r="B1688" s="14" t="str">
        <f>IF(A1688="","",_xlfn.XLOOKUP(A1688,'DISPATCH SHEET'!B$3:B$121,'DISPATCH SHEET'!C$3:C$121,""))</f>
        <v/>
      </c>
      <c r="C1688" s="14" t="str">
        <f>IF(ISBLANK(A1688),"",_xlfn.XLOOKUP(A1688,'DISPATCH SHEET'!C$3:C$121,'DISPATCH SHEET'!#REF!,""))</f>
        <v/>
      </c>
      <c r="D1688" s="26"/>
      <c r="E1688" s="26"/>
      <c r="F1688" s="26"/>
      <c r="G1688" s="26"/>
      <c r="H1688" s="26"/>
      <c r="I1688" s="26"/>
      <c r="J1688" s="26"/>
      <c r="K1688" s="26"/>
    </row>
    <row r="1689" spans="1:11" s="5" customFormat="1" ht="15" customHeight="1" x14ac:dyDescent="0.2">
      <c r="A1689" s="26"/>
      <c r="B1689" s="14" t="str">
        <f>IF(A1689="","",_xlfn.XLOOKUP(A1689,'DISPATCH SHEET'!B$3:B$121,'DISPATCH SHEET'!C$3:C$121,""))</f>
        <v/>
      </c>
      <c r="C1689" s="14" t="str">
        <f>IF(ISBLANK(A1689),"",_xlfn.XLOOKUP(A1689,'DISPATCH SHEET'!C$3:C$121,'DISPATCH SHEET'!#REF!,""))</f>
        <v/>
      </c>
      <c r="D1689" s="26"/>
      <c r="E1689" s="26"/>
      <c r="F1689" s="26"/>
      <c r="G1689" s="26"/>
      <c r="H1689" s="26"/>
      <c r="I1689" s="26"/>
      <c r="J1689" s="26"/>
      <c r="K1689" s="26"/>
    </row>
    <row r="1690" spans="1:11" s="5" customFormat="1" ht="15" customHeight="1" x14ac:dyDescent="0.2">
      <c r="A1690" s="26"/>
      <c r="B1690" s="14" t="str">
        <f>IF(A1690="","",_xlfn.XLOOKUP(A1690,'DISPATCH SHEET'!B$3:B$121,'DISPATCH SHEET'!C$3:C$121,""))</f>
        <v/>
      </c>
      <c r="C1690" s="14" t="str">
        <f>IF(ISBLANK(A1690),"",_xlfn.XLOOKUP(A1690,'DISPATCH SHEET'!C$3:C$121,'DISPATCH SHEET'!#REF!,""))</f>
        <v/>
      </c>
      <c r="D1690" s="26"/>
      <c r="E1690" s="26"/>
      <c r="F1690" s="26"/>
      <c r="G1690" s="26"/>
      <c r="H1690" s="26"/>
      <c r="I1690" s="26"/>
      <c r="J1690" s="26"/>
      <c r="K1690" s="26"/>
    </row>
    <row r="1691" spans="1:11" s="5" customFormat="1" ht="15" customHeight="1" x14ac:dyDescent="0.2">
      <c r="A1691" s="26"/>
      <c r="B1691" s="14" t="str">
        <f>IF(A1691="","",_xlfn.XLOOKUP(A1691,'DISPATCH SHEET'!B$3:B$121,'DISPATCH SHEET'!C$3:C$121,""))</f>
        <v/>
      </c>
      <c r="C1691" s="14" t="str">
        <f>IF(ISBLANK(A1691),"",_xlfn.XLOOKUP(A1691,'DISPATCH SHEET'!C$3:C$121,'DISPATCH SHEET'!#REF!,""))</f>
        <v/>
      </c>
      <c r="D1691" s="26"/>
      <c r="E1691" s="26"/>
      <c r="F1691" s="26"/>
      <c r="G1691" s="26"/>
      <c r="H1691" s="26"/>
      <c r="I1691" s="26"/>
      <c r="J1691" s="26"/>
      <c r="K1691" s="26"/>
    </row>
    <row r="1692" spans="1:11" s="5" customFormat="1" ht="15" customHeight="1" x14ac:dyDescent="0.2">
      <c r="A1692" s="26"/>
      <c r="B1692" s="14" t="str">
        <f>IF(A1692="","",_xlfn.XLOOKUP(A1692,'DISPATCH SHEET'!B$3:B$121,'DISPATCH SHEET'!C$3:C$121,""))</f>
        <v/>
      </c>
      <c r="C1692" s="14" t="str">
        <f>IF(ISBLANK(A1692),"",_xlfn.XLOOKUP(A1692,'DISPATCH SHEET'!C$3:C$121,'DISPATCH SHEET'!#REF!,""))</f>
        <v/>
      </c>
      <c r="D1692" s="26"/>
      <c r="E1692" s="26"/>
      <c r="F1692" s="26"/>
      <c r="G1692" s="26"/>
      <c r="H1692" s="26"/>
      <c r="I1692" s="26"/>
      <c r="J1692" s="26"/>
      <c r="K1692" s="26"/>
    </row>
    <row r="1693" spans="1:11" s="5" customFormat="1" ht="15" customHeight="1" x14ac:dyDescent="0.2">
      <c r="A1693" s="26"/>
      <c r="B1693" s="14" t="str">
        <f>IF(A1693="","",_xlfn.XLOOKUP(A1693,'DISPATCH SHEET'!B$3:B$121,'DISPATCH SHEET'!C$3:C$121,""))</f>
        <v/>
      </c>
      <c r="C1693" s="14" t="str">
        <f>IF(ISBLANK(A1693),"",_xlfn.XLOOKUP(A1693,'DISPATCH SHEET'!C$3:C$121,'DISPATCH SHEET'!#REF!,""))</f>
        <v/>
      </c>
      <c r="D1693" s="26"/>
      <c r="E1693" s="26"/>
      <c r="F1693" s="26"/>
      <c r="G1693" s="26"/>
      <c r="H1693" s="26"/>
      <c r="I1693" s="26"/>
      <c r="J1693" s="26"/>
      <c r="K1693" s="26"/>
    </row>
    <row r="1694" spans="1:11" s="5" customFormat="1" ht="15" customHeight="1" x14ac:dyDescent="0.2">
      <c r="A1694" s="26"/>
      <c r="B1694" s="14" t="str">
        <f>IF(A1694="","",_xlfn.XLOOKUP(A1694,'DISPATCH SHEET'!B$3:B$121,'DISPATCH SHEET'!C$3:C$121,""))</f>
        <v/>
      </c>
      <c r="C1694" s="14" t="str">
        <f>IF(ISBLANK(A1694),"",_xlfn.XLOOKUP(A1694,'DISPATCH SHEET'!C$3:C$121,'DISPATCH SHEET'!#REF!,""))</f>
        <v/>
      </c>
      <c r="D1694" s="26"/>
      <c r="E1694" s="26"/>
      <c r="F1694" s="26"/>
      <c r="G1694" s="26"/>
      <c r="H1694" s="26"/>
      <c r="I1694" s="26"/>
      <c r="J1694" s="26"/>
      <c r="K1694" s="26"/>
    </row>
    <row r="1695" spans="1:11" s="5" customFormat="1" ht="15" customHeight="1" x14ac:dyDescent="0.2">
      <c r="A1695" s="26"/>
      <c r="B1695" s="14" t="str">
        <f>IF(A1695="","",_xlfn.XLOOKUP(A1695,'DISPATCH SHEET'!B$3:B$121,'DISPATCH SHEET'!C$3:C$121,""))</f>
        <v/>
      </c>
      <c r="C1695" s="14" t="str">
        <f>IF(ISBLANK(A1695),"",_xlfn.XLOOKUP(A1695,'DISPATCH SHEET'!C$3:C$121,'DISPATCH SHEET'!#REF!,""))</f>
        <v/>
      </c>
      <c r="D1695" s="26"/>
      <c r="E1695" s="26"/>
      <c r="F1695" s="26"/>
      <c r="G1695" s="26"/>
      <c r="H1695" s="26"/>
      <c r="I1695" s="26"/>
      <c r="J1695" s="26"/>
      <c r="K1695" s="26"/>
    </row>
    <row r="1696" spans="1:11" s="5" customFormat="1" ht="15" customHeight="1" x14ac:dyDescent="0.2">
      <c r="A1696" s="26"/>
      <c r="B1696" s="14" t="str">
        <f>IF(A1696="","",_xlfn.XLOOKUP(A1696,'DISPATCH SHEET'!B$3:B$121,'DISPATCH SHEET'!C$3:C$121,""))</f>
        <v/>
      </c>
      <c r="C1696" s="14" t="str">
        <f>IF(ISBLANK(A1696),"",_xlfn.XLOOKUP(A1696,'DISPATCH SHEET'!C$3:C$121,'DISPATCH SHEET'!#REF!,""))</f>
        <v/>
      </c>
      <c r="D1696" s="26"/>
      <c r="E1696" s="26"/>
      <c r="F1696" s="26"/>
      <c r="G1696" s="26"/>
      <c r="H1696" s="26"/>
      <c r="I1696" s="26"/>
      <c r="J1696" s="26"/>
      <c r="K1696" s="26"/>
    </row>
    <row r="1697" spans="1:11" s="5" customFormat="1" ht="15" customHeight="1" x14ac:dyDescent="0.2">
      <c r="A1697" s="26"/>
      <c r="B1697" s="14" t="str">
        <f>IF(A1697="","",_xlfn.XLOOKUP(A1697,'DISPATCH SHEET'!B$3:B$121,'DISPATCH SHEET'!C$3:C$121,""))</f>
        <v/>
      </c>
      <c r="C1697" s="14" t="str">
        <f>IF(ISBLANK(A1697),"",_xlfn.XLOOKUP(A1697,'DISPATCH SHEET'!C$3:C$121,'DISPATCH SHEET'!#REF!,""))</f>
        <v/>
      </c>
      <c r="D1697" s="26"/>
      <c r="E1697" s="26"/>
      <c r="F1697" s="26"/>
      <c r="G1697" s="26"/>
      <c r="H1697" s="26"/>
      <c r="I1697" s="26"/>
      <c r="J1697" s="26"/>
      <c r="K1697" s="26"/>
    </row>
    <row r="1698" spans="1:11" s="5" customFormat="1" ht="15" customHeight="1" x14ac:dyDescent="0.2">
      <c r="A1698" s="26"/>
      <c r="B1698" s="14" t="str">
        <f>IF(A1698="","",_xlfn.XLOOKUP(A1698,'DISPATCH SHEET'!B$3:B$121,'DISPATCH SHEET'!C$3:C$121,""))</f>
        <v/>
      </c>
      <c r="C1698" s="14" t="str">
        <f>IF(ISBLANK(A1698),"",_xlfn.XLOOKUP(A1698,'DISPATCH SHEET'!C$3:C$121,'DISPATCH SHEET'!#REF!,""))</f>
        <v/>
      </c>
      <c r="D1698" s="26"/>
      <c r="E1698" s="26"/>
      <c r="F1698" s="26"/>
      <c r="G1698" s="26"/>
      <c r="H1698" s="26"/>
      <c r="I1698" s="26"/>
      <c r="J1698" s="26"/>
      <c r="K1698" s="26"/>
    </row>
    <row r="1699" spans="1:11" s="5" customFormat="1" ht="15" customHeight="1" x14ac:dyDescent="0.2">
      <c r="A1699" s="26"/>
      <c r="B1699" s="14" t="str">
        <f>IF(A1699="","",_xlfn.XLOOKUP(A1699,'DISPATCH SHEET'!B$3:B$121,'DISPATCH SHEET'!C$3:C$121,""))</f>
        <v/>
      </c>
      <c r="C1699" s="14" t="str">
        <f>IF(ISBLANK(A1699),"",_xlfn.XLOOKUP(A1699,'DISPATCH SHEET'!C$3:C$121,'DISPATCH SHEET'!#REF!,""))</f>
        <v/>
      </c>
      <c r="D1699" s="26"/>
      <c r="E1699" s="26"/>
      <c r="F1699" s="26"/>
      <c r="G1699" s="26"/>
      <c r="H1699" s="26"/>
      <c r="I1699" s="26"/>
      <c r="J1699" s="26"/>
      <c r="K1699" s="26"/>
    </row>
    <row r="1700" spans="1:11" s="5" customFormat="1" ht="15" customHeight="1" x14ac:dyDescent="0.2">
      <c r="A1700" s="26"/>
      <c r="B1700" s="14" t="str">
        <f>IF(A1700="","",_xlfn.XLOOKUP(A1700,'DISPATCH SHEET'!B$3:B$121,'DISPATCH SHEET'!C$3:C$121,""))</f>
        <v/>
      </c>
      <c r="C1700" s="14" t="str">
        <f>IF(ISBLANK(A1700),"",_xlfn.XLOOKUP(A1700,'DISPATCH SHEET'!C$3:C$121,'DISPATCH SHEET'!#REF!,""))</f>
        <v/>
      </c>
      <c r="D1700" s="26"/>
      <c r="E1700" s="26"/>
      <c r="F1700" s="26"/>
      <c r="G1700" s="26"/>
      <c r="H1700" s="26"/>
      <c r="I1700" s="26"/>
      <c r="J1700" s="26"/>
      <c r="K1700" s="26"/>
    </row>
    <row r="1701" spans="1:11" s="5" customFormat="1" ht="15" customHeight="1" x14ac:dyDescent="0.2">
      <c r="A1701" s="26"/>
      <c r="B1701" s="14" t="str">
        <f>IF(A1701="","",_xlfn.XLOOKUP(A1701,'DISPATCH SHEET'!B$3:B$121,'DISPATCH SHEET'!C$3:C$121,""))</f>
        <v/>
      </c>
      <c r="C1701" s="14" t="str">
        <f>IF(ISBLANK(A1701),"",_xlfn.XLOOKUP(A1701,'DISPATCH SHEET'!C$3:C$121,'DISPATCH SHEET'!#REF!,""))</f>
        <v/>
      </c>
      <c r="D1701" s="26"/>
      <c r="E1701" s="26"/>
      <c r="F1701" s="26"/>
      <c r="G1701" s="26"/>
      <c r="H1701" s="26"/>
      <c r="I1701" s="26"/>
      <c r="J1701" s="26"/>
      <c r="K1701" s="26"/>
    </row>
    <row r="1702" spans="1:11" s="5" customFormat="1" ht="15" customHeight="1" x14ac:dyDescent="0.2">
      <c r="A1702" s="26"/>
      <c r="B1702" s="14" t="str">
        <f>IF(A1702="","",_xlfn.XLOOKUP(A1702,'DISPATCH SHEET'!B$3:B$121,'DISPATCH SHEET'!C$3:C$121,""))</f>
        <v/>
      </c>
      <c r="C1702" s="14" t="str">
        <f>IF(ISBLANK(A1702),"",_xlfn.XLOOKUP(A1702,'DISPATCH SHEET'!C$3:C$121,'DISPATCH SHEET'!#REF!,""))</f>
        <v/>
      </c>
      <c r="D1702" s="26"/>
      <c r="E1702" s="26"/>
      <c r="F1702" s="26"/>
      <c r="G1702" s="26"/>
      <c r="H1702" s="26"/>
      <c r="I1702" s="26"/>
      <c r="J1702" s="26"/>
      <c r="K1702" s="26"/>
    </row>
    <row r="1703" spans="1:11" s="5" customFormat="1" ht="15" customHeight="1" x14ac:dyDescent="0.2">
      <c r="A1703" s="26"/>
      <c r="B1703" s="14" t="str">
        <f>IF(A1703="","",_xlfn.XLOOKUP(A1703,'DISPATCH SHEET'!B$3:B$121,'DISPATCH SHEET'!C$3:C$121,""))</f>
        <v/>
      </c>
      <c r="C1703" s="14" t="str">
        <f>IF(ISBLANK(A1703),"",_xlfn.XLOOKUP(A1703,'DISPATCH SHEET'!C$3:C$121,'DISPATCH SHEET'!#REF!,""))</f>
        <v/>
      </c>
      <c r="D1703" s="26"/>
      <c r="E1703" s="26"/>
      <c r="F1703" s="26"/>
      <c r="G1703" s="26"/>
      <c r="H1703" s="26"/>
      <c r="I1703" s="26"/>
      <c r="J1703" s="26"/>
      <c r="K1703" s="26"/>
    </row>
    <row r="1704" spans="1:11" s="5" customFormat="1" ht="15" customHeight="1" x14ac:dyDescent="0.2">
      <c r="A1704" s="26"/>
      <c r="B1704" s="14" t="str">
        <f>IF(A1704="","",_xlfn.XLOOKUP(A1704,'DISPATCH SHEET'!B$3:B$121,'DISPATCH SHEET'!C$3:C$121,""))</f>
        <v/>
      </c>
      <c r="C1704" s="14" t="str">
        <f>IF(ISBLANK(A1704),"",_xlfn.XLOOKUP(A1704,'DISPATCH SHEET'!C$3:C$121,'DISPATCH SHEET'!#REF!,""))</f>
        <v/>
      </c>
      <c r="D1704" s="26"/>
      <c r="E1704" s="26"/>
      <c r="F1704" s="26"/>
      <c r="G1704" s="26"/>
      <c r="H1704" s="26"/>
      <c r="I1704" s="26"/>
      <c r="J1704" s="26"/>
      <c r="K1704" s="26"/>
    </row>
    <row r="1705" spans="1:11" s="5" customFormat="1" ht="15" customHeight="1" x14ac:dyDescent="0.2">
      <c r="A1705" s="26"/>
      <c r="B1705" s="14" t="str">
        <f>IF(A1705="","",_xlfn.XLOOKUP(A1705,'DISPATCH SHEET'!B$3:B$121,'DISPATCH SHEET'!C$3:C$121,""))</f>
        <v/>
      </c>
      <c r="C1705" s="14" t="str">
        <f>IF(ISBLANK(A1705),"",_xlfn.XLOOKUP(A1705,'DISPATCH SHEET'!C$3:C$121,'DISPATCH SHEET'!#REF!,""))</f>
        <v/>
      </c>
      <c r="D1705" s="26"/>
      <c r="E1705" s="26"/>
      <c r="F1705" s="26"/>
      <c r="G1705" s="26"/>
      <c r="H1705" s="26"/>
      <c r="I1705" s="26"/>
      <c r="J1705" s="26"/>
      <c r="K1705" s="26"/>
    </row>
    <row r="1706" spans="1:11" s="5" customFormat="1" ht="15" customHeight="1" x14ac:dyDescent="0.2">
      <c r="A1706" s="26"/>
      <c r="B1706" s="14" t="str">
        <f>IF(A1706="","",_xlfn.XLOOKUP(A1706,'DISPATCH SHEET'!B$3:B$121,'DISPATCH SHEET'!C$3:C$121,""))</f>
        <v/>
      </c>
      <c r="C1706" s="14" t="str">
        <f>IF(ISBLANK(A1706),"",_xlfn.XLOOKUP(A1706,'DISPATCH SHEET'!C$3:C$121,'DISPATCH SHEET'!#REF!,""))</f>
        <v/>
      </c>
      <c r="D1706" s="26"/>
      <c r="E1706" s="26"/>
      <c r="F1706" s="26"/>
      <c r="G1706" s="26"/>
      <c r="H1706" s="26"/>
      <c r="I1706" s="26"/>
      <c r="J1706" s="26"/>
      <c r="K1706" s="26"/>
    </row>
    <row r="1707" spans="1:11" s="5" customFormat="1" ht="15" customHeight="1" x14ac:dyDescent="0.2">
      <c r="A1707" s="26"/>
      <c r="B1707" s="14" t="str">
        <f>IF(A1707="","",_xlfn.XLOOKUP(A1707,'DISPATCH SHEET'!B$3:B$121,'DISPATCH SHEET'!C$3:C$121,""))</f>
        <v/>
      </c>
      <c r="C1707" s="14" t="str">
        <f>IF(ISBLANK(A1707),"",_xlfn.XLOOKUP(A1707,'DISPATCH SHEET'!C$3:C$121,'DISPATCH SHEET'!#REF!,""))</f>
        <v/>
      </c>
      <c r="D1707" s="26"/>
      <c r="E1707" s="26"/>
      <c r="F1707" s="26"/>
      <c r="G1707" s="26"/>
      <c r="H1707" s="26"/>
      <c r="I1707" s="26"/>
      <c r="J1707" s="26"/>
      <c r="K1707" s="26"/>
    </row>
    <row r="1708" spans="1:11" s="5" customFormat="1" ht="15" customHeight="1" x14ac:dyDescent="0.2">
      <c r="A1708" s="26"/>
      <c r="B1708" s="14" t="str">
        <f>IF(A1708="","",_xlfn.XLOOKUP(A1708,'DISPATCH SHEET'!B$3:B$121,'DISPATCH SHEET'!C$3:C$121,""))</f>
        <v/>
      </c>
      <c r="C1708" s="14" t="str">
        <f>IF(ISBLANK(A1708),"",_xlfn.XLOOKUP(A1708,'DISPATCH SHEET'!C$3:C$121,'DISPATCH SHEET'!#REF!,""))</f>
        <v/>
      </c>
      <c r="D1708" s="26"/>
      <c r="E1708" s="26"/>
      <c r="F1708" s="26"/>
      <c r="G1708" s="26"/>
      <c r="H1708" s="26"/>
      <c r="I1708" s="26"/>
      <c r="J1708" s="26"/>
      <c r="K1708" s="26"/>
    </row>
    <row r="1709" spans="1:11" s="5" customFormat="1" ht="15" customHeight="1" x14ac:dyDescent="0.2">
      <c r="A1709" s="26"/>
      <c r="B1709" s="14" t="str">
        <f>IF(A1709="","",_xlfn.XLOOKUP(A1709,'DISPATCH SHEET'!B$3:B$121,'DISPATCH SHEET'!C$3:C$121,""))</f>
        <v/>
      </c>
      <c r="C1709" s="14" t="str">
        <f>IF(ISBLANK(A1709),"",_xlfn.XLOOKUP(A1709,'DISPATCH SHEET'!C$3:C$121,'DISPATCH SHEET'!#REF!,""))</f>
        <v/>
      </c>
      <c r="D1709" s="26"/>
      <c r="E1709" s="26"/>
      <c r="F1709" s="26"/>
      <c r="G1709" s="26"/>
      <c r="H1709" s="26"/>
      <c r="I1709" s="26"/>
      <c r="J1709" s="26"/>
      <c r="K1709" s="26"/>
    </row>
    <row r="1710" spans="1:11" s="5" customFormat="1" ht="15" customHeight="1" x14ac:dyDescent="0.2">
      <c r="A1710" s="26"/>
      <c r="B1710" s="14" t="str">
        <f>IF(A1710="","",_xlfn.XLOOKUP(A1710,'DISPATCH SHEET'!B$3:B$121,'DISPATCH SHEET'!C$3:C$121,""))</f>
        <v/>
      </c>
      <c r="C1710" s="14" t="str">
        <f>IF(ISBLANK(A1710),"",_xlfn.XLOOKUP(A1710,'DISPATCH SHEET'!C$3:C$121,'DISPATCH SHEET'!#REF!,""))</f>
        <v/>
      </c>
      <c r="D1710" s="26"/>
      <c r="E1710" s="26"/>
      <c r="F1710" s="26"/>
      <c r="G1710" s="26"/>
      <c r="H1710" s="26"/>
      <c r="I1710" s="26"/>
      <c r="J1710" s="26"/>
      <c r="K1710" s="26"/>
    </row>
    <row r="1711" spans="1:11" s="5" customFormat="1" ht="15" customHeight="1" x14ac:dyDescent="0.2">
      <c r="A1711" s="26"/>
      <c r="B1711" s="14" t="str">
        <f>IF(A1711="","",_xlfn.XLOOKUP(A1711,'DISPATCH SHEET'!B$3:B$121,'DISPATCH SHEET'!C$3:C$121,""))</f>
        <v/>
      </c>
      <c r="C1711" s="14" t="str">
        <f>IF(ISBLANK(A1711),"",_xlfn.XLOOKUP(A1711,'DISPATCH SHEET'!C$3:C$121,'DISPATCH SHEET'!#REF!,""))</f>
        <v/>
      </c>
      <c r="D1711" s="26"/>
      <c r="E1711" s="26"/>
      <c r="F1711" s="26"/>
      <c r="G1711" s="26"/>
      <c r="H1711" s="26"/>
      <c r="I1711" s="26"/>
      <c r="J1711" s="26"/>
      <c r="K1711" s="26"/>
    </row>
    <row r="1712" spans="1:11" s="5" customFormat="1" ht="15" customHeight="1" x14ac:dyDescent="0.2">
      <c r="A1712" s="26"/>
      <c r="B1712" s="14" t="str">
        <f>IF(A1712="","",_xlfn.XLOOKUP(A1712,'DISPATCH SHEET'!B$3:B$121,'DISPATCH SHEET'!C$3:C$121,""))</f>
        <v/>
      </c>
      <c r="C1712" s="14" t="str">
        <f>IF(ISBLANK(A1712),"",_xlfn.XLOOKUP(A1712,'DISPATCH SHEET'!C$3:C$121,'DISPATCH SHEET'!#REF!,""))</f>
        <v/>
      </c>
      <c r="D1712" s="26"/>
      <c r="E1712" s="26"/>
      <c r="F1712" s="26"/>
      <c r="G1712" s="26"/>
      <c r="H1712" s="26"/>
      <c r="I1712" s="26"/>
      <c r="J1712" s="26"/>
      <c r="K1712" s="26"/>
    </row>
    <row r="1713" spans="1:11" s="5" customFormat="1" ht="15" customHeight="1" x14ac:dyDescent="0.2">
      <c r="A1713" s="26"/>
      <c r="B1713" s="14" t="str">
        <f>IF(A1713="","",_xlfn.XLOOKUP(A1713,'DISPATCH SHEET'!B$3:B$121,'DISPATCH SHEET'!C$3:C$121,""))</f>
        <v/>
      </c>
      <c r="C1713" s="14" t="str">
        <f>IF(ISBLANK(A1713),"",_xlfn.XLOOKUP(A1713,'DISPATCH SHEET'!C$3:C$121,'DISPATCH SHEET'!#REF!,""))</f>
        <v/>
      </c>
      <c r="D1713" s="26"/>
      <c r="E1713" s="26"/>
      <c r="F1713" s="26"/>
      <c r="G1713" s="26"/>
      <c r="H1713" s="26"/>
      <c r="I1713" s="26"/>
      <c r="J1713" s="26"/>
      <c r="K1713" s="26"/>
    </row>
    <row r="1714" spans="1:11" s="5" customFormat="1" ht="15" customHeight="1" x14ac:dyDescent="0.2">
      <c r="A1714" s="26"/>
      <c r="B1714" s="14" t="str">
        <f>IF(A1714="","",_xlfn.XLOOKUP(A1714,'DISPATCH SHEET'!B$3:B$121,'DISPATCH SHEET'!C$3:C$121,""))</f>
        <v/>
      </c>
      <c r="C1714" s="14" t="str">
        <f>IF(ISBLANK(A1714),"",_xlfn.XLOOKUP(A1714,'DISPATCH SHEET'!C$3:C$121,'DISPATCH SHEET'!#REF!,""))</f>
        <v/>
      </c>
      <c r="D1714" s="26"/>
      <c r="E1714" s="26"/>
      <c r="F1714" s="26"/>
      <c r="G1714" s="26"/>
      <c r="H1714" s="26"/>
      <c r="I1714" s="26"/>
      <c r="J1714" s="26"/>
      <c r="K1714" s="26"/>
    </row>
    <row r="1715" spans="1:11" s="5" customFormat="1" ht="15" customHeight="1" x14ac:dyDescent="0.2">
      <c r="A1715" s="26"/>
      <c r="B1715" s="14" t="str">
        <f>IF(A1715="","",_xlfn.XLOOKUP(A1715,'DISPATCH SHEET'!B$3:B$121,'DISPATCH SHEET'!C$3:C$121,""))</f>
        <v/>
      </c>
      <c r="C1715" s="14" t="str">
        <f>IF(ISBLANK(A1715),"",_xlfn.XLOOKUP(A1715,'DISPATCH SHEET'!C$3:C$121,'DISPATCH SHEET'!#REF!,""))</f>
        <v/>
      </c>
      <c r="D1715" s="26"/>
      <c r="E1715" s="26"/>
      <c r="F1715" s="26"/>
      <c r="G1715" s="26"/>
      <c r="H1715" s="26"/>
      <c r="I1715" s="26"/>
      <c r="J1715" s="26"/>
      <c r="K1715" s="26"/>
    </row>
    <row r="1716" spans="1:11" s="5" customFormat="1" ht="15" customHeight="1" x14ac:dyDescent="0.2">
      <c r="A1716" s="26"/>
      <c r="B1716" s="14" t="str">
        <f>IF(A1716="","",_xlfn.XLOOKUP(A1716,'DISPATCH SHEET'!B$3:B$121,'DISPATCH SHEET'!C$3:C$121,""))</f>
        <v/>
      </c>
      <c r="C1716" s="14" t="str">
        <f>IF(ISBLANK(A1716),"",_xlfn.XLOOKUP(A1716,'DISPATCH SHEET'!C$3:C$121,'DISPATCH SHEET'!#REF!,""))</f>
        <v/>
      </c>
      <c r="D1716" s="26"/>
      <c r="E1716" s="26"/>
      <c r="F1716" s="26"/>
      <c r="G1716" s="26"/>
      <c r="H1716" s="26"/>
      <c r="I1716" s="26"/>
      <c r="J1716" s="26"/>
      <c r="K1716" s="26"/>
    </row>
    <row r="1717" spans="1:11" s="5" customFormat="1" ht="15" customHeight="1" x14ac:dyDescent="0.2">
      <c r="A1717" s="26"/>
      <c r="B1717" s="14" t="str">
        <f>IF(A1717="","",_xlfn.XLOOKUP(A1717,'DISPATCH SHEET'!B$3:B$121,'DISPATCH SHEET'!C$3:C$121,""))</f>
        <v/>
      </c>
      <c r="C1717" s="14" t="str">
        <f>IF(ISBLANK(A1717),"",_xlfn.XLOOKUP(A1717,'DISPATCH SHEET'!C$3:C$121,'DISPATCH SHEET'!#REF!,""))</f>
        <v/>
      </c>
      <c r="D1717" s="26"/>
      <c r="E1717" s="26"/>
      <c r="F1717" s="26"/>
      <c r="G1717" s="26"/>
      <c r="H1717" s="26"/>
      <c r="I1717" s="26"/>
      <c r="J1717" s="26"/>
      <c r="K1717" s="26"/>
    </row>
    <row r="1718" spans="1:11" s="5" customFormat="1" ht="15" customHeight="1" x14ac:dyDescent="0.2">
      <c r="A1718" s="26"/>
      <c r="B1718" s="14" t="str">
        <f>IF(A1718="","",_xlfn.XLOOKUP(A1718,'DISPATCH SHEET'!B$3:B$121,'DISPATCH SHEET'!C$3:C$121,""))</f>
        <v/>
      </c>
      <c r="C1718" s="14" t="str">
        <f>IF(ISBLANK(A1718),"",_xlfn.XLOOKUP(A1718,'DISPATCH SHEET'!C$3:C$121,'DISPATCH SHEET'!#REF!,""))</f>
        <v/>
      </c>
      <c r="D1718" s="26"/>
      <c r="E1718" s="26"/>
      <c r="F1718" s="26"/>
      <c r="G1718" s="26"/>
      <c r="H1718" s="26"/>
      <c r="I1718" s="26"/>
      <c r="J1718" s="26"/>
      <c r="K1718" s="26"/>
    </row>
    <row r="1719" spans="1:11" s="5" customFormat="1" ht="15" customHeight="1" x14ac:dyDescent="0.2">
      <c r="A1719" s="26"/>
      <c r="B1719" s="14" t="str">
        <f>IF(A1719="","",_xlfn.XLOOKUP(A1719,'DISPATCH SHEET'!B$3:B$121,'DISPATCH SHEET'!C$3:C$121,""))</f>
        <v/>
      </c>
      <c r="C1719" s="14" t="str">
        <f>IF(ISBLANK(A1719),"",_xlfn.XLOOKUP(A1719,'DISPATCH SHEET'!C$3:C$121,'DISPATCH SHEET'!#REF!,""))</f>
        <v/>
      </c>
      <c r="D1719" s="26"/>
      <c r="E1719" s="26"/>
      <c r="F1719" s="26"/>
      <c r="G1719" s="26"/>
      <c r="H1719" s="26"/>
      <c r="I1719" s="26"/>
      <c r="J1719" s="26"/>
      <c r="K1719" s="26"/>
    </row>
    <row r="1720" spans="1:11" s="5" customFormat="1" ht="15" customHeight="1" x14ac:dyDescent="0.2">
      <c r="A1720" s="26"/>
      <c r="B1720" s="14" t="str">
        <f>IF(A1720="","",_xlfn.XLOOKUP(A1720,'DISPATCH SHEET'!B$3:B$121,'DISPATCH SHEET'!C$3:C$121,""))</f>
        <v/>
      </c>
      <c r="C1720" s="14" t="str">
        <f>IF(ISBLANK(A1720),"",_xlfn.XLOOKUP(A1720,'DISPATCH SHEET'!C$3:C$121,'DISPATCH SHEET'!#REF!,""))</f>
        <v/>
      </c>
      <c r="D1720" s="26"/>
      <c r="E1720" s="26"/>
      <c r="F1720" s="26"/>
      <c r="G1720" s="26"/>
      <c r="H1720" s="26"/>
      <c r="I1720" s="26"/>
      <c r="J1720" s="26"/>
      <c r="K1720" s="26"/>
    </row>
    <row r="1721" spans="1:11" s="5" customFormat="1" ht="15" customHeight="1" x14ac:dyDescent="0.2">
      <c r="A1721" s="26"/>
      <c r="B1721" s="14" t="str">
        <f>IF(A1721="","",_xlfn.XLOOKUP(A1721,'DISPATCH SHEET'!B$3:B$121,'DISPATCH SHEET'!C$3:C$121,""))</f>
        <v/>
      </c>
      <c r="C1721" s="14" t="str">
        <f>IF(ISBLANK(A1721),"",_xlfn.XLOOKUP(A1721,'DISPATCH SHEET'!C$3:C$121,'DISPATCH SHEET'!#REF!,""))</f>
        <v/>
      </c>
      <c r="D1721" s="26"/>
      <c r="E1721" s="26"/>
      <c r="F1721" s="26"/>
      <c r="G1721" s="26"/>
      <c r="H1721" s="26"/>
      <c r="I1721" s="26"/>
      <c r="J1721" s="26"/>
      <c r="K1721" s="26"/>
    </row>
    <row r="1722" spans="1:11" s="5" customFormat="1" ht="15" customHeight="1" x14ac:dyDescent="0.2">
      <c r="A1722" s="26"/>
      <c r="B1722" s="14" t="str">
        <f>IF(A1722="","",_xlfn.XLOOKUP(A1722,'DISPATCH SHEET'!B$3:B$121,'DISPATCH SHEET'!C$3:C$121,""))</f>
        <v/>
      </c>
      <c r="C1722" s="14" t="str">
        <f>IF(ISBLANK(A1722),"",_xlfn.XLOOKUP(A1722,'DISPATCH SHEET'!C$3:C$121,'DISPATCH SHEET'!#REF!,""))</f>
        <v/>
      </c>
      <c r="D1722" s="26"/>
      <c r="E1722" s="26"/>
      <c r="F1722" s="26"/>
      <c r="G1722" s="26"/>
      <c r="H1722" s="26"/>
      <c r="I1722" s="26"/>
      <c r="J1722" s="26"/>
      <c r="K1722" s="26"/>
    </row>
    <row r="1723" spans="1:11" s="5" customFormat="1" ht="15" customHeight="1" x14ac:dyDescent="0.2">
      <c r="A1723" s="26"/>
      <c r="B1723" s="14" t="str">
        <f>IF(A1723="","",_xlfn.XLOOKUP(A1723,'DISPATCH SHEET'!B$3:B$121,'DISPATCH SHEET'!C$3:C$121,""))</f>
        <v/>
      </c>
      <c r="C1723" s="14" t="str">
        <f>IF(ISBLANK(A1723),"",_xlfn.XLOOKUP(A1723,'DISPATCH SHEET'!C$3:C$121,'DISPATCH SHEET'!#REF!,""))</f>
        <v/>
      </c>
      <c r="D1723" s="26"/>
      <c r="E1723" s="26"/>
      <c r="F1723" s="26"/>
      <c r="G1723" s="26"/>
      <c r="H1723" s="26"/>
      <c r="I1723" s="26"/>
      <c r="J1723" s="26"/>
      <c r="K1723" s="26"/>
    </row>
    <row r="1724" spans="1:11" s="5" customFormat="1" ht="15" customHeight="1" x14ac:dyDescent="0.2">
      <c r="A1724" s="26"/>
      <c r="B1724" s="14" t="str">
        <f>IF(A1724="","",_xlfn.XLOOKUP(A1724,'DISPATCH SHEET'!B$3:B$121,'DISPATCH SHEET'!C$3:C$121,""))</f>
        <v/>
      </c>
      <c r="C1724" s="14" t="str">
        <f>IF(ISBLANK(A1724),"",_xlfn.XLOOKUP(A1724,'DISPATCH SHEET'!C$3:C$121,'DISPATCH SHEET'!#REF!,""))</f>
        <v/>
      </c>
      <c r="D1724" s="26"/>
      <c r="E1724" s="26"/>
      <c r="F1724" s="26"/>
      <c r="G1724" s="26"/>
      <c r="H1724" s="26"/>
      <c r="I1724" s="26"/>
      <c r="J1724" s="26"/>
      <c r="K1724" s="26"/>
    </row>
    <row r="1725" spans="1:11" s="5" customFormat="1" ht="15" customHeight="1" x14ac:dyDescent="0.2">
      <c r="A1725" s="26"/>
      <c r="B1725" s="14" t="str">
        <f>IF(A1725="","",_xlfn.XLOOKUP(A1725,'DISPATCH SHEET'!B$3:B$121,'DISPATCH SHEET'!C$3:C$121,""))</f>
        <v/>
      </c>
      <c r="C1725" s="14" t="str">
        <f>IF(ISBLANK(A1725),"",_xlfn.XLOOKUP(A1725,'DISPATCH SHEET'!C$3:C$121,'DISPATCH SHEET'!#REF!,""))</f>
        <v/>
      </c>
      <c r="D1725" s="26"/>
      <c r="E1725" s="26"/>
      <c r="F1725" s="26"/>
      <c r="G1725" s="26"/>
      <c r="H1725" s="26"/>
      <c r="I1725" s="26"/>
      <c r="J1725" s="26"/>
      <c r="K1725" s="26"/>
    </row>
    <row r="1726" spans="1:11" s="5" customFormat="1" ht="15" customHeight="1" x14ac:dyDescent="0.2">
      <c r="A1726" s="26"/>
      <c r="B1726" s="14" t="str">
        <f>IF(A1726="","",_xlfn.XLOOKUP(A1726,'DISPATCH SHEET'!B$3:B$121,'DISPATCH SHEET'!C$3:C$121,""))</f>
        <v/>
      </c>
      <c r="C1726" s="14" t="str">
        <f>IF(ISBLANK(A1726),"",_xlfn.XLOOKUP(A1726,'DISPATCH SHEET'!C$3:C$121,'DISPATCH SHEET'!#REF!,""))</f>
        <v/>
      </c>
      <c r="D1726" s="26"/>
      <c r="E1726" s="26"/>
      <c r="F1726" s="26"/>
      <c r="G1726" s="26"/>
      <c r="H1726" s="26"/>
      <c r="I1726" s="26"/>
      <c r="J1726" s="26"/>
      <c r="K1726" s="26"/>
    </row>
    <row r="1727" spans="1:11" s="5" customFormat="1" ht="15" customHeight="1" x14ac:dyDescent="0.2">
      <c r="A1727" s="26"/>
      <c r="B1727" s="14" t="str">
        <f>IF(A1727="","",_xlfn.XLOOKUP(A1727,'DISPATCH SHEET'!B$3:B$121,'DISPATCH SHEET'!C$3:C$121,""))</f>
        <v/>
      </c>
      <c r="C1727" s="14" t="str">
        <f>IF(ISBLANK(A1727),"",_xlfn.XLOOKUP(A1727,'DISPATCH SHEET'!C$3:C$121,'DISPATCH SHEET'!#REF!,""))</f>
        <v/>
      </c>
      <c r="D1727" s="26"/>
      <c r="E1727" s="26"/>
      <c r="F1727" s="26"/>
      <c r="G1727" s="26"/>
      <c r="H1727" s="26"/>
      <c r="I1727" s="26"/>
      <c r="J1727" s="26"/>
      <c r="K1727" s="26"/>
    </row>
    <row r="1728" spans="1:11" s="5" customFormat="1" ht="15" customHeight="1" x14ac:dyDescent="0.2">
      <c r="A1728" s="26"/>
      <c r="B1728" s="14" t="str">
        <f>IF(A1728="","",_xlfn.XLOOKUP(A1728,'DISPATCH SHEET'!B$3:B$121,'DISPATCH SHEET'!C$3:C$121,""))</f>
        <v/>
      </c>
      <c r="C1728" s="14" t="str">
        <f>IF(ISBLANK(A1728),"",_xlfn.XLOOKUP(A1728,'DISPATCH SHEET'!C$3:C$121,'DISPATCH SHEET'!#REF!,""))</f>
        <v/>
      </c>
      <c r="D1728" s="26"/>
      <c r="E1728" s="26"/>
      <c r="F1728" s="26"/>
      <c r="G1728" s="26"/>
      <c r="H1728" s="26"/>
      <c r="I1728" s="26"/>
      <c r="J1728" s="26"/>
      <c r="K1728" s="26"/>
    </row>
    <row r="1729" spans="1:11" s="5" customFormat="1" ht="15" customHeight="1" x14ac:dyDescent="0.2">
      <c r="A1729" s="26"/>
      <c r="B1729" s="14" t="str">
        <f>IF(A1729="","",_xlfn.XLOOKUP(A1729,'DISPATCH SHEET'!B$3:B$121,'DISPATCH SHEET'!C$3:C$121,""))</f>
        <v/>
      </c>
      <c r="C1729" s="14" t="str">
        <f>IF(ISBLANK(A1729),"",_xlfn.XLOOKUP(A1729,'DISPATCH SHEET'!C$3:C$121,'DISPATCH SHEET'!#REF!,""))</f>
        <v/>
      </c>
      <c r="D1729" s="26"/>
      <c r="E1729" s="26"/>
      <c r="F1729" s="26"/>
      <c r="G1729" s="26"/>
      <c r="H1729" s="26"/>
      <c r="I1729" s="26"/>
      <c r="J1729" s="26"/>
      <c r="K1729" s="26"/>
    </row>
    <row r="1730" spans="1:11" s="5" customFormat="1" ht="15" customHeight="1" x14ac:dyDescent="0.2">
      <c r="A1730" s="26"/>
      <c r="B1730" s="14" t="str">
        <f>IF(A1730="","",_xlfn.XLOOKUP(A1730,'DISPATCH SHEET'!B$3:B$121,'DISPATCH SHEET'!C$3:C$121,""))</f>
        <v/>
      </c>
      <c r="C1730" s="14" t="str">
        <f>IF(ISBLANK(A1730),"",_xlfn.XLOOKUP(A1730,'DISPATCH SHEET'!C$3:C$121,'DISPATCH SHEET'!#REF!,""))</f>
        <v/>
      </c>
      <c r="D1730" s="26"/>
      <c r="E1730" s="26"/>
      <c r="F1730" s="26"/>
      <c r="G1730" s="26"/>
      <c r="H1730" s="26"/>
      <c r="I1730" s="26"/>
      <c r="J1730" s="26"/>
      <c r="K1730" s="26"/>
    </row>
    <row r="1731" spans="1:11" s="5" customFormat="1" ht="15" customHeight="1" x14ac:dyDescent="0.2">
      <c r="A1731" s="26"/>
      <c r="B1731" s="14" t="str">
        <f>IF(A1731="","",_xlfn.XLOOKUP(A1731,'DISPATCH SHEET'!B$3:B$121,'DISPATCH SHEET'!C$3:C$121,""))</f>
        <v/>
      </c>
      <c r="C1731" s="14" t="str">
        <f>IF(ISBLANK(A1731),"",_xlfn.XLOOKUP(A1731,'DISPATCH SHEET'!C$3:C$121,'DISPATCH SHEET'!#REF!,""))</f>
        <v/>
      </c>
      <c r="D1731" s="26"/>
      <c r="E1731" s="26"/>
      <c r="F1731" s="26"/>
      <c r="G1731" s="26"/>
      <c r="H1731" s="26"/>
      <c r="I1731" s="26"/>
      <c r="J1731" s="26"/>
      <c r="K1731" s="26"/>
    </row>
    <row r="1732" spans="1:11" s="5" customFormat="1" ht="15" customHeight="1" x14ac:dyDescent="0.2">
      <c r="A1732" s="26"/>
      <c r="B1732" s="14" t="str">
        <f>IF(A1732="","",_xlfn.XLOOKUP(A1732,'DISPATCH SHEET'!B$3:B$121,'DISPATCH SHEET'!C$3:C$121,""))</f>
        <v/>
      </c>
      <c r="C1732" s="14" t="str">
        <f>IF(ISBLANK(A1732),"",_xlfn.XLOOKUP(A1732,'DISPATCH SHEET'!C$3:C$121,'DISPATCH SHEET'!#REF!,""))</f>
        <v/>
      </c>
      <c r="D1732" s="26"/>
      <c r="E1732" s="26"/>
      <c r="F1732" s="26"/>
      <c r="G1732" s="26"/>
      <c r="H1732" s="26"/>
      <c r="I1732" s="26"/>
      <c r="J1732" s="26"/>
      <c r="K1732" s="26"/>
    </row>
    <row r="1733" spans="1:11" s="5" customFormat="1" ht="15" customHeight="1" x14ac:dyDescent="0.2">
      <c r="A1733" s="26"/>
      <c r="B1733" s="14" t="str">
        <f>IF(A1733="","",_xlfn.XLOOKUP(A1733,'DISPATCH SHEET'!B$3:B$121,'DISPATCH SHEET'!C$3:C$121,""))</f>
        <v/>
      </c>
      <c r="C1733" s="14" t="str">
        <f>IF(ISBLANK(A1733),"",_xlfn.XLOOKUP(A1733,'DISPATCH SHEET'!C$3:C$121,'DISPATCH SHEET'!#REF!,""))</f>
        <v/>
      </c>
      <c r="D1733" s="26"/>
      <c r="E1733" s="26"/>
      <c r="F1733" s="26"/>
      <c r="G1733" s="26"/>
      <c r="H1733" s="26"/>
      <c r="I1733" s="26"/>
      <c r="J1733" s="26"/>
      <c r="K1733" s="26"/>
    </row>
    <row r="1734" spans="1:11" s="5" customFormat="1" ht="15" customHeight="1" x14ac:dyDescent="0.2">
      <c r="A1734" s="26"/>
      <c r="B1734" s="14" t="str">
        <f>IF(A1734="","",_xlfn.XLOOKUP(A1734,'DISPATCH SHEET'!B$3:B$121,'DISPATCH SHEET'!C$3:C$121,""))</f>
        <v/>
      </c>
      <c r="C1734" s="14" t="str">
        <f>IF(ISBLANK(A1734),"",_xlfn.XLOOKUP(A1734,'DISPATCH SHEET'!C$3:C$121,'DISPATCH SHEET'!#REF!,""))</f>
        <v/>
      </c>
      <c r="D1734" s="26"/>
      <c r="E1734" s="26"/>
      <c r="F1734" s="26"/>
      <c r="G1734" s="26"/>
      <c r="H1734" s="26"/>
      <c r="I1734" s="26"/>
      <c r="J1734" s="26"/>
      <c r="K1734" s="26"/>
    </row>
    <row r="1735" spans="1:11" s="5" customFormat="1" ht="15" customHeight="1" x14ac:dyDescent="0.2">
      <c r="A1735" s="26"/>
      <c r="B1735" s="14" t="str">
        <f>IF(A1735="","",_xlfn.XLOOKUP(A1735,'DISPATCH SHEET'!B$3:B$121,'DISPATCH SHEET'!C$3:C$121,""))</f>
        <v/>
      </c>
      <c r="C1735" s="14" t="str">
        <f>IF(ISBLANK(A1735),"",_xlfn.XLOOKUP(A1735,'DISPATCH SHEET'!C$3:C$121,'DISPATCH SHEET'!#REF!,""))</f>
        <v/>
      </c>
      <c r="D1735" s="26"/>
      <c r="E1735" s="26"/>
      <c r="F1735" s="26"/>
      <c r="G1735" s="26"/>
      <c r="H1735" s="26"/>
      <c r="I1735" s="26"/>
      <c r="J1735" s="26"/>
      <c r="K1735" s="26"/>
    </row>
    <row r="1736" spans="1:11" s="5" customFormat="1" ht="15" customHeight="1" x14ac:dyDescent="0.2">
      <c r="A1736" s="26"/>
      <c r="B1736" s="14" t="str">
        <f>IF(A1736="","",_xlfn.XLOOKUP(A1736,'DISPATCH SHEET'!B$3:B$121,'DISPATCH SHEET'!C$3:C$121,""))</f>
        <v/>
      </c>
      <c r="C1736" s="14" t="str">
        <f>IF(ISBLANK(A1736),"",_xlfn.XLOOKUP(A1736,'DISPATCH SHEET'!C$3:C$121,'DISPATCH SHEET'!#REF!,""))</f>
        <v/>
      </c>
      <c r="D1736" s="26"/>
      <c r="E1736" s="26"/>
      <c r="F1736" s="26"/>
      <c r="G1736" s="26"/>
      <c r="H1736" s="26"/>
      <c r="I1736" s="26"/>
      <c r="J1736" s="26"/>
      <c r="K1736" s="26"/>
    </row>
    <row r="1737" spans="1:11" s="5" customFormat="1" ht="15" customHeight="1" x14ac:dyDescent="0.2">
      <c r="A1737" s="26"/>
      <c r="B1737" s="14" t="str">
        <f>IF(A1737="","",_xlfn.XLOOKUP(A1737,'DISPATCH SHEET'!B$3:B$121,'DISPATCH SHEET'!C$3:C$121,""))</f>
        <v/>
      </c>
      <c r="C1737" s="14" t="str">
        <f>IF(ISBLANK(A1737),"",_xlfn.XLOOKUP(A1737,'DISPATCH SHEET'!C$3:C$121,'DISPATCH SHEET'!#REF!,""))</f>
        <v/>
      </c>
      <c r="D1737" s="26"/>
      <c r="E1737" s="26"/>
      <c r="F1737" s="26"/>
      <c r="G1737" s="26"/>
      <c r="H1737" s="26"/>
      <c r="I1737" s="26"/>
      <c r="J1737" s="26"/>
      <c r="K1737" s="26"/>
    </row>
    <row r="1738" spans="1:11" s="5" customFormat="1" ht="15" customHeight="1" x14ac:dyDescent="0.2">
      <c r="A1738" s="26"/>
      <c r="B1738" s="14" t="str">
        <f>IF(A1738="","",_xlfn.XLOOKUP(A1738,'DISPATCH SHEET'!B$3:B$121,'DISPATCH SHEET'!C$3:C$121,""))</f>
        <v/>
      </c>
      <c r="C1738" s="14" t="str">
        <f>IF(ISBLANK(A1738),"",_xlfn.XLOOKUP(A1738,'DISPATCH SHEET'!C$3:C$121,'DISPATCH SHEET'!#REF!,""))</f>
        <v/>
      </c>
      <c r="D1738" s="26"/>
      <c r="E1738" s="26"/>
      <c r="F1738" s="26"/>
      <c r="G1738" s="26"/>
      <c r="H1738" s="26"/>
      <c r="I1738" s="26"/>
      <c r="J1738" s="26"/>
      <c r="K1738" s="26"/>
    </row>
    <row r="1739" spans="1:11" s="5" customFormat="1" ht="15" customHeight="1" x14ac:dyDescent="0.2">
      <c r="A1739" s="26"/>
      <c r="B1739" s="14" t="str">
        <f>IF(A1739="","",_xlfn.XLOOKUP(A1739,'DISPATCH SHEET'!B$3:B$121,'DISPATCH SHEET'!C$3:C$121,""))</f>
        <v/>
      </c>
      <c r="C1739" s="14" t="str">
        <f>IF(ISBLANK(A1739),"",_xlfn.XLOOKUP(A1739,'DISPATCH SHEET'!C$3:C$121,'DISPATCH SHEET'!#REF!,""))</f>
        <v/>
      </c>
      <c r="D1739" s="26"/>
      <c r="E1739" s="26"/>
      <c r="F1739" s="26"/>
      <c r="G1739" s="26"/>
      <c r="H1739" s="26"/>
      <c r="I1739" s="26"/>
      <c r="J1739" s="26"/>
      <c r="K1739" s="26"/>
    </row>
    <row r="1740" spans="1:11" s="5" customFormat="1" ht="15" customHeight="1" x14ac:dyDescent="0.2">
      <c r="A1740" s="26"/>
      <c r="B1740" s="14" t="str">
        <f>IF(A1740="","",_xlfn.XLOOKUP(A1740,'DISPATCH SHEET'!B$3:B$121,'DISPATCH SHEET'!C$3:C$121,""))</f>
        <v/>
      </c>
      <c r="C1740" s="14" t="str">
        <f>IF(ISBLANK(A1740),"",_xlfn.XLOOKUP(A1740,'DISPATCH SHEET'!C$3:C$121,'DISPATCH SHEET'!#REF!,""))</f>
        <v/>
      </c>
      <c r="D1740" s="26"/>
      <c r="E1740" s="26"/>
      <c r="F1740" s="26"/>
      <c r="G1740" s="26"/>
      <c r="H1740" s="26"/>
      <c r="I1740" s="26"/>
      <c r="J1740" s="26"/>
      <c r="K1740" s="26"/>
    </row>
    <row r="1741" spans="1:11" s="5" customFormat="1" ht="15" customHeight="1" x14ac:dyDescent="0.2">
      <c r="A1741" s="26"/>
      <c r="B1741" s="14" t="str">
        <f>IF(A1741="","",_xlfn.XLOOKUP(A1741,'DISPATCH SHEET'!B$3:B$121,'DISPATCH SHEET'!C$3:C$121,""))</f>
        <v/>
      </c>
      <c r="C1741" s="14" t="str">
        <f>IF(ISBLANK(A1741),"",_xlfn.XLOOKUP(A1741,'DISPATCH SHEET'!C$3:C$121,'DISPATCH SHEET'!#REF!,""))</f>
        <v/>
      </c>
      <c r="D1741" s="26"/>
      <c r="E1741" s="26"/>
      <c r="F1741" s="26"/>
      <c r="G1741" s="26"/>
      <c r="H1741" s="26"/>
      <c r="I1741" s="26"/>
      <c r="J1741" s="26"/>
      <c r="K1741" s="26"/>
    </row>
    <row r="1742" spans="1:11" s="5" customFormat="1" ht="15" customHeight="1" x14ac:dyDescent="0.2">
      <c r="A1742" s="26"/>
      <c r="B1742" s="14" t="str">
        <f>IF(A1742="","",_xlfn.XLOOKUP(A1742,'DISPATCH SHEET'!B$3:B$121,'DISPATCH SHEET'!C$3:C$121,""))</f>
        <v/>
      </c>
      <c r="C1742" s="14" t="str">
        <f>IF(ISBLANK(A1742),"",_xlfn.XLOOKUP(A1742,'DISPATCH SHEET'!C$3:C$121,'DISPATCH SHEET'!#REF!,""))</f>
        <v/>
      </c>
      <c r="D1742" s="26"/>
      <c r="E1742" s="26"/>
      <c r="F1742" s="26"/>
      <c r="G1742" s="26"/>
      <c r="H1742" s="26"/>
      <c r="I1742" s="26"/>
      <c r="J1742" s="26"/>
      <c r="K1742" s="26"/>
    </row>
    <row r="1743" spans="1:11" s="5" customFormat="1" ht="15" customHeight="1" x14ac:dyDescent="0.2">
      <c r="A1743" s="26"/>
      <c r="B1743" s="14" t="str">
        <f>IF(A1743="","",_xlfn.XLOOKUP(A1743,'DISPATCH SHEET'!B$3:B$121,'DISPATCH SHEET'!C$3:C$121,""))</f>
        <v/>
      </c>
      <c r="C1743" s="14" t="str">
        <f>IF(ISBLANK(A1743),"",_xlfn.XLOOKUP(A1743,'DISPATCH SHEET'!C$3:C$121,'DISPATCH SHEET'!#REF!,""))</f>
        <v/>
      </c>
      <c r="D1743" s="26"/>
      <c r="E1743" s="26"/>
      <c r="F1743" s="26"/>
      <c r="G1743" s="26"/>
      <c r="H1743" s="26"/>
      <c r="I1743" s="26"/>
      <c r="J1743" s="26"/>
      <c r="K1743" s="26"/>
    </row>
    <row r="1744" spans="1:11" s="5" customFormat="1" ht="15" customHeight="1" x14ac:dyDescent="0.2">
      <c r="A1744" s="26"/>
      <c r="B1744" s="14" t="str">
        <f>IF(A1744="","",_xlfn.XLOOKUP(A1744,'DISPATCH SHEET'!B$3:B$121,'DISPATCH SHEET'!C$3:C$121,""))</f>
        <v/>
      </c>
      <c r="C1744" s="14" t="str">
        <f>IF(ISBLANK(A1744),"",_xlfn.XLOOKUP(A1744,'DISPATCH SHEET'!C$3:C$121,'DISPATCH SHEET'!#REF!,""))</f>
        <v/>
      </c>
      <c r="D1744" s="26"/>
      <c r="E1744" s="26"/>
      <c r="F1744" s="26"/>
      <c r="G1744" s="26"/>
      <c r="H1744" s="26"/>
      <c r="I1744" s="26"/>
      <c r="J1744" s="26"/>
      <c r="K1744" s="26"/>
    </row>
    <row r="1745" spans="1:11" s="5" customFormat="1" ht="15" customHeight="1" x14ac:dyDescent="0.2">
      <c r="A1745" s="26"/>
      <c r="B1745" s="14" t="str">
        <f>IF(A1745="","",_xlfn.XLOOKUP(A1745,'DISPATCH SHEET'!B$3:B$121,'DISPATCH SHEET'!C$3:C$121,""))</f>
        <v/>
      </c>
      <c r="C1745" s="14" t="str">
        <f>IF(ISBLANK(A1745),"",_xlfn.XLOOKUP(A1745,'DISPATCH SHEET'!C$3:C$121,'DISPATCH SHEET'!#REF!,""))</f>
        <v/>
      </c>
      <c r="D1745" s="26"/>
      <c r="E1745" s="26"/>
      <c r="F1745" s="26"/>
      <c r="G1745" s="26"/>
      <c r="H1745" s="26"/>
      <c r="I1745" s="26"/>
      <c r="J1745" s="26"/>
      <c r="K1745" s="26"/>
    </row>
    <row r="1746" spans="1:11" s="5" customFormat="1" ht="15" customHeight="1" x14ac:dyDescent="0.2">
      <c r="A1746" s="26"/>
      <c r="B1746" s="14" t="str">
        <f>IF(A1746="","",_xlfn.XLOOKUP(A1746,'DISPATCH SHEET'!B$3:B$121,'DISPATCH SHEET'!C$3:C$121,""))</f>
        <v/>
      </c>
      <c r="C1746" s="14" t="str">
        <f>IF(ISBLANK(A1746),"",_xlfn.XLOOKUP(A1746,'DISPATCH SHEET'!C$3:C$121,'DISPATCH SHEET'!#REF!,""))</f>
        <v/>
      </c>
      <c r="D1746" s="26"/>
      <c r="E1746" s="26"/>
      <c r="F1746" s="26"/>
      <c r="G1746" s="26"/>
      <c r="H1746" s="26"/>
      <c r="I1746" s="26"/>
      <c r="J1746" s="26"/>
      <c r="K1746" s="26"/>
    </row>
    <row r="1747" spans="1:11" s="5" customFormat="1" ht="15" customHeight="1" x14ac:dyDescent="0.2">
      <c r="A1747" s="26"/>
      <c r="B1747" s="14" t="str">
        <f>IF(A1747="","",_xlfn.XLOOKUP(A1747,'DISPATCH SHEET'!B$3:B$121,'DISPATCH SHEET'!C$3:C$121,""))</f>
        <v/>
      </c>
      <c r="C1747" s="14" t="str">
        <f>IF(ISBLANK(A1747),"",_xlfn.XLOOKUP(A1747,'DISPATCH SHEET'!C$3:C$121,'DISPATCH SHEET'!#REF!,""))</f>
        <v/>
      </c>
      <c r="D1747" s="26"/>
      <c r="E1747" s="26"/>
      <c r="F1747" s="26"/>
      <c r="G1747" s="26"/>
      <c r="H1747" s="26"/>
      <c r="I1747" s="26"/>
      <c r="J1747" s="26"/>
      <c r="K1747" s="26"/>
    </row>
    <row r="1748" spans="1:11" s="5" customFormat="1" ht="15" customHeight="1" x14ac:dyDescent="0.2">
      <c r="A1748" s="26"/>
      <c r="B1748" s="14" t="str">
        <f>IF(A1748="","",_xlfn.XLOOKUP(A1748,'DISPATCH SHEET'!B$3:B$121,'DISPATCH SHEET'!C$3:C$121,""))</f>
        <v/>
      </c>
      <c r="C1748" s="14" t="str">
        <f>IF(ISBLANK(A1748),"",_xlfn.XLOOKUP(A1748,'DISPATCH SHEET'!C$3:C$121,'DISPATCH SHEET'!#REF!,""))</f>
        <v/>
      </c>
      <c r="D1748" s="26"/>
      <c r="E1748" s="26"/>
      <c r="F1748" s="26"/>
      <c r="G1748" s="26"/>
      <c r="H1748" s="26"/>
      <c r="I1748" s="26"/>
      <c r="J1748" s="26"/>
      <c r="K1748" s="26"/>
    </row>
    <row r="1749" spans="1:11" s="5" customFormat="1" ht="15" customHeight="1" x14ac:dyDescent="0.2">
      <c r="A1749" s="26"/>
      <c r="B1749" s="14" t="str">
        <f>IF(A1749="","",_xlfn.XLOOKUP(A1749,'DISPATCH SHEET'!B$3:B$121,'DISPATCH SHEET'!C$3:C$121,""))</f>
        <v/>
      </c>
      <c r="C1749" s="14" t="str">
        <f>IF(ISBLANK(A1749),"",_xlfn.XLOOKUP(A1749,'DISPATCH SHEET'!C$3:C$121,'DISPATCH SHEET'!#REF!,""))</f>
        <v/>
      </c>
      <c r="D1749" s="26"/>
      <c r="E1749" s="26"/>
      <c r="F1749" s="26"/>
      <c r="G1749" s="26"/>
      <c r="H1749" s="26"/>
      <c r="I1749" s="26"/>
      <c r="J1749" s="26"/>
      <c r="K1749" s="26"/>
    </row>
    <row r="1750" spans="1:11" s="5" customFormat="1" ht="15" customHeight="1" x14ac:dyDescent="0.2">
      <c r="A1750" s="26"/>
      <c r="B1750" s="14" t="str">
        <f>IF(A1750="","",_xlfn.XLOOKUP(A1750,'DISPATCH SHEET'!B$3:B$121,'DISPATCH SHEET'!C$3:C$121,""))</f>
        <v/>
      </c>
      <c r="C1750" s="14" t="str">
        <f>IF(ISBLANK(A1750),"",_xlfn.XLOOKUP(A1750,'DISPATCH SHEET'!C$3:C$121,'DISPATCH SHEET'!#REF!,""))</f>
        <v/>
      </c>
      <c r="D1750" s="26"/>
      <c r="E1750" s="26"/>
      <c r="F1750" s="26"/>
      <c r="G1750" s="26"/>
      <c r="H1750" s="26"/>
      <c r="I1750" s="26"/>
      <c r="J1750" s="26"/>
      <c r="K1750" s="26"/>
    </row>
    <row r="1751" spans="1:11" s="5" customFormat="1" ht="15" customHeight="1" x14ac:dyDescent="0.2">
      <c r="A1751" s="26"/>
      <c r="B1751" s="14" t="str">
        <f>IF(A1751="","",_xlfn.XLOOKUP(A1751,'DISPATCH SHEET'!B$3:B$121,'DISPATCH SHEET'!C$3:C$121,""))</f>
        <v/>
      </c>
      <c r="C1751" s="14" t="str">
        <f>IF(ISBLANK(A1751),"",_xlfn.XLOOKUP(A1751,'DISPATCH SHEET'!C$3:C$121,'DISPATCH SHEET'!#REF!,""))</f>
        <v/>
      </c>
      <c r="D1751" s="26"/>
      <c r="E1751" s="26"/>
      <c r="F1751" s="26"/>
      <c r="G1751" s="26"/>
      <c r="H1751" s="26"/>
      <c r="I1751" s="26"/>
      <c r="J1751" s="26"/>
      <c r="K1751" s="26"/>
    </row>
    <row r="1752" spans="1:11" s="5" customFormat="1" ht="15" customHeight="1" x14ac:dyDescent="0.2">
      <c r="A1752" s="26"/>
      <c r="B1752" s="14" t="str">
        <f>IF(A1752="","",_xlfn.XLOOKUP(A1752,'DISPATCH SHEET'!B$3:B$121,'DISPATCH SHEET'!C$3:C$121,""))</f>
        <v/>
      </c>
      <c r="C1752" s="14" t="str">
        <f>IF(ISBLANK(A1752),"",_xlfn.XLOOKUP(A1752,'DISPATCH SHEET'!C$3:C$121,'DISPATCH SHEET'!#REF!,""))</f>
        <v/>
      </c>
      <c r="D1752" s="26"/>
      <c r="E1752" s="26"/>
      <c r="F1752" s="26"/>
      <c r="G1752" s="26"/>
      <c r="H1752" s="26"/>
      <c r="I1752" s="26"/>
      <c r="J1752" s="26"/>
      <c r="K1752" s="26"/>
    </row>
    <row r="1753" spans="1:11" s="5" customFormat="1" ht="15" customHeight="1" x14ac:dyDescent="0.2">
      <c r="A1753" s="26"/>
      <c r="B1753" s="14" t="str">
        <f>IF(A1753="","",_xlfn.XLOOKUP(A1753,'DISPATCH SHEET'!B$3:B$121,'DISPATCH SHEET'!C$3:C$121,""))</f>
        <v/>
      </c>
      <c r="C1753" s="14" t="str">
        <f>IF(ISBLANK(A1753),"",_xlfn.XLOOKUP(A1753,'DISPATCH SHEET'!C$3:C$121,'DISPATCH SHEET'!#REF!,""))</f>
        <v/>
      </c>
      <c r="D1753" s="26"/>
      <c r="E1753" s="26"/>
      <c r="F1753" s="26"/>
      <c r="G1753" s="26"/>
      <c r="H1753" s="26"/>
      <c r="I1753" s="26"/>
      <c r="J1753" s="26"/>
      <c r="K1753" s="26"/>
    </row>
    <row r="1754" spans="1:11" s="5" customFormat="1" ht="15" customHeight="1" x14ac:dyDescent="0.2">
      <c r="A1754" s="26"/>
      <c r="B1754" s="14" t="str">
        <f>IF(A1754="","",_xlfn.XLOOKUP(A1754,'DISPATCH SHEET'!B$3:B$121,'DISPATCH SHEET'!C$3:C$121,""))</f>
        <v/>
      </c>
      <c r="C1754" s="14" t="str">
        <f>IF(ISBLANK(A1754),"",_xlfn.XLOOKUP(A1754,'DISPATCH SHEET'!C$3:C$121,'DISPATCH SHEET'!#REF!,""))</f>
        <v/>
      </c>
      <c r="D1754" s="26"/>
      <c r="E1754" s="26"/>
      <c r="F1754" s="26"/>
      <c r="G1754" s="26"/>
      <c r="H1754" s="26"/>
      <c r="I1754" s="26"/>
      <c r="J1754" s="26"/>
      <c r="K1754" s="26"/>
    </row>
    <row r="1755" spans="1:11" s="5" customFormat="1" ht="15" customHeight="1" x14ac:dyDescent="0.2">
      <c r="A1755" s="26"/>
      <c r="B1755" s="14" t="str">
        <f>IF(A1755="","",_xlfn.XLOOKUP(A1755,'DISPATCH SHEET'!B$3:B$121,'DISPATCH SHEET'!C$3:C$121,""))</f>
        <v/>
      </c>
      <c r="C1755" s="14" t="str">
        <f>IF(ISBLANK(A1755),"",_xlfn.XLOOKUP(A1755,'DISPATCH SHEET'!C$3:C$121,'DISPATCH SHEET'!#REF!,""))</f>
        <v/>
      </c>
      <c r="D1755" s="26"/>
      <c r="E1755" s="26"/>
      <c r="F1755" s="26"/>
      <c r="G1755" s="26"/>
      <c r="H1755" s="26"/>
      <c r="I1755" s="26"/>
      <c r="J1755" s="26"/>
      <c r="K1755" s="26"/>
    </row>
    <row r="1756" spans="1:11" s="5" customFormat="1" ht="15" customHeight="1" x14ac:dyDescent="0.2">
      <c r="A1756" s="26"/>
      <c r="B1756" s="14" t="str">
        <f>IF(A1756="","",_xlfn.XLOOKUP(A1756,'DISPATCH SHEET'!B$3:B$121,'DISPATCH SHEET'!C$3:C$121,""))</f>
        <v/>
      </c>
      <c r="C1756" s="14" t="str">
        <f>IF(ISBLANK(A1756),"",_xlfn.XLOOKUP(A1756,'DISPATCH SHEET'!C$3:C$121,'DISPATCH SHEET'!#REF!,""))</f>
        <v/>
      </c>
      <c r="D1756" s="26"/>
      <c r="E1756" s="26"/>
      <c r="F1756" s="26"/>
      <c r="G1756" s="26"/>
      <c r="H1756" s="26"/>
      <c r="I1756" s="26"/>
      <c r="J1756" s="26"/>
      <c r="K1756" s="26"/>
    </row>
    <row r="1757" spans="1:11" s="5" customFormat="1" ht="15" customHeight="1" x14ac:dyDescent="0.2">
      <c r="A1757" s="26"/>
      <c r="B1757" s="14" t="str">
        <f>IF(A1757="","",_xlfn.XLOOKUP(A1757,'DISPATCH SHEET'!B$3:B$121,'DISPATCH SHEET'!C$3:C$121,""))</f>
        <v/>
      </c>
      <c r="C1757" s="14" t="str">
        <f>IF(ISBLANK(A1757),"",_xlfn.XLOOKUP(A1757,'DISPATCH SHEET'!C$3:C$121,'DISPATCH SHEET'!#REF!,""))</f>
        <v/>
      </c>
      <c r="D1757" s="26"/>
      <c r="E1757" s="26"/>
      <c r="F1757" s="26"/>
      <c r="G1757" s="26"/>
      <c r="H1757" s="26"/>
      <c r="I1757" s="26"/>
      <c r="J1757" s="26"/>
      <c r="K1757" s="26"/>
    </row>
    <row r="1758" spans="1:11" s="5" customFormat="1" ht="15" customHeight="1" x14ac:dyDescent="0.2">
      <c r="A1758" s="26"/>
      <c r="B1758" s="14" t="str">
        <f>IF(A1758="","",_xlfn.XLOOKUP(A1758,'DISPATCH SHEET'!B$3:B$121,'DISPATCH SHEET'!C$3:C$121,""))</f>
        <v/>
      </c>
      <c r="C1758" s="14" t="str">
        <f>IF(ISBLANK(A1758),"",_xlfn.XLOOKUP(A1758,'DISPATCH SHEET'!C$3:C$121,'DISPATCH SHEET'!#REF!,""))</f>
        <v/>
      </c>
      <c r="D1758" s="26"/>
      <c r="E1758" s="26"/>
      <c r="F1758" s="26"/>
      <c r="G1758" s="26"/>
      <c r="H1758" s="26"/>
      <c r="I1758" s="26"/>
      <c r="J1758" s="26"/>
      <c r="K1758" s="26"/>
    </row>
    <row r="1759" spans="1:11" s="5" customFormat="1" ht="15" customHeight="1" x14ac:dyDescent="0.2">
      <c r="A1759" s="26"/>
      <c r="B1759" s="14" t="str">
        <f>IF(A1759="","",_xlfn.XLOOKUP(A1759,'DISPATCH SHEET'!B$3:B$121,'DISPATCH SHEET'!C$3:C$121,""))</f>
        <v/>
      </c>
      <c r="C1759" s="14" t="str">
        <f>IF(ISBLANK(A1759),"",_xlfn.XLOOKUP(A1759,'DISPATCH SHEET'!C$3:C$121,'DISPATCH SHEET'!#REF!,""))</f>
        <v/>
      </c>
      <c r="D1759" s="26"/>
      <c r="E1759" s="26"/>
      <c r="F1759" s="26"/>
      <c r="G1759" s="26"/>
      <c r="H1759" s="26"/>
      <c r="I1759" s="26"/>
      <c r="J1759" s="26"/>
      <c r="K1759" s="26"/>
    </row>
    <row r="1760" spans="1:11" s="5" customFormat="1" ht="15" customHeight="1" x14ac:dyDescent="0.2">
      <c r="A1760" s="26"/>
      <c r="B1760" s="14" t="str">
        <f>IF(A1760="","",_xlfn.XLOOKUP(A1760,'DISPATCH SHEET'!B$3:B$121,'DISPATCH SHEET'!C$3:C$121,""))</f>
        <v/>
      </c>
      <c r="C1760" s="14" t="str">
        <f>IF(ISBLANK(A1760),"",_xlfn.XLOOKUP(A1760,'DISPATCH SHEET'!C$3:C$121,'DISPATCH SHEET'!#REF!,""))</f>
        <v/>
      </c>
      <c r="D1760" s="26"/>
      <c r="E1760" s="26"/>
      <c r="F1760" s="26"/>
      <c r="G1760" s="26"/>
      <c r="H1760" s="26"/>
      <c r="I1760" s="26"/>
      <c r="J1760" s="26"/>
      <c r="K1760" s="26"/>
    </row>
    <row r="1761" spans="1:11" s="5" customFormat="1" ht="15" customHeight="1" x14ac:dyDescent="0.2">
      <c r="A1761" s="26"/>
      <c r="B1761" s="14" t="str">
        <f>IF(A1761="","",_xlfn.XLOOKUP(A1761,'DISPATCH SHEET'!B$3:B$121,'DISPATCH SHEET'!C$3:C$121,""))</f>
        <v/>
      </c>
      <c r="C1761" s="14" t="str">
        <f>IF(ISBLANK(A1761),"",_xlfn.XLOOKUP(A1761,'DISPATCH SHEET'!C$3:C$121,'DISPATCH SHEET'!#REF!,""))</f>
        <v/>
      </c>
      <c r="D1761" s="26"/>
      <c r="E1761" s="26"/>
      <c r="F1761" s="26"/>
      <c r="G1761" s="26"/>
      <c r="H1761" s="26"/>
      <c r="I1761" s="26"/>
      <c r="J1761" s="26"/>
      <c r="K1761" s="26"/>
    </row>
    <row r="1762" spans="1:11" s="5" customFormat="1" ht="15" customHeight="1" x14ac:dyDescent="0.2">
      <c r="A1762" s="26"/>
      <c r="B1762" s="14" t="str">
        <f>IF(A1762="","",_xlfn.XLOOKUP(A1762,'DISPATCH SHEET'!B$3:B$121,'DISPATCH SHEET'!C$3:C$121,""))</f>
        <v/>
      </c>
      <c r="C1762" s="14" t="str">
        <f>IF(ISBLANK(A1762),"",_xlfn.XLOOKUP(A1762,'DISPATCH SHEET'!C$3:C$121,'DISPATCH SHEET'!#REF!,""))</f>
        <v/>
      </c>
      <c r="D1762" s="26"/>
      <c r="E1762" s="26"/>
      <c r="F1762" s="26"/>
      <c r="G1762" s="26"/>
      <c r="H1762" s="26"/>
      <c r="I1762" s="26"/>
      <c r="J1762" s="26"/>
      <c r="K1762" s="26"/>
    </row>
    <row r="1763" spans="1:11" s="5" customFormat="1" ht="15" customHeight="1" x14ac:dyDescent="0.2">
      <c r="A1763" s="26"/>
      <c r="B1763" s="14" t="str">
        <f>IF(A1763="","",_xlfn.XLOOKUP(A1763,'DISPATCH SHEET'!B$3:B$121,'DISPATCH SHEET'!C$3:C$121,""))</f>
        <v/>
      </c>
      <c r="C1763" s="14" t="str">
        <f>IF(ISBLANK(A1763),"",_xlfn.XLOOKUP(A1763,'DISPATCH SHEET'!C$3:C$121,'DISPATCH SHEET'!#REF!,""))</f>
        <v/>
      </c>
      <c r="D1763" s="26"/>
      <c r="E1763" s="26"/>
      <c r="F1763" s="26"/>
      <c r="G1763" s="26"/>
      <c r="H1763" s="26"/>
      <c r="I1763" s="26"/>
      <c r="J1763" s="26"/>
      <c r="K1763" s="26"/>
    </row>
    <row r="1764" spans="1:11" s="5" customFormat="1" ht="15" customHeight="1" x14ac:dyDescent="0.2">
      <c r="A1764" s="26"/>
      <c r="B1764" s="14" t="str">
        <f>IF(A1764="","",_xlfn.XLOOKUP(A1764,'DISPATCH SHEET'!B$3:B$121,'DISPATCH SHEET'!C$3:C$121,""))</f>
        <v/>
      </c>
      <c r="C1764" s="14" t="str">
        <f>IF(ISBLANK(A1764),"",_xlfn.XLOOKUP(A1764,'DISPATCH SHEET'!C$3:C$121,'DISPATCH SHEET'!#REF!,""))</f>
        <v/>
      </c>
      <c r="D1764" s="26"/>
      <c r="E1764" s="26"/>
      <c r="F1764" s="26"/>
      <c r="G1764" s="26"/>
      <c r="H1764" s="26"/>
      <c r="I1764" s="26"/>
      <c r="J1764" s="26"/>
      <c r="K1764" s="26"/>
    </row>
    <row r="1765" spans="1:11" s="5" customFormat="1" ht="15" customHeight="1" x14ac:dyDescent="0.2">
      <c r="A1765" s="26"/>
      <c r="B1765" s="14" t="str">
        <f>IF(A1765="","",_xlfn.XLOOKUP(A1765,'DISPATCH SHEET'!B$3:B$121,'DISPATCH SHEET'!C$3:C$121,""))</f>
        <v/>
      </c>
      <c r="C1765" s="14" t="str">
        <f>IF(ISBLANK(A1765),"",_xlfn.XLOOKUP(A1765,'DISPATCH SHEET'!C$3:C$121,'DISPATCH SHEET'!#REF!,""))</f>
        <v/>
      </c>
      <c r="D1765" s="26"/>
      <c r="E1765" s="26"/>
      <c r="F1765" s="26"/>
      <c r="G1765" s="26"/>
      <c r="H1765" s="26"/>
      <c r="I1765" s="26"/>
      <c r="J1765" s="26"/>
      <c r="K1765" s="26"/>
    </row>
    <row r="1766" spans="1:11" s="5" customFormat="1" ht="15" customHeight="1" x14ac:dyDescent="0.2">
      <c r="A1766" s="26"/>
      <c r="B1766" s="14" t="str">
        <f>IF(A1766="","",_xlfn.XLOOKUP(A1766,'DISPATCH SHEET'!B$3:B$121,'DISPATCH SHEET'!C$3:C$121,""))</f>
        <v/>
      </c>
      <c r="C1766" s="14" t="str">
        <f>IF(ISBLANK(A1766),"",_xlfn.XLOOKUP(A1766,'DISPATCH SHEET'!C$3:C$121,'DISPATCH SHEET'!#REF!,""))</f>
        <v/>
      </c>
      <c r="D1766" s="26"/>
      <c r="E1766" s="26"/>
      <c r="F1766" s="26"/>
      <c r="G1766" s="26"/>
      <c r="H1766" s="26"/>
      <c r="I1766" s="26"/>
      <c r="J1766" s="26"/>
      <c r="K1766" s="26"/>
    </row>
    <row r="1767" spans="1:11" s="5" customFormat="1" ht="15" customHeight="1" x14ac:dyDescent="0.2">
      <c r="A1767" s="26"/>
      <c r="B1767" s="14" t="str">
        <f>IF(A1767="","",_xlfn.XLOOKUP(A1767,'DISPATCH SHEET'!B$3:B$121,'DISPATCH SHEET'!C$3:C$121,""))</f>
        <v/>
      </c>
      <c r="C1767" s="14" t="str">
        <f>IF(ISBLANK(A1767),"",_xlfn.XLOOKUP(A1767,'DISPATCH SHEET'!C$3:C$121,'DISPATCH SHEET'!#REF!,""))</f>
        <v/>
      </c>
      <c r="D1767" s="26"/>
      <c r="E1767" s="26"/>
      <c r="F1767" s="26"/>
      <c r="G1767" s="26"/>
      <c r="H1767" s="26"/>
      <c r="I1767" s="26"/>
      <c r="J1767" s="26"/>
      <c r="K1767" s="26"/>
    </row>
    <row r="1768" spans="1:11" s="5" customFormat="1" ht="15" customHeight="1" x14ac:dyDescent="0.2">
      <c r="A1768" s="26"/>
      <c r="B1768" s="14" t="str">
        <f>IF(A1768="","",_xlfn.XLOOKUP(A1768,'DISPATCH SHEET'!B$3:B$121,'DISPATCH SHEET'!C$3:C$121,""))</f>
        <v/>
      </c>
      <c r="C1768" s="14" t="str">
        <f>IF(ISBLANK(A1768),"",_xlfn.XLOOKUP(A1768,'DISPATCH SHEET'!C$3:C$121,'DISPATCH SHEET'!#REF!,""))</f>
        <v/>
      </c>
      <c r="D1768" s="26"/>
      <c r="E1768" s="26"/>
      <c r="F1768" s="26"/>
      <c r="G1768" s="26"/>
      <c r="H1768" s="26"/>
      <c r="I1768" s="26"/>
      <c r="J1768" s="26"/>
      <c r="K1768" s="26"/>
    </row>
    <row r="1769" spans="1:11" s="5" customFormat="1" ht="15" customHeight="1" x14ac:dyDescent="0.2">
      <c r="A1769" s="26"/>
      <c r="B1769" s="14" t="str">
        <f>IF(A1769="","",_xlfn.XLOOKUP(A1769,'DISPATCH SHEET'!B$3:B$121,'DISPATCH SHEET'!C$3:C$121,""))</f>
        <v/>
      </c>
      <c r="C1769" s="14" t="str">
        <f>IF(ISBLANK(A1769),"",_xlfn.XLOOKUP(A1769,'DISPATCH SHEET'!C$3:C$121,'DISPATCH SHEET'!#REF!,""))</f>
        <v/>
      </c>
      <c r="D1769" s="26"/>
      <c r="E1769" s="26"/>
      <c r="F1769" s="26"/>
      <c r="G1769" s="26"/>
      <c r="H1769" s="26"/>
      <c r="I1769" s="26"/>
      <c r="J1769" s="26"/>
      <c r="K1769" s="26"/>
    </row>
    <row r="1770" spans="1:11" s="5" customFormat="1" ht="15" customHeight="1" x14ac:dyDescent="0.2">
      <c r="A1770" s="26"/>
      <c r="B1770" s="14" t="str">
        <f>IF(A1770="","",_xlfn.XLOOKUP(A1770,'DISPATCH SHEET'!B$3:B$121,'DISPATCH SHEET'!C$3:C$121,""))</f>
        <v/>
      </c>
      <c r="C1770" s="14" t="str">
        <f>IF(ISBLANK(A1770),"",_xlfn.XLOOKUP(A1770,'DISPATCH SHEET'!C$3:C$121,'DISPATCH SHEET'!#REF!,""))</f>
        <v/>
      </c>
      <c r="D1770" s="26"/>
      <c r="E1770" s="26"/>
      <c r="F1770" s="26"/>
      <c r="G1770" s="26"/>
      <c r="H1770" s="26"/>
      <c r="I1770" s="26"/>
      <c r="J1770" s="26"/>
      <c r="K1770" s="26"/>
    </row>
    <row r="1771" spans="1:11" s="5" customFormat="1" ht="15" customHeight="1" x14ac:dyDescent="0.2">
      <c r="A1771" s="26"/>
      <c r="B1771" s="14" t="str">
        <f>IF(A1771="","",_xlfn.XLOOKUP(A1771,'DISPATCH SHEET'!B$3:B$121,'DISPATCH SHEET'!C$3:C$121,""))</f>
        <v/>
      </c>
      <c r="C1771" s="14" t="str">
        <f>IF(ISBLANK(A1771),"",_xlfn.XLOOKUP(A1771,'DISPATCH SHEET'!C$3:C$121,'DISPATCH SHEET'!#REF!,""))</f>
        <v/>
      </c>
      <c r="D1771" s="26"/>
      <c r="E1771" s="26"/>
      <c r="F1771" s="26"/>
      <c r="G1771" s="26"/>
      <c r="H1771" s="26"/>
      <c r="I1771" s="26"/>
      <c r="J1771" s="26"/>
      <c r="K1771" s="26"/>
    </row>
    <row r="1772" spans="1:11" s="5" customFormat="1" ht="15" customHeight="1" x14ac:dyDescent="0.2">
      <c r="A1772" s="26"/>
      <c r="B1772" s="14" t="str">
        <f>IF(A1772="","",_xlfn.XLOOKUP(A1772,'DISPATCH SHEET'!B$3:B$121,'DISPATCH SHEET'!C$3:C$121,""))</f>
        <v/>
      </c>
      <c r="C1772" s="14" t="str">
        <f>IF(ISBLANK(A1772),"",_xlfn.XLOOKUP(A1772,'DISPATCH SHEET'!C$3:C$121,'DISPATCH SHEET'!#REF!,""))</f>
        <v/>
      </c>
      <c r="D1772" s="26"/>
      <c r="E1772" s="26"/>
      <c r="F1772" s="26"/>
      <c r="G1772" s="26"/>
      <c r="H1772" s="26"/>
      <c r="I1772" s="26"/>
      <c r="J1772" s="26"/>
      <c r="K1772" s="26"/>
    </row>
    <row r="1773" spans="1:11" s="5" customFormat="1" ht="15" customHeight="1" x14ac:dyDescent="0.2">
      <c r="A1773" s="26"/>
      <c r="B1773" s="14" t="str">
        <f>IF(A1773="","",_xlfn.XLOOKUP(A1773,'DISPATCH SHEET'!B$3:B$121,'DISPATCH SHEET'!C$3:C$121,""))</f>
        <v/>
      </c>
      <c r="C1773" s="14" t="str">
        <f>IF(ISBLANK(A1773),"",_xlfn.XLOOKUP(A1773,'DISPATCH SHEET'!C$3:C$121,'DISPATCH SHEET'!#REF!,""))</f>
        <v/>
      </c>
      <c r="D1773" s="26"/>
      <c r="E1773" s="26"/>
      <c r="F1773" s="26"/>
      <c r="G1773" s="26"/>
      <c r="H1773" s="26"/>
      <c r="I1773" s="26"/>
      <c r="J1773" s="26"/>
      <c r="K1773" s="26"/>
    </row>
    <row r="1774" spans="1:11" s="5" customFormat="1" ht="15" customHeight="1" x14ac:dyDescent="0.2">
      <c r="A1774" s="26"/>
      <c r="B1774" s="14" t="str">
        <f>IF(A1774="","",_xlfn.XLOOKUP(A1774,'DISPATCH SHEET'!B$3:B$121,'DISPATCH SHEET'!C$3:C$121,""))</f>
        <v/>
      </c>
      <c r="C1774" s="14" t="str">
        <f>IF(ISBLANK(A1774),"",_xlfn.XLOOKUP(A1774,'DISPATCH SHEET'!C$3:C$121,'DISPATCH SHEET'!#REF!,""))</f>
        <v/>
      </c>
      <c r="D1774" s="26"/>
      <c r="E1774" s="26"/>
      <c r="F1774" s="26"/>
      <c r="G1774" s="26"/>
      <c r="H1774" s="26"/>
      <c r="I1774" s="26"/>
      <c r="J1774" s="26"/>
      <c r="K1774" s="26"/>
    </row>
    <row r="1775" spans="1:11" s="5" customFormat="1" ht="15" customHeight="1" x14ac:dyDescent="0.2">
      <c r="A1775" s="26"/>
      <c r="B1775" s="14" t="str">
        <f>IF(A1775="","",_xlfn.XLOOKUP(A1775,'DISPATCH SHEET'!B$3:B$121,'DISPATCH SHEET'!C$3:C$121,""))</f>
        <v/>
      </c>
      <c r="C1775" s="14" t="str">
        <f>IF(ISBLANK(A1775),"",_xlfn.XLOOKUP(A1775,'DISPATCH SHEET'!C$3:C$121,'DISPATCH SHEET'!#REF!,""))</f>
        <v/>
      </c>
      <c r="D1775" s="26"/>
      <c r="E1775" s="26"/>
      <c r="F1775" s="26"/>
      <c r="G1775" s="26"/>
      <c r="H1775" s="26"/>
      <c r="I1775" s="26"/>
      <c r="J1775" s="26"/>
      <c r="K1775" s="26"/>
    </row>
    <row r="1776" spans="1:11" s="5" customFormat="1" ht="15" customHeight="1" x14ac:dyDescent="0.2">
      <c r="A1776" s="26"/>
      <c r="B1776" s="14" t="str">
        <f>IF(A1776="","",_xlfn.XLOOKUP(A1776,'DISPATCH SHEET'!B$3:B$121,'DISPATCH SHEET'!C$3:C$121,""))</f>
        <v/>
      </c>
      <c r="C1776" s="14" t="str">
        <f>IF(ISBLANK(A1776),"",_xlfn.XLOOKUP(A1776,'DISPATCH SHEET'!C$3:C$121,'DISPATCH SHEET'!#REF!,""))</f>
        <v/>
      </c>
      <c r="D1776" s="26"/>
      <c r="E1776" s="26"/>
      <c r="F1776" s="26"/>
      <c r="G1776" s="26"/>
      <c r="H1776" s="26"/>
      <c r="I1776" s="26"/>
      <c r="J1776" s="26"/>
      <c r="K1776" s="26"/>
    </row>
    <row r="1777" spans="1:11" s="5" customFormat="1" ht="15" customHeight="1" x14ac:dyDescent="0.2">
      <c r="A1777" s="26"/>
      <c r="B1777" s="14" t="str">
        <f>IF(A1777="","",_xlfn.XLOOKUP(A1777,'DISPATCH SHEET'!B$3:B$121,'DISPATCH SHEET'!C$3:C$121,""))</f>
        <v/>
      </c>
      <c r="C1777" s="14" t="str">
        <f>IF(ISBLANK(A1777),"",_xlfn.XLOOKUP(A1777,'DISPATCH SHEET'!C$3:C$121,'DISPATCH SHEET'!#REF!,""))</f>
        <v/>
      </c>
      <c r="D1777" s="26"/>
      <c r="E1777" s="26"/>
      <c r="F1777" s="26"/>
      <c r="G1777" s="26"/>
      <c r="H1777" s="26"/>
      <c r="I1777" s="26"/>
      <c r="J1777" s="26"/>
      <c r="K1777" s="26"/>
    </row>
    <row r="1778" spans="1:11" s="5" customFormat="1" ht="15" customHeight="1" x14ac:dyDescent="0.2">
      <c r="A1778" s="26"/>
      <c r="B1778" s="14" t="str">
        <f>IF(A1778="","",_xlfn.XLOOKUP(A1778,'DISPATCH SHEET'!B$3:B$121,'DISPATCH SHEET'!C$3:C$121,""))</f>
        <v/>
      </c>
      <c r="C1778" s="14" t="str">
        <f>IF(ISBLANK(A1778),"",_xlfn.XLOOKUP(A1778,'DISPATCH SHEET'!C$3:C$121,'DISPATCH SHEET'!#REF!,""))</f>
        <v/>
      </c>
      <c r="D1778" s="26"/>
      <c r="E1778" s="26"/>
      <c r="F1778" s="26"/>
      <c r="G1778" s="26"/>
      <c r="H1778" s="26"/>
      <c r="I1778" s="26"/>
      <c r="J1778" s="26"/>
      <c r="K1778" s="26"/>
    </row>
    <row r="1779" spans="1:11" s="5" customFormat="1" ht="15" customHeight="1" x14ac:dyDescent="0.2">
      <c r="A1779" s="26"/>
      <c r="B1779" s="14" t="str">
        <f>IF(A1779="","",_xlfn.XLOOKUP(A1779,'DISPATCH SHEET'!B$3:B$121,'DISPATCH SHEET'!C$3:C$121,""))</f>
        <v/>
      </c>
      <c r="C1779" s="14" t="str">
        <f>IF(ISBLANK(A1779),"",_xlfn.XLOOKUP(A1779,'DISPATCH SHEET'!C$3:C$121,'DISPATCH SHEET'!#REF!,""))</f>
        <v/>
      </c>
      <c r="D1779" s="26"/>
      <c r="E1779" s="26"/>
      <c r="F1779" s="26"/>
      <c r="G1779" s="26"/>
      <c r="H1779" s="26"/>
      <c r="I1779" s="26"/>
      <c r="J1779" s="26"/>
      <c r="K1779" s="26"/>
    </row>
    <row r="1780" spans="1:11" s="5" customFormat="1" ht="15" customHeight="1" x14ac:dyDescent="0.2">
      <c r="A1780" s="26"/>
      <c r="B1780" s="14" t="str">
        <f>IF(A1780="","",_xlfn.XLOOKUP(A1780,'DISPATCH SHEET'!B$3:B$121,'DISPATCH SHEET'!C$3:C$121,""))</f>
        <v/>
      </c>
      <c r="C1780" s="14" t="str">
        <f>IF(ISBLANK(A1780),"",_xlfn.XLOOKUP(A1780,'DISPATCH SHEET'!C$3:C$121,'DISPATCH SHEET'!#REF!,""))</f>
        <v/>
      </c>
      <c r="D1780" s="26"/>
      <c r="E1780" s="26"/>
      <c r="F1780" s="26"/>
      <c r="G1780" s="26"/>
      <c r="H1780" s="26"/>
      <c r="I1780" s="26"/>
      <c r="J1780" s="26"/>
      <c r="K1780" s="26"/>
    </row>
    <row r="1781" spans="1:11" s="5" customFormat="1" ht="15" customHeight="1" x14ac:dyDescent="0.2">
      <c r="A1781" s="26"/>
      <c r="B1781" s="14" t="str">
        <f>IF(A1781="","",_xlfn.XLOOKUP(A1781,'DISPATCH SHEET'!B$3:B$121,'DISPATCH SHEET'!C$3:C$121,""))</f>
        <v/>
      </c>
      <c r="C1781" s="14" t="str">
        <f>IF(ISBLANK(A1781),"",_xlfn.XLOOKUP(A1781,'DISPATCH SHEET'!C$3:C$121,'DISPATCH SHEET'!#REF!,""))</f>
        <v/>
      </c>
      <c r="D1781" s="26"/>
      <c r="E1781" s="26"/>
      <c r="F1781" s="26"/>
      <c r="G1781" s="26"/>
      <c r="H1781" s="26"/>
      <c r="I1781" s="26"/>
      <c r="J1781" s="26"/>
      <c r="K1781" s="26"/>
    </row>
    <row r="1782" spans="1:11" s="5" customFormat="1" ht="15" customHeight="1" x14ac:dyDescent="0.2">
      <c r="A1782" s="26"/>
      <c r="B1782" s="14" t="str">
        <f>IF(A1782="","",_xlfn.XLOOKUP(A1782,'DISPATCH SHEET'!B$3:B$121,'DISPATCH SHEET'!C$3:C$121,""))</f>
        <v/>
      </c>
      <c r="C1782" s="14" t="str">
        <f>IF(ISBLANK(A1782),"",_xlfn.XLOOKUP(A1782,'DISPATCH SHEET'!C$3:C$121,'DISPATCH SHEET'!#REF!,""))</f>
        <v/>
      </c>
      <c r="D1782" s="26"/>
      <c r="E1782" s="26"/>
      <c r="F1782" s="26"/>
      <c r="G1782" s="26"/>
      <c r="H1782" s="26"/>
      <c r="I1782" s="26"/>
      <c r="J1782" s="26"/>
      <c r="K1782" s="26"/>
    </row>
    <row r="1783" spans="1:11" s="5" customFormat="1" ht="15" customHeight="1" x14ac:dyDescent="0.2">
      <c r="A1783" s="26"/>
      <c r="B1783" s="14" t="str">
        <f>IF(A1783="","",_xlfn.XLOOKUP(A1783,'DISPATCH SHEET'!B$3:B$121,'DISPATCH SHEET'!C$3:C$121,""))</f>
        <v/>
      </c>
      <c r="C1783" s="14" t="str">
        <f>IF(ISBLANK(A1783),"",_xlfn.XLOOKUP(A1783,'DISPATCH SHEET'!C$3:C$121,'DISPATCH SHEET'!#REF!,""))</f>
        <v/>
      </c>
      <c r="D1783" s="26"/>
      <c r="E1783" s="26"/>
      <c r="F1783" s="26"/>
      <c r="G1783" s="26"/>
      <c r="H1783" s="26"/>
      <c r="I1783" s="26"/>
      <c r="J1783" s="26"/>
      <c r="K1783" s="26"/>
    </row>
    <row r="1784" spans="1:11" s="5" customFormat="1" ht="15" customHeight="1" x14ac:dyDescent="0.2">
      <c r="A1784" s="26"/>
      <c r="B1784" s="14" t="str">
        <f>IF(A1784="","",_xlfn.XLOOKUP(A1784,'DISPATCH SHEET'!B$3:B$121,'DISPATCH SHEET'!C$3:C$121,""))</f>
        <v/>
      </c>
      <c r="C1784" s="14" t="str">
        <f>IF(ISBLANK(A1784),"",_xlfn.XLOOKUP(A1784,'DISPATCH SHEET'!C$3:C$121,'DISPATCH SHEET'!#REF!,""))</f>
        <v/>
      </c>
      <c r="D1784" s="26"/>
      <c r="E1784" s="26"/>
      <c r="F1784" s="26"/>
      <c r="G1784" s="26"/>
      <c r="H1784" s="26"/>
      <c r="I1784" s="26"/>
      <c r="J1784" s="26"/>
      <c r="K1784" s="26"/>
    </row>
    <row r="1785" spans="1:11" s="5" customFormat="1" ht="15" customHeight="1" x14ac:dyDescent="0.2">
      <c r="A1785" s="26"/>
      <c r="B1785" s="14" t="str">
        <f>IF(A1785="","",_xlfn.XLOOKUP(A1785,'DISPATCH SHEET'!B$3:B$121,'DISPATCH SHEET'!C$3:C$121,""))</f>
        <v/>
      </c>
      <c r="C1785" s="14" t="str">
        <f>IF(ISBLANK(A1785),"",_xlfn.XLOOKUP(A1785,'DISPATCH SHEET'!C$3:C$121,'DISPATCH SHEET'!#REF!,""))</f>
        <v/>
      </c>
      <c r="D1785" s="26"/>
      <c r="E1785" s="26"/>
      <c r="F1785" s="26"/>
      <c r="G1785" s="26"/>
      <c r="H1785" s="26"/>
      <c r="I1785" s="26"/>
      <c r="J1785" s="26"/>
      <c r="K1785" s="26"/>
    </row>
    <row r="1786" spans="1:11" s="5" customFormat="1" ht="15" customHeight="1" x14ac:dyDescent="0.2">
      <c r="A1786" s="26"/>
      <c r="B1786" s="14" t="str">
        <f>IF(A1786="","",_xlfn.XLOOKUP(A1786,'DISPATCH SHEET'!B$3:B$121,'DISPATCH SHEET'!C$3:C$121,""))</f>
        <v/>
      </c>
      <c r="C1786" s="14" t="str">
        <f>IF(ISBLANK(A1786),"",_xlfn.XLOOKUP(A1786,'DISPATCH SHEET'!C$3:C$121,'DISPATCH SHEET'!#REF!,""))</f>
        <v/>
      </c>
      <c r="D1786" s="26"/>
      <c r="E1786" s="26"/>
      <c r="F1786" s="26"/>
      <c r="G1786" s="26"/>
      <c r="H1786" s="26"/>
      <c r="I1786" s="26"/>
      <c r="J1786" s="26"/>
      <c r="K1786" s="26"/>
    </row>
    <row r="1787" spans="1:11" s="5" customFormat="1" ht="15" customHeight="1" x14ac:dyDescent="0.2">
      <c r="A1787" s="26"/>
      <c r="B1787" s="14" t="str">
        <f>IF(A1787="","",_xlfn.XLOOKUP(A1787,'DISPATCH SHEET'!B$3:B$121,'DISPATCH SHEET'!C$3:C$121,""))</f>
        <v/>
      </c>
      <c r="C1787" s="14" t="str">
        <f>IF(ISBLANK(A1787),"",_xlfn.XLOOKUP(A1787,'DISPATCH SHEET'!C$3:C$121,'DISPATCH SHEET'!#REF!,""))</f>
        <v/>
      </c>
      <c r="D1787" s="26"/>
      <c r="E1787" s="26"/>
      <c r="F1787" s="26"/>
      <c r="G1787" s="26"/>
      <c r="H1787" s="26"/>
      <c r="I1787" s="26"/>
      <c r="J1787" s="26"/>
      <c r="K1787" s="26"/>
    </row>
    <row r="1788" spans="1:11" s="5" customFormat="1" ht="15" customHeight="1" x14ac:dyDescent="0.2">
      <c r="A1788" s="26"/>
      <c r="B1788" s="14" t="str">
        <f>IF(A1788="","",_xlfn.XLOOKUP(A1788,'DISPATCH SHEET'!B$3:B$121,'DISPATCH SHEET'!C$3:C$121,""))</f>
        <v/>
      </c>
      <c r="C1788" s="14" t="str">
        <f>IF(ISBLANK(A1788),"",_xlfn.XLOOKUP(A1788,'DISPATCH SHEET'!C$3:C$121,'DISPATCH SHEET'!#REF!,""))</f>
        <v/>
      </c>
      <c r="D1788" s="26"/>
      <c r="E1788" s="26"/>
      <c r="F1788" s="26"/>
      <c r="G1788" s="26"/>
      <c r="H1788" s="26"/>
      <c r="I1788" s="26"/>
      <c r="J1788" s="26"/>
      <c r="K1788" s="26"/>
    </row>
    <row r="1789" spans="1:11" s="5" customFormat="1" ht="15" customHeight="1" x14ac:dyDescent="0.2">
      <c r="A1789" s="26"/>
      <c r="B1789" s="14" t="str">
        <f>IF(A1789="","",_xlfn.XLOOKUP(A1789,'DISPATCH SHEET'!B$3:B$121,'DISPATCH SHEET'!C$3:C$121,""))</f>
        <v/>
      </c>
      <c r="C1789" s="14" t="str">
        <f>IF(ISBLANK(A1789),"",_xlfn.XLOOKUP(A1789,'DISPATCH SHEET'!C$3:C$121,'DISPATCH SHEET'!#REF!,""))</f>
        <v/>
      </c>
      <c r="D1789" s="26"/>
      <c r="E1789" s="26"/>
      <c r="F1789" s="26"/>
      <c r="G1789" s="26"/>
      <c r="H1789" s="26"/>
      <c r="I1789" s="26"/>
      <c r="J1789" s="26"/>
      <c r="K1789" s="26"/>
    </row>
    <row r="1790" spans="1:11" s="5" customFormat="1" ht="15" customHeight="1" x14ac:dyDescent="0.2">
      <c r="A1790" s="26"/>
      <c r="B1790" s="14" t="str">
        <f>IF(A1790="","",_xlfn.XLOOKUP(A1790,'DISPATCH SHEET'!B$3:B$121,'DISPATCH SHEET'!C$3:C$121,""))</f>
        <v/>
      </c>
      <c r="C1790" s="14" t="str">
        <f>IF(ISBLANK(A1790),"",_xlfn.XLOOKUP(A1790,'DISPATCH SHEET'!C$3:C$121,'DISPATCH SHEET'!#REF!,""))</f>
        <v/>
      </c>
      <c r="D1790" s="26"/>
      <c r="E1790" s="26"/>
      <c r="F1790" s="26"/>
      <c r="G1790" s="26"/>
      <c r="H1790" s="26"/>
      <c r="I1790" s="26"/>
      <c r="J1790" s="26"/>
      <c r="K1790" s="26"/>
    </row>
    <row r="1791" spans="1:11" s="5" customFormat="1" ht="15" customHeight="1" x14ac:dyDescent="0.2">
      <c r="A1791" s="26"/>
      <c r="B1791" s="14" t="str">
        <f>IF(A1791="","",_xlfn.XLOOKUP(A1791,'DISPATCH SHEET'!B$3:B$121,'DISPATCH SHEET'!C$3:C$121,""))</f>
        <v/>
      </c>
      <c r="C1791" s="14" t="str">
        <f>IF(ISBLANK(A1791),"",_xlfn.XLOOKUP(A1791,'DISPATCH SHEET'!C$3:C$121,'DISPATCH SHEET'!#REF!,""))</f>
        <v/>
      </c>
      <c r="D1791" s="26"/>
      <c r="E1791" s="26"/>
      <c r="F1791" s="26"/>
      <c r="G1791" s="26"/>
      <c r="H1791" s="26"/>
      <c r="I1791" s="26"/>
      <c r="J1791" s="26"/>
      <c r="K1791" s="26"/>
    </row>
    <row r="1792" spans="1:11" s="5" customFormat="1" ht="15" customHeight="1" x14ac:dyDescent="0.2">
      <c r="A1792" s="26"/>
      <c r="B1792" s="14" t="str">
        <f>IF(A1792="","",_xlfn.XLOOKUP(A1792,'DISPATCH SHEET'!B$3:B$121,'DISPATCH SHEET'!C$3:C$121,""))</f>
        <v/>
      </c>
      <c r="C1792" s="14" t="str">
        <f>IF(ISBLANK(A1792),"",_xlfn.XLOOKUP(A1792,'DISPATCH SHEET'!C$3:C$121,'DISPATCH SHEET'!#REF!,""))</f>
        <v/>
      </c>
      <c r="D1792" s="26"/>
      <c r="E1792" s="26"/>
      <c r="F1792" s="26"/>
      <c r="G1792" s="26"/>
      <c r="H1792" s="26"/>
      <c r="I1792" s="26"/>
      <c r="J1792" s="26"/>
      <c r="K1792" s="26"/>
    </row>
    <row r="1793" spans="1:11" s="5" customFormat="1" ht="15" customHeight="1" x14ac:dyDescent="0.2">
      <c r="A1793" s="26"/>
      <c r="B1793" s="14" t="str">
        <f>IF(A1793="","",_xlfn.XLOOKUP(A1793,'DISPATCH SHEET'!B$3:B$121,'DISPATCH SHEET'!C$3:C$121,""))</f>
        <v/>
      </c>
      <c r="C1793" s="14" t="str">
        <f>IF(ISBLANK(A1793),"",_xlfn.XLOOKUP(A1793,'DISPATCH SHEET'!C$3:C$121,'DISPATCH SHEET'!#REF!,""))</f>
        <v/>
      </c>
      <c r="D1793" s="26"/>
      <c r="E1793" s="26"/>
      <c r="F1793" s="26"/>
      <c r="G1793" s="26"/>
      <c r="H1793" s="26"/>
      <c r="I1793" s="26"/>
      <c r="J1793" s="26"/>
      <c r="K1793" s="26"/>
    </row>
    <row r="1794" spans="1:11" s="5" customFormat="1" ht="15" customHeight="1" x14ac:dyDescent="0.2">
      <c r="A1794" s="26"/>
      <c r="B1794" s="14" t="str">
        <f>IF(A1794="","",_xlfn.XLOOKUP(A1794,'DISPATCH SHEET'!B$3:B$121,'DISPATCH SHEET'!C$3:C$121,""))</f>
        <v/>
      </c>
      <c r="C1794" s="14" t="str">
        <f>IF(ISBLANK(A1794),"",_xlfn.XLOOKUP(A1794,'DISPATCH SHEET'!C$3:C$121,'DISPATCH SHEET'!#REF!,""))</f>
        <v/>
      </c>
      <c r="D1794" s="26"/>
      <c r="E1794" s="26"/>
      <c r="F1794" s="26"/>
      <c r="G1794" s="26"/>
      <c r="H1794" s="26"/>
      <c r="I1794" s="26"/>
      <c r="J1794" s="26"/>
      <c r="K1794" s="26"/>
    </row>
    <row r="1795" spans="1:11" s="5" customFormat="1" ht="15" customHeight="1" x14ac:dyDescent="0.2">
      <c r="A1795" s="26"/>
      <c r="B1795" s="14" t="str">
        <f>IF(A1795="","",_xlfn.XLOOKUP(A1795,'DISPATCH SHEET'!B$3:B$121,'DISPATCH SHEET'!C$3:C$121,""))</f>
        <v/>
      </c>
      <c r="C1795" s="14" t="str">
        <f>IF(ISBLANK(A1795),"",_xlfn.XLOOKUP(A1795,'DISPATCH SHEET'!C$3:C$121,'DISPATCH SHEET'!#REF!,""))</f>
        <v/>
      </c>
      <c r="D1795" s="26"/>
      <c r="E1795" s="26"/>
      <c r="F1795" s="26"/>
      <c r="G1795" s="26"/>
      <c r="H1795" s="26"/>
      <c r="I1795" s="26"/>
      <c r="J1795" s="26"/>
      <c r="K1795" s="26"/>
    </row>
    <row r="1796" spans="1:11" s="5" customFormat="1" ht="15" customHeight="1" x14ac:dyDescent="0.2">
      <c r="A1796" s="26"/>
      <c r="B1796" s="14" t="str">
        <f>IF(A1796="","",_xlfn.XLOOKUP(A1796,'DISPATCH SHEET'!B$3:B$121,'DISPATCH SHEET'!C$3:C$121,""))</f>
        <v/>
      </c>
      <c r="C1796" s="14" t="str">
        <f>IF(ISBLANK(A1796),"",_xlfn.XLOOKUP(A1796,'DISPATCH SHEET'!C$3:C$121,'DISPATCH SHEET'!#REF!,""))</f>
        <v/>
      </c>
      <c r="D1796" s="26"/>
      <c r="E1796" s="26"/>
      <c r="F1796" s="26"/>
      <c r="G1796" s="26"/>
      <c r="H1796" s="26"/>
      <c r="I1796" s="26"/>
      <c r="J1796" s="26"/>
      <c r="K1796" s="26"/>
    </row>
    <row r="1797" spans="1:11" s="5" customFormat="1" ht="15" customHeight="1" x14ac:dyDescent="0.2">
      <c r="A1797" s="26"/>
      <c r="B1797" s="14" t="str">
        <f>IF(A1797="","",_xlfn.XLOOKUP(A1797,'DISPATCH SHEET'!B$3:B$121,'DISPATCH SHEET'!C$3:C$121,""))</f>
        <v/>
      </c>
      <c r="C1797" s="14" t="str">
        <f>IF(ISBLANK(A1797),"",_xlfn.XLOOKUP(A1797,'DISPATCH SHEET'!C$3:C$121,'DISPATCH SHEET'!#REF!,""))</f>
        <v/>
      </c>
      <c r="D1797" s="26"/>
      <c r="E1797" s="26"/>
      <c r="F1797" s="26"/>
      <c r="G1797" s="26"/>
      <c r="H1797" s="26"/>
      <c r="I1797" s="26"/>
      <c r="J1797" s="26"/>
      <c r="K1797" s="26"/>
    </row>
    <row r="1798" spans="1:11" s="5" customFormat="1" ht="15" customHeight="1" x14ac:dyDescent="0.2">
      <c r="A1798" s="26"/>
      <c r="B1798" s="14" t="str">
        <f>IF(A1798="","",_xlfn.XLOOKUP(A1798,'DISPATCH SHEET'!B$3:B$121,'DISPATCH SHEET'!C$3:C$121,""))</f>
        <v/>
      </c>
      <c r="C1798" s="14" t="str">
        <f>IF(ISBLANK(A1798),"",_xlfn.XLOOKUP(A1798,'DISPATCH SHEET'!C$3:C$121,'DISPATCH SHEET'!#REF!,""))</f>
        <v/>
      </c>
      <c r="D1798" s="26"/>
      <c r="E1798" s="26"/>
      <c r="F1798" s="26"/>
      <c r="G1798" s="26"/>
      <c r="H1798" s="26"/>
      <c r="I1798" s="26"/>
      <c r="J1798" s="26"/>
      <c r="K1798" s="26"/>
    </row>
    <row r="1799" spans="1:11" s="5" customFormat="1" ht="15" customHeight="1" x14ac:dyDescent="0.2">
      <c r="A1799" s="26"/>
      <c r="B1799" s="14" t="str">
        <f>IF(A1799="","",_xlfn.XLOOKUP(A1799,'DISPATCH SHEET'!B$3:B$121,'DISPATCH SHEET'!C$3:C$121,""))</f>
        <v/>
      </c>
      <c r="C1799" s="14" t="str">
        <f>IF(ISBLANK(A1799),"",_xlfn.XLOOKUP(A1799,'DISPATCH SHEET'!C$3:C$121,'DISPATCH SHEET'!#REF!,""))</f>
        <v/>
      </c>
      <c r="D1799" s="26"/>
      <c r="E1799" s="26"/>
      <c r="F1799" s="26"/>
      <c r="G1799" s="26"/>
      <c r="H1799" s="26"/>
      <c r="I1799" s="26"/>
      <c r="J1799" s="26"/>
      <c r="K1799" s="26"/>
    </row>
    <row r="1800" spans="1:11" s="5" customFormat="1" ht="15" customHeight="1" x14ac:dyDescent="0.2">
      <c r="A1800" s="26"/>
      <c r="B1800" s="14" t="str">
        <f>IF(A1800="","",_xlfn.XLOOKUP(A1800,'DISPATCH SHEET'!B$3:B$121,'DISPATCH SHEET'!C$3:C$121,""))</f>
        <v/>
      </c>
      <c r="C1800" s="14" t="str">
        <f>IF(ISBLANK(A1800),"",_xlfn.XLOOKUP(A1800,'DISPATCH SHEET'!C$3:C$121,'DISPATCH SHEET'!#REF!,""))</f>
        <v/>
      </c>
      <c r="D1800" s="26"/>
      <c r="E1800" s="26"/>
      <c r="F1800" s="26"/>
      <c r="G1800" s="26"/>
      <c r="H1800" s="26"/>
      <c r="I1800" s="26"/>
      <c r="J1800" s="26"/>
      <c r="K1800" s="26"/>
    </row>
    <row r="1801" spans="1:11" s="5" customFormat="1" ht="15" customHeight="1" x14ac:dyDescent="0.2">
      <c r="A1801" s="26"/>
      <c r="B1801" s="14" t="str">
        <f>IF(A1801="","",_xlfn.XLOOKUP(A1801,'DISPATCH SHEET'!B$3:B$121,'DISPATCH SHEET'!C$3:C$121,""))</f>
        <v/>
      </c>
      <c r="C1801" s="14" t="str">
        <f>IF(ISBLANK(A1801),"",_xlfn.XLOOKUP(A1801,'DISPATCH SHEET'!C$3:C$121,'DISPATCH SHEET'!#REF!,""))</f>
        <v/>
      </c>
      <c r="D1801" s="26"/>
      <c r="E1801" s="26"/>
      <c r="F1801" s="26"/>
      <c r="G1801" s="26"/>
      <c r="H1801" s="26"/>
      <c r="I1801" s="26"/>
      <c r="J1801" s="26"/>
      <c r="K1801" s="26"/>
    </row>
    <row r="1802" spans="1:11" s="5" customFormat="1" ht="15" customHeight="1" x14ac:dyDescent="0.2">
      <c r="A1802" s="26"/>
      <c r="B1802" s="14" t="str">
        <f>IF(A1802="","",_xlfn.XLOOKUP(A1802,'DISPATCH SHEET'!B$3:B$121,'DISPATCH SHEET'!C$3:C$121,""))</f>
        <v/>
      </c>
      <c r="C1802" s="14" t="str">
        <f>IF(ISBLANK(A1802),"",_xlfn.XLOOKUP(A1802,'DISPATCH SHEET'!C$3:C$121,'DISPATCH SHEET'!#REF!,""))</f>
        <v/>
      </c>
      <c r="D1802" s="26"/>
      <c r="E1802" s="26"/>
      <c r="F1802" s="26"/>
      <c r="G1802" s="26"/>
      <c r="H1802" s="26"/>
      <c r="I1802" s="26"/>
      <c r="J1802" s="26"/>
      <c r="K1802" s="26"/>
    </row>
    <row r="1803" spans="1:11" s="5" customFormat="1" ht="15" customHeight="1" x14ac:dyDescent="0.2">
      <c r="A1803" s="26"/>
      <c r="B1803" s="14" t="str">
        <f>IF(A1803="","",_xlfn.XLOOKUP(A1803,'DISPATCH SHEET'!B$3:B$121,'DISPATCH SHEET'!C$3:C$121,""))</f>
        <v/>
      </c>
      <c r="C1803" s="14" t="str">
        <f>IF(ISBLANK(A1803),"",_xlfn.XLOOKUP(A1803,'DISPATCH SHEET'!C$3:C$121,'DISPATCH SHEET'!#REF!,""))</f>
        <v/>
      </c>
      <c r="D1803" s="26"/>
      <c r="E1803" s="26"/>
      <c r="F1803" s="26"/>
      <c r="G1803" s="26"/>
      <c r="H1803" s="26"/>
      <c r="I1803" s="26"/>
      <c r="J1803" s="26"/>
      <c r="K1803" s="26"/>
    </row>
    <row r="1804" spans="1:11" s="5" customFormat="1" ht="15" customHeight="1" x14ac:dyDescent="0.2">
      <c r="A1804" s="26"/>
      <c r="B1804" s="14" t="str">
        <f>IF(A1804="","",_xlfn.XLOOKUP(A1804,'DISPATCH SHEET'!B$3:B$121,'DISPATCH SHEET'!C$3:C$121,""))</f>
        <v/>
      </c>
      <c r="C1804" s="14" t="str">
        <f>IF(ISBLANK(A1804),"",_xlfn.XLOOKUP(A1804,'DISPATCH SHEET'!C$3:C$121,'DISPATCH SHEET'!#REF!,""))</f>
        <v/>
      </c>
      <c r="D1804" s="26"/>
      <c r="E1804" s="26"/>
      <c r="F1804" s="26"/>
      <c r="G1804" s="26"/>
      <c r="H1804" s="26"/>
      <c r="I1804" s="26"/>
      <c r="J1804" s="26"/>
      <c r="K1804" s="26"/>
    </row>
    <row r="1805" spans="1:11" s="5" customFormat="1" ht="15" customHeight="1" x14ac:dyDescent="0.2">
      <c r="A1805" s="26"/>
      <c r="B1805" s="14" t="str">
        <f>IF(A1805="","",_xlfn.XLOOKUP(A1805,'DISPATCH SHEET'!B$3:B$121,'DISPATCH SHEET'!C$3:C$121,""))</f>
        <v/>
      </c>
      <c r="C1805" s="14" t="str">
        <f>IF(ISBLANK(A1805),"",_xlfn.XLOOKUP(A1805,'DISPATCH SHEET'!C$3:C$121,'DISPATCH SHEET'!#REF!,""))</f>
        <v/>
      </c>
      <c r="D1805" s="26"/>
      <c r="E1805" s="26"/>
      <c r="F1805" s="26"/>
      <c r="G1805" s="26"/>
      <c r="H1805" s="26"/>
      <c r="I1805" s="26"/>
      <c r="J1805" s="26"/>
      <c r="K1805" s="26"/>
    </row>
    <row r="1806" spans="1:11" s="5" customFormat="1" ht="15" customHeight="1" x14ac:dyDescent="0.2">
      <c r="A1806" s="26"/>
      <c r="B1806" s="14" t="str">
        <f>IF(A1806="","",_xlfn.XLOOKUP(A1806,'DISPATCH SHEET'!B$3:B$121,'DISPATCH SHEET'!C$3:C$121,""))</f>
        <v/>
      </c>
      <c r="C1806" s="14" t="str">
        <f>IF(ISBLANK(A1806),"",_xlfn.XLOOKUP(A1806,'DISPATCH SHEET'!C$3:C$121,'DISPATCH SHEET'!#REF!,""))</f>
        <v/>
      </c>
      <c r="D1806" s="26"/>
      <c r="E1806" s="26"/>
      <c r="F1806" s="26"/>
      <c r="G1806" s="26"/>
      <c r="H1806" s="26"/>
      <c r="I1806" s="26"/>
      <c r="J1806" s="26"/>
      <c r="K1806" s="26"/>
    </row>
    <row r="1807" spans="1:11" s="5" customFormat="1" ht="15" customHeight="1" x14ac:dyDescent="0.2">
      <c r="A1807" s="26"/>
      <c r="B1807" s="14" t="str">
        <f>IF(A1807="","",_xlfn.XLOOKUP(A1807,'DISPATCH SHEET'!B$3:B$121,'DISPATCH SHEET'!C$3:C$121,""))</f>
        <v/>
      </c>
      <c r="C1807" s="14" t="str">
        <f>IF(ISBLANK(A1807),"",_xlfn.XLOOKUP(A1807,'DISPATCH SHEET'!C$3:C$121,'DISPATCH SHEET'!#REF!,""))</f>
        <v/>
      </c>
      <c r="D1807" s="26"/>
      <c r="E1807" s="26"/>
      <c r="F1807" s="26"/>
      <c r="G1807" s="26"/>
      <c r="H1807" s="26"/>
      <c r="I1807" s="26"/>
      <c r="J1807" s="26"/>
      <c r="K1807" s="26"/>
    </row>
    <row r="1808" spans="1:11" s="5" customFormat="1" ht="15" customHeight="1" x14ac:dyDescent="0.2">
      <c r="A1808" s="26"/>
      <c r="B1808" s="14" t="str">
        <f>IF(A1808="","",_xlfn.XLOOKUP(A1808,'DISPATCH SHEET'!B$3:B$121,'DISPATCH SHEET'!C$3:C$121,""))</f>
        <v/>
      </c>
      <c r="C1808" s="14" t="str">
        <f>IF(ISBLANK(A1808),"",_xlfn.XLOOKUP(A1808,'DISPATCH SHEET'!C$3:C$121,'DISPATCH SHEET'!#REF!,""))</f>
        <v/>
      </c>
      <c r="D1808" s="26"/>
      <c r="E1808" s="26"/>
      <c r="F1808" s="26"/>
      <c r="G1808" s="26"/>
      <c r="H1808" s="26"/>
      <c r="I1808" s="26"/>
      <c r="J1808" s="26"/>
      <c r="K1808" s="26"/>
    </row>
    <row r="1809" spans="1:11" s="5" customFormat="1" ht="15" customHeight="1" x14ac:dyDescent="0.2">
      <c r="A1809" s="26"/>
      <c r="B1809" s="14" t="str">
        <f>IF(A1809="","",_xlfn.XLOOKUP(A1809,'DISPATCH SHEET'!B$3:B$121,'DISPATCH SHEET'!C$3:C$121,""))</f>
        <v/>
      </c>
      <c r="C1809" s="14" t="str">
        <f>IF(ISBLANK(A1809),"",_xlfn.XLOOKUP(A1809,'DISPATCH SHEET'!C$3:C$121,'DISPATCH SHEET'!#REF!,""))</f>
        <v/>
      </c>
      <c r="D1809" s="26"/>
      <c r="E1809" s="26"/>
      <c r="F1809" s="26"/>
      <c r="G1809" s="26"/>
      <c r="H1809" s="26"/>
      <c r="I1809" s="26"/>
      <c r="J1809" s="26"/>
      <c r="K1809" s="26"/>
    </row>
    <row r="1810" spans="1:11" s="5" customFormat="1" ht="15" customHeight="1" x14ac:dyDescent="0.2">
      <c r="A1810" s="26"/>
      <c r="B1810" s="14" t="str">
        <f>IF(A1810="","",_xlfn.XLOOKUP(A1810,'DISPATCH SHEET'!B$3:B$121,'DISPATCH SHEET'!C$3:C$121,""))</f>
        <v/>
      </c>
      <c r="C1810" s="14" t="str">
        <f>IF(ISBLANK(A1810),"",_xlfn.XLOOKUP(A1810,'DISPATCH SHEET'!C$3:C$121,'DISPATCH SHEET'!#REF!,""))</f>
        <v/>
      </c>
      <c r="D1810" s="26"/>
      <c r="E1810" s="26"/>
      <c r="F1810" s="26"/>
      <c r="G1810" s="26"/>
      <c r="H1810" s="26"/>
      <c r="I1810" s="26"/>
      <c r="J1810" s="26"/>
      <c r="K1810" s="26"/>
    </row>
    <row r="1811" spans="1:11" s="5" customFormat="1" ht="15" customHeight="1" x14ac:dyDescent="0.2">
      <c r="A1811" s="26"/>
      <c r="B1811" s="14" t="str">
        <f>IF(A1811="","",_xlfn.XLOOKUP(A1811,'DISPATCH SHEET'!B$3:B$121,'DISPATCH SHEET'!C$3:C$121,""))</f>
        <v/>
      </c>
      <c r="C1811" s="14" t="str">
        <f>IF(ISBLANK(A1811),"",_xlfn.XLOOKUP(A1811,'DISPATCH SHEET'!C$3:C$121,'DISPATCH SHEET'!#REF!,""))</f>
        <v/>
      </c>
      <c r="D1811" s="26"/>
      <c r="E1811" s="26"/>
      <c r="F1811" s="26"/>
      <c r="G1811" s="26"/>
      <c r="H1811" s="26"/>
      <c r="I1811" s="26"/>
      <c r="J1811" s="26"/>
      <c r="K1811" s="26"/>
    </row>
    <row r="1812" spans="1:11" s="5" customFormat="1" ht="15" customHeight="1" x14ac:dyDescent="0.2">
      <c r="A1812" s="26"/>
      <c r="B1812" s="14" t="str">
        <f>IF(A1812="","",_xlfn.XLOOKUP(A1812,'DISPATCH SHEET'!B$3:B$121,'DISPATCH SHEET'!C$3:C$121,""))</f>
        <v/>
      </c>
      <c r="C1812" s="14" t="str">
        <f>IF(ISBLANK(A1812),"",_xlfn.XLOOKUP(A1812,'DISPATCH SHEET'!C$3:C$121,'DISPATCH SHEET'!#REF!,""))</f>
        <v/>
      </c>
      <c r="D1812" s="26"/>
      <c r="E1812" s="26"/>
      <c r="F1812" s="26"/>
      <c r="G1812" s="26"/>
      <c r="H1812" s="26"/>
      <c r="I1812" s="26"/>
      <c r="J1812" s="26"/>
      <c r="K1812" s="26"/>
    </row>
    <row r="1813" spans="1:11" s="5" customFormat="1" ht="15" customHeight="1" x14ac:dyDescent="0.2">
      <c r="A1813" s="26"/>
      <c r="B1813" s="14" t="str">
        <f>IF(A1813="","",_xlfn.XLOOKUP(A1813,'DISPATCH SHEET'!B$3:B$121,'DISPATCH SHEET'!C$3:C$121,""))</f>
        <v/>
      </c>
      <c r="C1813" s="14" t="str">
        <f>IF(ISBLANK(A1813),"",_xlfn.XLOOKUP(A1813,'DISPATCH SHEET'!C$3:C$121,'DISPATCH SHEET'!#REF!,""))</f>
        <v/>
      </c>
      <c r="D1813" s="26"/>
      <c r="E1813" s="26"/>
      <c r="F1813" s="26"/>
      <c r="G1813" s="26"/>
      <c r="H1813" s="26"/>
      <c r="I1813" s="26"/>
      <c r="J1813" s="26"/>
      <c r="K1813" s="26"/>
    </row>
    <row r="1814" spans="1:11" s="5" customFormat="1" ht="15" customHeight="1" x14ac:dyDescent="0.2">
      <c r="A1814" s="26"/>
      <c r="B1814" s="14" t="str">
        <f>IF(A1814="","",_xlfn.XLOOKUP(A1814,'DISPATCH SHEET'!B$3:B$121,'DISPATCH SHEET'!C$3:C$121,""))</f>
        <v/>
      </c>
      <c r="C1814" s="14" t="str">
        <f>IF(ISBLANK(A1814),"",_xlfn.XLOOKUP(A1814,'DISPATCH SHEET'!C$3:C$121,'DISPATCH SHEET'!#REF!,""))</f>
        <v/>
      </c>
      <c r="D1814" s="26"/>
      <c r="E1814" s="26"/>
      <c r="F1814" s="26"/>
      <c r="G1814" s="26"/>
      <c r="H1814" s="26"/>
      <c r="I1814" s="26"/>
      <c r="J1814" s="26"/>
      <c r="K1814" s="26"/>
    </row>
    <row r="1815" spans="1:11" s="5" customFormat="1" ht="15" customHeight="1" x14ac:dyDescent="0.2">
      <c r="A1815" s="26"/>
      <c r="B1815" s="14" t="str">
        <f>IF(A1815="","",_xlfn.XLOOKUP(A1815,'DISPATCH SHEET'!B$3:B$121,'DISPATCH SHEET'!C$3:C$121,""))</f>
        <v/>
      </c>
      <c r="C1815" s="14" t="str">
        <f>IF(ISBLANK(A1815),"",_xlfn.XLOOKUP(A1815,'DISPATCH SHEET'!C$3:C$121,'DISPATCH SHEET'!#REF!,""))</f>
        <v/>
      </c>
      <c r="D1815" s="26"/>
      <c r="E1815" s="26"/>
      <c r="F1815" s="26"/>
      <c r="G1815" s="26"/>
      <c r="H1815" s="26"/>
      <c r="I1815" s="26"/>
      <c r="J1815" s="26"/>
      <c r="K1815" s="26"/>
    </row>
    <row r="1816" spans="1:11" s="5" customFormat="1" ht="15" customHeight="1" x14ac:dyDescent="0.2">
      <c r="A1816" s="26"/>
      <c r="B1816" s="14" t="str">
        <f>IF(A1816="","",_xlfn.XLOOKUP(A1816,'DISPATCH SHEET'!B$3:B$121,'DISPATCH SHEET'!C$3:C$121,""))</f>
        <v/>
      </c>
      <c r="C1816" s="14" t="str">
        <f>IF(ISBLANK(A1816),"",_xlfn.XLOOKUP(A1816,'DISPATCH SHEET'!C$3:C$121,'DISPATCH SHEET'!#REF!,""))</f>
        <v/>
      </c>
      <c r="D1816" s="26"/>
      <c r="E1816" s="26"/>
      <c r="F1816" s="26"/>
      <c r="G1816" s="26"/>
      <c r="H1816" s="26"/>
      <c r="I1816" s="26"/>
      <c r="J1816" s="26"/>
      <c r="K1816" s="26"/>
    </row>
    <row r="1817" spans="1:11" s="5" customFormat="1" ht="15" customHeight="1" x14ac:dyDescent="0.2">
      <c r="A1817" s="26"/>
      <c r="B1817" s="14" t="str">
        <f>IF(A1817="","",_xlfn.XLOOKUP(A1817,'DISPATCH SHEET'!B$3:B$121,'DISPATCH SHEET'!C$3:C$121,""))</f>
        <v/>
      </c>
      <c r="C1817" s="14" t="str">
        <f>IF(ISBLANK(A1817),"",_xlfn.XLOOKUP(A1817,'DISPATCH SHEET'!C$3:C$121,'DISPATCH SHEET'!#REF!,""))</f>
        <v/>
      </c>
      <c r="D1817" s="26"/>
      <c r="E1817" s="26"/>
      <c r="F1817" s="26"/>
      <c r="G1817" s="26"/>
      <c r="H1817" s="26"/>
      <c r="I1817" s="26"/>
      <c r="J1817" s="26"/>
      <c r="K1817" s="26"/>
    </row>
    <row r="1818" spans="1:11" s="5" customFormat="1" ht="15" customHeight="1" x14ac:dyDescent="0.2">
      <c r="A1818" s="26"/>
      <c r="B1818" s="14" t="str">
        <f>IF(A1818="","",_xlfn.XLOOKUP(A1818,'DISPATCH SHEET'!B$3:B$121,'DISPATCH SHEET'!C$3:C$121,""))</f>
        <v/>
      </c>
      <c r="C1818" s="14" t="str">
        <f>IF(ISBLANK(A1818),"",_xlfn.XLOOKUP(A1818,'DISPATCH SHEET'!C$3:C$121,'DISPATCH SHEET'!#REF!,""))</f>
        <v/>
      </c>
      <c r="D1818" s="26"/>
      <c r="E1818" s="26"/>
      <c r="F1818" s="26"/>
      <c r="G1818" s="26"/>
      <c r="H1818" s="26"/>
      <c r="I1818" s="26"/>
      <c r="J1818" s="26"/>
      <c r="K1818" s="26"/>
    </row>
    <row r="1819" spans="1:11" s="5" customFormat="1" ht="15" customHeight="1" x14ac:dyDescent="0.2">
      <c r="A1819" s="26"/>
      <c r="B1819" s="14" t="str">
        <f>IF(A1819="","",_xlfn.XLOOKUP(A1819,'DISPATCH SHEET'!B$3:B$121,'DISPATCH SHEET'!C$3:C$121,""))</f>
        <v/>
      </c>
      <c r="C1819" s="14" t="str">
        <f>IF(ISBLANK(A1819),"",_xlfn.XLOOKUP(A1819,'DISPATCH SHEET'!C$3:C$121,'DISPATCH SHEET'!#REF!,""))</f>
        <v/>
      </c>
      <c r="D1819" s="26"/>
      <c r="E1819" s="26"/>
      <c r="F1819" s="26"/>
      <c r="G1819" s="26"/>
      <c r="H1819" s="26"/>
      <c r="I1819" s="26"/>
      <c r="J1819" s="26"/>
      <c r="K1819" s="26"/>
    </row>
    <row r="1820" spans="1:11" s="5" customFormat="1" ht="15" customHeight="1" x14ac:dyDescent="0.2">
      <c r="A1820" s="26"/>
      <c r="B1820" s="14" t="str">
        <f>IF(A1820="","",_xlfn.XLOOKUP(A1820,'DISPATCH SHEET'!B$3:B$121,'DISPATCH SHEET'!C$3:C$121,""))</f>
        <v/>
      </c>
      <c r="C1820" s="14" t="str">
        <f>IF(ISBLANK(A1820),"",_xlfn.XLOOKUP(A1820,'DISPATCH SHEET'!C$3:C$121,'DISPATCH SHEET'!#REF!,""))</f>
        <v/>
      </c>
      <c r="D1820" s="26"/>
      <c r="E1820" s="26"/>
      <c r="F1820" s="26"/>
      <c r="G1820" s="26"/>
      <c r="H1820" s="26"/>
      <c r="I1820" s="26"/>
      <c r="J1820" s="26"/>
      <c r="K1820" s="26"/>
    </row>
    <row r="1821" spans="1:11" s="5" customFormat="1" ht="15" customHeight="1" x14ac:dyDescent="0.2">
      <c r="A1821" s="26"/>
      <c r="B1821" s="14" t="str">
        <f>IF(A1821="","",_xlfn.XLOOKUP(A1821,'DISPATCH SHEET'!B$3:B$121,'DISPATCH SHEET'!C$3:C$121,""))</f>
        <v/>
      </c>
      <c r="C1821" s="14" t="str">
        <f>IF(ISBLANK(A1821),"",_xlfn.XLOOKUP(A1821,'DISPATCH SHEET'!C$3:C$121,'DISPATCH SHEET'!#REF!,""))</f>
        <v/>
      </c>
      <c r="D1821" s="26"/>
      <c r="E1821" s="26"/>
      <c r="F1821" s="26"/>
      <c r="G1821" s="26"/>
      <c r="H1821" s="26"/>
      <c r="I1821" s="26"/>
      <c r="J1821" s="26"/>
      <c r="K1821" s="26"/>
    </row>
    <row r="1822" spans="1:11" s="5" customFormat="1" ht="15" customHeight="1" x14ac:dyDescent="0.2">
      <c r="A1822" s="26"/>
      <c r="B1822" s="14" t="str">
        <f>IF(A1822="","",_xlfn.XLOOKUP(A1822,'DISPATCH SHEET'!B$3:B$121,'DISPATCH SHEET'!C$3:C$121,""))</f>
        <v/>
      </c>
      <c r="C1822" s="14" t="str">
        <f>IF(ISBLANK(A1822),"",_xlfn.XLOOKUP(A1822,'DISPATCH SHEET'!C$3:C$121,'DISPATCH SHEET'!#REF!,""))</f>
        <v/>
      </c>
      <c r="D1822" s="26"/>
      <c r="E1822" s="26"/>
      <c r="F1822" s="26"/>
      <c r="G1822" s="26"/>
      <c r="H1822" s="26"/>
      <c r="I1822" s="26"/>
      <c r="J1822" s="26"/>
      <c r="K1822" s="26"/>
    </row>
    <row r="1823" spans="1:11" s="5" customFormat="1" ht="15" customHeight="1" x14ac:dyDescent="0.2">
      <c r="A1823" s="26"/>
      <c r="B1823" s="14" t="str">
        <f>IF(A1823="","",_xlfn.XLOOKUP(A1823,'DISPATCH SHEET'!B$3:B$121,'DISPATCH SHEET'!C$3:C$121,""))</f>
        <v/>
      </c>
      <c r="C1823" s="14" t="str">
        <f>IF(ISBLANK(A1823),"",_xlfn.XLOOKUP(A1823,'DISPATCH SHEET'!C$3:C$121,'DISPATCH SHEET'!#REF!,""))</f>
        <v/>
      </c>
      <c r="D1823" s="26"/>
      <c r="E1823" s="26"/>
      <c r="F1823" s="26"/>
      <c r="G1823" s="26"/>
      <c r="H1823" s="26"/>
      <c r="I1823" s="26"/>
      <c r="J1823" s="26"/>
      <c r="K1823" s="26"/>
    </row>
    <row r="1824" spans="1:11" s="5" customFormat="1" ht="15" customHeight="1" x14ac:dyDescent="0.2">
      <c r="A1824" s="26"/>
      <c r="B1824" s="14" t="str">
        <f>IF(A1824="","",_xlfn.XLOOKUP(A1824,'DISPATCH SHEET'!B$3:B$121,'DISPATCH SHEET'!C$3:C$121,""))</f>
        <v/>
      </c>
      <c r="C1824" s="14" t="str">
        <f>IF(ISBLANK(A1824),"",_xlfn.XLOOKUP(A1824,'DISPATCH SHEET'!C$3:C$121,'DISPATCH SHEET'!#REF!,""))</f>
        <v/>
      </c>
      <c r="D1824" s="26"/>
      <c r="E1824" s="26"/>
      <c r="F1824" s="26"/>
      <c r="G1824" s="26"/>
      <c r="H1824" s="26"/>
      <c r="I1824" s="26"/>
      <c r="J1824" s="26"/>
      <c r="K1824" s="26"/>
    </row>
    <row r="1825" spans="1:11" s="5" customFormat="1" ht="15" customHeight="1" x14ac:dyDescent="0.2">
      <c r="A1825" s="26"/>
      <c r="B1825" s="14" t="str">
        <f>IF(A1825="","",_xlfn.XLOOKUP(A1825,'DISPATCH SHEET'!B$3:B$121,'DISPATCH SHEET'!C$3:C$121,""))</f>
        <v/>
      </c>
      <c r="C1825" s="14" t="str">
        <f>IF(ISBLANK(A1825),"",_xlfn.XLOOKUP(A1825,'DISPATCH SHEET'!C$3:C$121,'DISPATCH SHEET'!#REF!,""))</f>
        <v/>
      </c>
      <c r="D1825" s="26"/>
      <c r="E1825" s="26"/>
      <c r="F1825" s="26"/>
      <c r="G1825" s="26"/>
      <c r="H1825" s="26"/>
      <c r="I1825" s="26"/>
      <c r="J1825" s="26"/>
      <c r="K1825" s="26"/>
    </row>
    <row r="1826" spans="1:11" s="5" customFormat="1" ht="15" customHeight="1" x14ac:dyDescent="0.2">
      <c r="A1826" s="26"/>
      <c r="B1826" s="14" t="str">
        <f>IF(A1826="","",_xlfn.XLOOKUP(A1826,'DISPATCH SHEET'!B$3:B$121,'DISPATCH SHEET'!C$3:C$121,""))</f>
        <v/>
      </c>
      <c r="C1826" s="14" t="str">
        <f>IF(ISBLANK(A1826),"",_xlfn.XLOOKUP(A1826,'DISPATCH SHEET'!C$3:C$121,'DISPATCH SHEET'!#REF!,""))</f>
        <v/>
      </c>
      <c r="D1826" s="26"/>
      <c r="E1826" s="26"/>
      <c r="F1826" s="26"/>
      <c r="G1826" s="26"/>
      <c r="H1826" s="26"/>
      <c r="I1826" s="26"/>
      <c r="J1826" s="26"/>
      <c r="K1826" s="26"/>
    </row>
    <row r="1827" spans="1:11" s="5" customFormat="1" ht="15" customHeight="1" x14ac:dyDescent="0.2">
      <c r="A1827" s="26"/>
      <c r="B1827" s="14" t="str">
        <f>IF(A1827="","",_xlfn.XLOOKUP(A1827,'DISPATCH SHEET'!B$3:B$121,'DISPATCH SHEET'!C$3:C$121,""))</f>
        <v/>
      </c>
      <c r="C1827" s="14" t="str">
        <f>IF(ISBLANK(A1827),"",_xlfn.XLOOKUP(A1827,'DISPATCH SHEET'!C$3:C$121,'DISPATCH SHEET'!#REF!,""))</f>
        <v/>
      </c>
      <c r="D1827" s="26"/>
      <c r="E1827" s="26"/>
      <c r="F1827" s="26"/>
      <c r="G1827" s="26"/>
      <c r="H1827" s="26"/>
      <c r="I1827" s="26"/>
      <c r="J1827" s="26"/>
      <c r="K1827" s="26"/>
    </row>
    <row r="1828" spans="1:11" s="5" customFormat="1" ht="15" customHeight="1" x14ac:dyDescent="0.2">
      <c r="A1828" s="26"/>
      <c r="B1828" s="14" t="str">
        <f>IF(A1828="","",_xlfn.XLOOKUP(A1828,'DISPATCH SHEET'!B$3:B$121,'DISPATCH SHEET'!C$3:C$121,""))</f>
        <v/>
      </c>
      <c r="C1828" s="14" t="str">
        <f>IF(ISBLANK(A1828),"",_xlfn.XLOOKUP(A1828,'DISPATCH SHEET'!C$3:C$121,'DISPATCH SHEET'!#REF!,""))</f>
        <v/>
      </c>
      <c r="D1828" s="26"/>
      <c r="E1828" s="26"/>
      <c r="F1828" s="26"/>
      <c r="G1828" s="26"/>
      <c r="H1828" s="26"/>
      <c r="I1828" s="26"/>
      <c r="J1828" s="26"/>
      <c r="K1828" s="26"/>
    </row>
    <row r="1829" spans="1:11" s="5" customFormat="1" ht="15" customHeight="1" x14ac:dyDescent="0.2">
      <c r="A1829" s="26"/>
      <c r="B1829" s="14" t="str">
        <f>IF(A1829="","",_xlfn.XLOOKUP(A1829,'DISPATCH SHEET'!B$3:B$121,'DISPATCH SHEET'!C$3:C$121,""))</f>
        <v/>
      </c>
      <c r="C1829" s="14" t="str">
        <f>IF(ISBLANK(A1829),"",_xlfn.XLOOKUP(A1829,'DISPATCH SHEET'!C$3:C$121,'DISPATCH SHEET'!#REF!,""))</f>
        <v/>
      </c>
      <c r="D1829" s="26"/>
      <c r="E1829" s="26"/>
      <c r="F1829" s="26"/>
      <c r="G1829" s="26"/>
      <c r="H1829" s="26"/>
      <c r="I1829" s="26"/>
      <c r="J1829" s="26"/>
      <c r="K1829" s="26"/>
    </row>
    <row r="1830" spans="1:11" s="5" customFormat="1" ht="15" customHeight="1" x14ac:dyDescent="0.2">
      <c r="A1830" s="26"/>
      <c r="B1830" s="14" t="str">
        <f>IF(A1830="","",_xlfn.XLOOKUP(A1830,'DISPATCH SHEET'!B$3:B$121,'DISPATCH SHEET'!C$3:C$121,""))</f>
        <v/>
      </c>
      <c r="C1830" s="14" t="str">
        <f>IF(ISBLANK(A1830),"",_xlfn.XLOOKUP(A1830,'DISPATCH SHEET'!C$3:C$121,'DISPATCH SHEET'!#REF!,""))</f>
        <v/>
      </c>
      <c r="D1830" s="26"/>
      <c r="E1830" s="26"/>
      <c r="F1830" s="26"/>
      <c r="G1830" s="26"/>
      <c r="H1830" s="26"/>
      <c r="I1830" s="26"/>
      <c r="J1830" s="26"/>
      <c r="K1830" s="26"/>
    </row>
    <row r="1831" spans="1:11" s="5" customFormat="1" ht="15" customHeight="1" x14ac:dyDescent="0.2">
      <c r="A1831" s="26"/>
      <c r="B1831" s="14" t="str">
        <f>IF(A1831="","",_xlfn.XLOOKUP(A1831,'DISPATCH SHEET'!B$3:B$121,'DISPATCH SHEET'!C$3:C$121,""))</f>
        <v/>
      </c>
      <c r="C1831" s="14" t="str">
        <f>IF(ISBLANK(A1831),"",_xlfn.XLOOKUP(A1831,'DISPATCH SHEET'!C$3:C$121,'DISPATCH SHEET'!#REF!,""))</f>
        <v/>
      </c>
      <c r="D1831" s="26"/>
      <c r="E1831" s="26"/>
      <c r="F1831" s="26"/>
      <c r="G1831" s="26"/>
      <c r="H1831" s="26"/>
      <c r="I1831" s="26"/>
      <c r="J1831" s="26"/>
      <c r="K1831" s="26"/>
    </row>
    <row r="1832" spans="1:11" s="5" customFormat="1" ht="15" customHeight="1" x14ac:dyDescent="0.2">
      <c r="A1832" s="26"/>
      <c r="B1832" s="14" t="str">
        <f>IF(A1832="","",_xlfn.XLOOKUP(A1832,'DISPATCH SHEET'!B$3:B$121,'DISPATCH SHEET'!C$3:C$121,""))</f>
        <v/>
      </c>
      <c r="C1832" s="14" t="str">
        <f>IF(ISBLANK(A1832),"",_xlfn.XLOOKUP(A1832,'DISPATCH SHEET'!C$3:C$121,'DISPATCH SHEET'!#REF!,""))</f>
        <v/>
      </c>
      <c r="D1832" s="26"/>
      <c r="E1832" s="26"/>
      <c r="F1832" s="26"/>
      <c r="G1832" s="26"/>
      <c r="H1832" s="26"/>
      <c r="I1832" s="26"/>
      <c r="J1832" s="26"/>
      <c r="K1832" s="26"/>
    </row>
    <row r="1833" spans="1:11" s="5" customFormat="1" ht="15" customHeight="1" x14ac:dyDescent="0.2">
      <c r="A1833" s="26"/>
      <c r="B1833" s="14" t="str">
        <f>IF(A1833="","",_xlfn.XLOOKUP(A1833,'DISPATCH SHEET'!B$3:B$121,'DISPATCH SHEET'!C$3:C$121,""))</f>
        <v/>
      </c>
      <c r="C1833" s="14" t="str">
        <f>IF(ISBLANK(A1833),"",_xlfn.XLOOKUP(A1833,'DISPATCH SHEET'!C$3:C$121,'DISPATCH SHEET'!#REF!,""))</f>
        <v/>
      </c>
      <c r="D1833" s="26"/>
      <c r="E1833" s="26"/>
      <c r="F1833" s="26"/>
      <c r="G1833" s="26"/>
      <c r="H1833" s="26"/>
      <c r="I1833" s="26"/>
      <c r="J1833" s="26"/>
      <c r="K1833" s="26"/>
    </row>
    <row r="1834" spans="1:11" s="5" customFormat="1" ht="15" customHeight="1" x14ac:dyDescent="0.2">
      <c r="A1834" s="26"/>
      <c r="B1834" s="14" t="str">
        <f>IF(A1834="","",_xlfn.XLOOKUP(A1834,'DISPATCH SHEET'!B$3:B$121,'DISPATCH SHEET'!C$3:C$121,""))</f>
        <v/>
      </c>
      <c r="C1834" s="14" t="str">
        <f>IF(ISBLANK(A1834),"",_xlfn.XLOOKUP(A1834,'DISPATCH SHEET'!C$3:C$121,'DISPATCH SHEET'!#REF!,""))</f>
        <v/>
      </c>
      <c r="D1834" s="26"/>
      <c r="E1834" s="26"/>
      <c r="F1834" s="26"/>
      <c r="G1834" s="26"/>
      <c r="H1834" s="26"/>
      <c r="I1834" s="26"/>
      <c r="J1834" s="26"/>
      <c r="K1834" s="26"/>
    </row>
    <row r="1835" spans="1:11" s="5" customFormat="1" ht="15" customHeight="1" x14ac:dyDescent="0.2">
      <c r="A1835" s="26"/>
      <c r="B1835" s="14" t="str">
        <f>IF(A1835="","",_xlfn.XLOOKUP(A1835,'DISPATCH SHEET'!B$3:B$121,'DISPATCH SHEET'!C$3:C$121,""))</f>
        <v/>
      </c>
      <c r="C1835" s="14" t="str">
        <f>IF(ISBLANK(A1835),"",_xlfn.XLOOKUP(A1835,'DISPATCH SHEET'!C$3:C$121,'DISPATCH SHEET'!#REF!,""))</f>
        <v/>
      </c>
      <c r="D1835" s="26"/>
      <c r="E1835" s="26"/>
      <c r="F1835" s="26"/>
      <c r="G1835" s="26"/>
      <c r="H1835" s="26"/>
      <c r="I1835" s="26"/>
      <c r="J1835" s="26"/>
      <c r="K1835" s="26"/>
    </row>
    <row r="1836" spans="1:11" s="5" customFormat="1" ht="15" customHeight="1" x14ac:dyDescent="0.2">
      <c r="A1836" s="26"/>
      <c r="B1836" s="14" t="str">
        <f>IF(A1836="","",_xlfn.XLOOKUP(A1836,'DISPATCH SHEET'!B$3:B$121,'DISPATCH SHEET'!C$3:C$121,""))</f>
        <v/>
      </c>
      <c r="C1836" s="14" t="str">
        <f>IF(ISBLANK(A1836),"",_xlfn.XLOOKUP(A1836,'DISPATCH SHEET'!C$3:C$121,'DISPATCH SHEET'!#REF!,""))</f>
        <v/>
      </c>
      <c r="D1836" s="26"/>
      <c r="E1836" s="26"/>
      <c r="F1836" s="26"/>
      <c r="G1836" s="26"/>
      <c r="H1836" s="26"/>
      <c r="I1836" s="26"/>
      <c r="J1836" s="26"/>
      <c r="K1836" s="26"/>
    </row>
    <row r="1837" spans="1:11" s="5" customFormat="1" ht="15" customHeight="1" x14ac:dyDescent="0.2">
      <c r="A1837" s="26"/>
      <c r="B1837" s="14" t="str">
        <f>IF(A1837="","",_xlfn.XLOOKUP(A1837,'DISPATCH SHEET'!B$3:B$121,'DISPATCH SHEET'!C$3:C$121,""))</f>
        <v/>
      </c>
      <c r="C1837" s="14" t="str">
        <f>IF(ISBLANK(A1837),"",_xlfn.XLOOKUP(A1837,'DISPATCH SHEET'!C$3:C$121,'DISPATCH SHEET'!#REF!,""))</f>
        <v/>
      </c>
      <c r="D1837" s="26"/>
      <c r="E1837" s="26"/>
      <c r="F1837" s="26"/>
      <c r="G1837" s="26"/>
      <c r="H1837" s="26"/>
      <c r="I1837" s="26"/>
      <c r="J1837" s="26"/>
      <c r="K1837" s="26"/>
    </row>
    <row r="1838" spans="1:11" s="5" customFormat="1" ht="15" customHeight="1" x14ac:dyDescent="0.2">
      <c r="A1838" s="26"/>
      <c r="B1838" s="14" t="str">
        <f>IF(A1838="","",_xlfn.XLOOKUP(A1838,'DISPATCH SHEET'!B$3:B$121,'DISPATCH SHEET'!C$3:C$121,""))</f>
        <v/>
      </c>
      <c r="C1838" s="14" t="str">
        <f>IF(ISBLANK(A1838),"",_xlfn.XLOOKUP(A1838,'DISPATCH SHEET'!C$3:C$121,'DISPATCH SHEET'!#REF!,""))</f>
        <v/>
      </c>
      <c r="D1838" s="26"/>
      <c r="E1838" s="26"/>
      <c r="F1838" s="26"/>
      <c r="G1838" s="26"/>
      <c r="H1838" s="26"/>
      <c r="I1838" s="26"/>
      <c r="J1838" s="26"/>
      <c r="K1838" s="26"/>
    </row>
    <row r="1839" spans="1:11" s="5" customFormat="1" ht="15" customHeight="1" x14ac:dyDescent="0.2">
      <c r="A1839" s="26"/>
      <c r="B1839" s="14" t="str">
        <f>IF(A1839="","",_xlfn.XLOOKUP(A1839,'DISPATCH SHEET'!B$3:B$121,'DISPATCH SHEET'!C$3:C$121,""))</f>
        <v/>
      </c>
      <c r="C1839" s="14" t="str">
        <f>IF(ISBLANK(A1839),"",_xlfn.XLOOKUP(A1839,'DISPATCH SHEET'!C$3:C$121,'DISPATCH SHEET'!#REF!,""))</f>
        <v/>
      </c>
      <c r="D1839" s="26"/>
      <c r="E1839" s="26"/>
      <c r="F1839" s="26"/>
      <c r="G1839" s="26"/>
      <c r="H1839" s="26"/>
      <c r="I1839" s="26"/>
      <c r="J1839" s="26"/>
      <c r="K1839" s="26"/>
    </row>
    <row r="1840" spans="1:11" s="5" customFormat="1" ht="15" customHeight="1" x14ac:dyDescent="0.2">
      <c r="A1840" s="26"/>
      <c r="B1840" s="14" t="str">
        <f>IF(A1840="","",_xlfn.XLOOKUP(A1840,'DISPATCH SHEET'!B$3:B$121,'DISPATCH SHEET'!C$3:C$121,""))</f>
        <v/>
      </c>
      <c r="C1840" s="14" t="str">
        <f>IF(ISBLANK(A1840),"",_xlfn.XLOOKUP(A1840,'DISPATCH SHEET'!C$3:C$121,'DISPATCH SHEET'!#REF!,""))</f>
        <v/>
      </c>
      <c r="D1840" s="26"/>
      <c r="E1840" s="26"/>
      <c r="F1840" s="26"/>
      <c r="G1840" s="26"/>
      <c r="H1840" s="26"/>
      <c r="I1840" s="26"/>
      <c r="J1840" s="26"/>
      <c r="K1840" s="26"/>
    </row>
    <row r="1841" spans="1:11" s="5" customFormat="1" ht="15" customHeight="1" x14ac:dyDescent="0.2">
      <c r="A1841" s="26"/>
      <c r="B1841" s="14" t="str">
        <f>IF(A1841="","",_xlfn.XLOOKUP(A1841,'DISPATCH SHEET'!B$3:B$121,'DISPATCH SHEET'!C$3:C$121,""))</f>
        <v/>
      </c>
      <c r="C1841" s="14" t="str">
        <f>IF(ISBLANK(A1841),"",_xlfn.XLOOKUP(A1841,'DISPATCH SHEET'!C$3:C$121,'DISPATCH SHEET'!#REF!,""))</f>
        <v/>
      </c>
      <c r="D1841" s="26"/>
      <c r="E1841" s="26"/>
      <c r="F1841" s="26"/>
      <c r="G1841" s="26"/>
      <c r="H1841" s="26"/>
      <c r="I1841" s="26"/>
      <c r="J1841" s="26"/>
      <c r="K1841" s="26"/>
    </row>
    <row r="1842" spans="1:11" s="5" customFormat="1" ht="15" customHeight="1" x14ac:dyDescent="0.2">
      <c r="A1842" s="26"/>
      <c r="B1842" s="14" t="str">
        <f>IF(A1842="","",_xlfn.XLOOKUP(A1842,'DISPATCH SHEET'!B$3:B$121,'DISPATCH SHEET'!C$3:C$121,""))</f>
        <v/>
      </c>
      <c r="C1842" s="14" t="str">
        <f>IF(ISBLANK(A1842),"",_xlfn.XLOOKUP(A1842,'DISPATCH SHEET'!C$3:C$121,'DISPATCH SHEET'!#REF!,""))</f>
        <v/>
      </c>
      <c r="D1842" s="26"/>
      <c r="E1842" s="26"/>
      <c r="F1842" s="26"/>
      <c r="G1842" s="26"/>
      <c r="H1842" s="26"/>
      <c r="I1842" s="26"/>
      <c r="J1842" s="26"/>
      <c r="K1842" s="26"/>
    </row>
    <row r="1843" spans="1:11" s="5" customFormat="1" ht="15" customHeight="1" x14ac:dyDescent="0.2">
      <c r="A1843" s="26"/>
      <c r="B1843" s="14" t="str">
        <f>IF(A1843="","",_xlfn.XLOOKUP(A1843,'DISPATCH SHEET'!B$3:B$121,'DISPATCH SHEET'!C$3:C$121,""))</f>
        <v/>
      </c>
      <c r="C1843" s="14" t="str">
        <f>IF(ISBLANK(A1843),"",_xlfn.XLOOKUP(A1843,'DISPATCH SHEET'!C$3:C$121,'DISPATCH SHEET'!#REF!,""))</f>
        <v/>
      </c>
      <c r="D1843" s="26"/>
      <c r="E1843" s="26"/>
      <c r="F1843" s="26"/>
      <c r="G1843" s="26"/>
      <c r="H1843" s="26"/>
      <c r="I1843" s="26"/>
      <c r="J1843" s="26"/>
      <c r="K1843" s="26"/>
    </row>
    <row r="1844" spans="1:11" s="5" customFormat="1" ht="15" customHeight="1" x14ac:dyDescent="0.2">
      <c r="A1844" s="26"/>
      <c r="B1844" s="14" t="str">
        <f>IF(A1844="","",_xlfn.XLOOKUP(A1844,'DISPATCH SHEET'!B$3:B$121,'DISPATCH SHEET'!C$3:C$121,""))</f>
        <v/>
      </c>
      <c r="C1844" s="14" t="str">
        <f>IF(ISBLANK(A1844),"",_xlfn.XLOOKUP(A1844,'DISPATCH SHEET'!C$3:C$121,'DISPATCH SHEET'!#REF!,""))</f>
        <v/>
      </c>
      <c r="D1844" s="26"/>
      <c r="E1844" s="26"/>
      <c r="F1844" s="26"/>
      <c r="G1844" s="26"/>
      <c r="H1844" s="26"/>
      <c r="I1844" s="26"/>
      <c r="J1844" s="26"/>
      <c r="K1844" s="26"/>
    </row>
    <row r="1845" spans="1:11" s="5" customFormat="1" ht="15" customHeight="1" x14ac:dyDescent="0.2">
      <c r="A1845" s="26"/>
      <c r="B1845" s="14" t="str">
        <f>IF(A1845="","",_xlfn.XLOOKUP(A1845,'DISPATCH SHEET'!B$3:B$121,'DISPATCH SHEET'!C$3:C$121,""))</f>
        <v/>
      </c>
      <c r="C1845" s="14" t="str">
        <f>IF(ISBLANK(A1845),"",_xlfn.XLOOKUP(A1845,'DISPATCH SHEET'!C$3:C$121,'DISPATCH SHEET'!#REF!,""))</f>
        <v/>
      </c>
      <c r="D1845" s="26"/>
      <c r="E1845" s="26"/>
      <c r="F1845" s="26"/>
      <c r="G1845" s="26"/>
      <c r="H1845" s="26"/>
      <c r="I1845" s="26"/>
      <c r="J1845" s="26"/>
      <c r="K1845" s="26"/>
    </row>
    <row r="1846" spans="1:11" s="5" customFormat="1" ht="15" customHeight="1" x14ac:dyDescent="0.2">
      <c r="A1846" s="26"/>
      <c r="B1846" s="14" t="str">
        <f>IF(A1846="","",_xlfn.XLOOKUP(A1846,'DISPATCH SHEET'!B$3:B$121,'DISPATCH SHEET'!C$3:C$121,""))</f>
        <v/>
      </c>
      <c r="C1846" s="14" t="str">
        <f>IF(ISBLANK(A1846),"",_xlfn.XLOOKUP(A1846,'DISPATCH SHEET'!C$3:C$121,'DISPATCH SHEET'!#REF!,""))</f>
        <v/>
      </c>
      <c r="D1846" s="26"/>
      <c r="E1846" s="26"/>
      <c r="F1846" s="26"/>
      <c r="G1846" s="26"/>
      <c r="H1846" s="26"/>
      <c r="I1846" s="26"/>
      <c r="J1846" s="26"/>
      <c r="K1846" s="26"/>
    </row>
    <row r="1847" spans="1:11" s="5" customFormat="1" ht="15" customHeight="1" x14ac:dyDescent="0.2">
      <c r="A1847" s="26"/>
      <c r="B1847" s="14" t="str">
        <f>IF(A1847="","",_xlfn.XLOOKUP(A1847,'DISPATCH SHEET'!B$3:B$121,'DISPATCH SHEET'!C$3:C$121,""))</f>
        <v/>
      </c>
      <c r="C1847" s="14" t="str">
        <f>IF(ISBLANK(A1847),"",_xlfn.XLOOKUP(A1847,'DISPATCH SHEET'!C$3:C$121,'DISPATCH SHEET'!#REF!,""))</f>
        <v/>
      </c>
      <c r="D1847" s="26"/>
      <c r="E1847" s="26"/>
      <c r="F1847" s="26"/>
      <c r="G1847" s="26"/>
      <c r="H1847" s="26"/>
      <c r="I1847" s="26"/>
      <c r="J1847" s="26"/>
      <c r="K1847" s="26"/>
    </row>
    <row r="1848" spans="1:11" s="5" customFormat="1" ht="15" customHeight="1" x14ac:dyDescent="0.2">
      <c r="A1848" s="26"/>
      <c r="B1848" s="14" t="str">
        <f>IF(A1848="","",_xlfn.XLOOKUP(A1848,'DISPATCH SHEET'!B$3:B$121,'DISPATCH SHEET'!C$3:C$121,""))</f>
        <v/>
      </c>
      <c r="C1848" s="14" t="str">
        <f>IF(ISBLANK(A1848),"",_xlfn.XLOOKUP(A1848,'DISPATCH SHEET'!C$3:C$121,'DISPATCH SHEET'!#REF!,""))</f>
        <v/>
      </c>
      <c r="D1848" s="26"/>
      <c r="E1848" s="26"/>
      <c r="F1848" s="26"/>
      <c r="G1848" s="26"/>
      <c r="H1848" s="26"/>
      <c r="I1848" s="26"/>
      <c r="J1848" s="26"/>
      <c r="K1848" s="26"/>
    </row>
    <row r="1849" spans="1:11" s="5" customFormat="1" ht="15" customHeight="1" x14ac:dyDescent="0.2">
      <c r="A1849" s="26"/>
      <c r="B1849" s="14" t="str">
        <f>IF(A1849="","",_xlfn.XLOOKUP(A1849,'DISPATCH SHEET'!B$3:B$121,'DISPATCH SHEET'!C$3:C$121,""))</f>
        <v/>
      </c>
      <c r="C1849" s="14" t="str">
        <f>IF(ISBLANK(A1849),"",_xlfn.XLOOKUP(A1849,'DISPATCH SHEET'!C$3:C$121,'DISPATCH SHEET'!#REF!,""))</f>
        <v/>
      </c>
      <c r="D1849" s="26"/>
      <c r="E1849" s="26"/>
      <c r="F1849" s="26"/>
      <c r="G1849" s="26"/>
      <c r="H1849" s="26"/>
      <c r="I1849" s="26"/>
      <c r="J1849" s="26"/>
      <c r="K1849" s="26"/>
    </row>
    <row r="1850" spans="1:11" s="5" customFormat="1" ht="15" customHeight="1" x14ac:dyDescent="0.2">
      <c r="A1850" s="26"/>
      <c r="B1850" s="14" t="str">
        <f>IF(A1850="","",_xlfn.XLOOKUP(A1850,'DISPATCH SHEET'!B$3:B$121,'DISPATCH SHEET'!C$3:C$121,""))</f>
        <v/>
      </c>
      <c r="C1850" s="14" t="str">
        <f>IF(ISBLANK(A1850),"",_xlfn.XLOOKUP(A1850,'DISPATCH SHEET'!C$3:C$121,'DISPATCH SHEET'!#REF!,""))</f>
        <v/>
      </c>
      <c r="D1850" s="26"/>
      <c r="E1850" s="26"/>
      <c r="F1850" s="26"/>
      <c r="G1850" s="26"/>
      <c r="H1850" s="26"/>
      <c r="I1850" s="26"/>
      <c r="J1850" s="26"/>
      <c r="K1850" s="26"/>
    </row>
    <row r="1851" spans="1:11" s="5" customFormat="1" ht="15" customHeight="1" x14ac:dyDescent="0.2">
      <c r="A1851" s="26"/>
      <c r="B1851" s="14" t="str">
        <f>IF(A1851="","",_xlfn.XLOOKUP(A1851,'DISPATCH SHEET'!B$3:B$121,'DISPATCH SHEET'!C$3:C$121,""))</f>
        <v/>
      </c>
      <c r="C1851" s="14" t="str">
        <f>IF(ISBLANK(A1851),"",_xlfn.XLOOKUP(A1851,'DISPATCH SHEET'!C$3:C$121,'DISPATCH SHEET'!#REF!,""))</f>
        <v/>
      </c>
      <c r="D1851" s="26"/>
      <c r="E1851" s="26"/>
      <c r="F1851" s="26"/>
      <c r="G1851" s="26"/>
      <c r="H1851" s="26"/>
      <c r="I1851" s="26"/>
      <c r="J1851" s="26"/>
      <c r="K1851" s="26"/>
    </row>
    <row r="1852" spans="1:11" s="5" customFormat="1" ht="15" customHeight="1" x14ac:dyDescent="0.2">
      <c r="A1852" s="26"/>
      <c r="B1852" s="14" t="str">
        <f>IF(A1852="","",_xlfn.XLOOKUP(A1852,'DISPATCH SHEET'!B$3:B$121,'DISPATCH SHEET'!C$3:C$121,""))</f>
        <v/>
      </c>
      <c r="C1852" s="14" t="str">
        <f>IF(ISBLANK(A1852),"",_xlfn.XLOOKUP(A1852,'DISPATCH SHEET'!C$3:C$121,'DISPATCH SHEET'!#REF!,""))</f>
        <v/>
      </c>
      <c r="D1852" s="26"/>
      <c r="E1852" s="26"/>
      <c r="F1852" s="26"/>
      <c r="G1852" s="26"/>
      <c r="H1852" s="26"/>
      <c r="I1852" s="26"/>
      <c r="J1852" s="26"/>
      <c r="K1852" s="26"/>
    </row>
    <row r="1853" spans="1:11" s="5" customFormat="1" ht="15" customHeight="1" x14ac:dyDescent="0.2">
      <c r="A1853" s="26"/>
      <c r="B1853" s="14" t="str">
        <f>IF(A1853="","",_xlfn.XLOOKUP(A1853,'DISPATCH SHEET'!B$3:B$121,'DISPATCH SHEET'!C$3:C$121,""))</f>
        <v/>
      </c>
      <c r="C1853" s="14" t="str">
        <f>IF(ISBLANK(A1853),"",_xlfn.XLOOKUP(A1853,'DISPATCH SHEET'!C$3:C$121,'DISPATCH SHEET'!#REF!,""))</f>
        <v/>
      </c>
      <c r="D1853" s="26"/>
      <c r="E1853" s="26"/>
      <c r="F1853" s="26"/>
      <c r="G1853" s="26"/>
      <c r="H1853" s="26"/>
      <c r="I1853" s="26"/>
      <c r="J1853" s="26"/>
      <c r="K1853" s="26"/>
    </row>
    <row r="1854" spans="1:11" s="5" customFormat="1" ht="15" customHeight="1" x14ac:dyDescent="0.2">
      <c r="A1854" s="26"/>
      <c r="B1854" s="14" t="str">
        <f>IF(A1854="","",_xlfn.XLOOKUP(A1854,'DISPATCH SHEET'!B$3:B$121,'DISPATCH SHEET'!C$3:C$121,""))</f>
        <v/>
      </c>
      <c r="C1854" s="14" t="str">
        <f>IF(ISBLANK(A1854),"",_xlfn.XLOOKUP(A1854,'DISPATCH SHEET'!C$3:C$121,'DISPATCH SHEET'!#REF!,""))</f>
        <v/>
      </c>
      <c r="D1854" s="26"/>
      <c r="E1854" s="26"/>
      <c r="F1854" s="26"/>
      <c r="G1854" s="26"/>
      <c r="H1854" s="26"/>
      <c r="I1854" s="26"/>
      <c r="J1854" s="26"/>
      <c r="K1854" s="26"/>
    </row>
    <row r="1855" spans="1:11" s="5" customFormat="1" ht="15" customHeight="1" x14ac:dyDescent="0.2">
      <c r="A1855" s="26"/>
      <c r="B1855" s="14" t="str">
        <f>IF(A1855="","",_xlfn.XLOOKUP(A1855,'DISPATCH SHEET'!B$3:B$121,'DISPATCH SHEET'!C$3:C$121,""))</f>
        <v/>
      </c>
      <c r="C1855" s="14" t="str">
        <f>IF(ISBLANK(A1855),"",_xlfn.XLOOKUP(A1855,'DISPATCH SHEET'!C$3:C$121,'DISPATCH SHEET'!#REF!,""))</f>
        <v/>
      </c>
      <c r="D1855" s="26"/>
      <c r="E1855" s="26"/>
      <c r="F1855" s="26"/>
      <c r="G1855" s="26"/>
      <c r="H1855" s="26"/>
      <c r="I1855" s="26"/>
      <c r="J1855" s="26"/>
      <c r="K1855" s="26"/>
    </row>
    <row r="1856" spans="1:11" s="5" customFormat="1" ht="15" customHeight="1" x14ac:dyDescent="0.2">
      <c r="A1856" s="26"/>
      <c r="B1856" s="14" t="str">
        <f>IF(A1856="","",_xlfn.XLOOKUP(A1856,'DISPATCH SHEET'!B$3:B$121,'DISPATCH SHEET'!C$3:C$121,""))</f>
        <v/>
      </c>
      <c r="C1856" s="14" t="str">
        <f>IF(ISBLANK(A1856),"",_xlfn.XLOOKUP(A1856,'DISPATCH SHEET'!C$3:C$121,'DISPATCH SHEET'!#REF!,""))</f>
        <v/>
      </c>
      <c r="D1856" s="26"/>
      <c r="E1856" s="26"/>
      <c r="F1856" s="26"/>
      <c r="G1856" s="26"/>
      <c r="H1856" s="26"/>
      <c r="I1856" s="26"/>
      <c r="J1856" s="26"/>
      <c r="K1856" s="26"/>
    </row>
    <row r="1857" spans="1:11" s="5" customFormat="1" ht="15" customHeight="1" x14ac:dyDescent="0.2">
      <c r="A1857" s="26"/>
      <c r="B1857" s="14" t="str">
        <f>IF(A1857="","",_xlfn.XLOOKUP(A1857,'DISPATCH SHEET'!B$3:B$121,'DISPATCH SHEET'!C$3:C$121,""))</f>
        <v/>
      </c>
      <c r="C1857" s="14" t="str">
        <f>IF(ISBLANK(A1857),"",_xlfn.XLOOKUP(A1857,'DISPATCH SHEET'!C$3:C$121,'DISPATCH SHEET'!#REF!,""))</f>
        <v/>
      </c>
      <c r="D1857" s="26"/>
      <c r="E1857" s="26"/>
      <c r="F1857" s="26"/>
      <c r="G1857" s="26"/>
      <c r="H1857" s="26"/>
      <c r="I1857" s="26"/>
      <c r="J1857" s="26"/>
      <c r="K1857" s="26"/>
    </row>
    <row r="1858" spans="1:11" s="5" customFormat="1" ht="15" customHeight="1" x14ac:dyDescent="0.2">
      <c r="A1858" s="26"/>
      <c r="B1858" s="14" t="str">
        <f>IF(A1858="","",_xlfn.XLOOKUP(A1858,'DISPATCH SHEET'!B$3:B$121,'DISPATCH SHEET'!C$3:C$121,""))</f>
        <v/>
      </c>
      <c r="C1858" s="14" t="str">
        <f>IF(ISBLANK(A1858),"",_xlfn.XLOOKUP(A1858,'DISPATCH SHEET'!C$3:C$121,'DISPATCH SHEET'!#REF!,""))</f>
        <v/>
      </c>
      <c r="D1858" s="26"/>
      <c r="E1858" s="26"/>
      <c r="F1858" s="26"/>
      <c r="G1858" s="26"/>
      <c r="H1858" s="26"/>
      <c r="I1858" s="26"/>
      <c r="J1858" s="26"/>
      <c r="K1858" s="26"/>
    </row>
    <row r="1859" spans="1:11" s="5" customFormat="1" ht="15" customHeight="1" x14ac:dyDescent="0.2">
      <c r="A1859" s="26"/>
      <c r="B1859" s="14" t="str">
        <f>IF(A1859="","",_xlfn.XLOOKUP(A1859,'DISPATCH SHEET'!B$3:B$121,'DISPATCH SHEET'!C$3:C$121,""))</f>
        <v/>
      </c>
      <c r="C1859" s="14" t="str">
        <f>IF(ISBLANK(A1859),"",_xlfn.XLOOKUP(A1859,'DISPATCH SHEET'!C$3:C$121,'DISPATCH SHEET'!#REF!,""))</f>
        <v/>
      </c>
      <c r="D1859" s="26"/>
      <c r="E1859" s="26"/>
      <c r="F1859" s="26"/>
      <c r="G1859" s="26"/>
      <c r="H1859" s="26"/>
      <c r="I1859" s="26"/>
      <c r="J1859" s="26"/>
      <c r="K1859" s="26"/>
    </row>
    <row r="1860" spans="1:11" s="5" customFormat="1" ht="15" customHeight="1" x14ac:dyDescent="0.2">
      <c r="A1860" s="26"/>
      <c r="B1860" s="14" t="str">
        <f>IF(A1860="","",_xlfn.XLOOKUP(A1860,'DISPATCH SHEET'!B$3:B$121,'DISPATCH SHEET'!C$3:C$121,""))</f>
        <v/>
      </c>
      <c r="C1860" s="14" t="str">
        <f>IF(ISBLANK(A1860),"",_xlfn.XLOOKUP(A1860,'DISPATCH SHEET'!C$3:C$121,'DISPATCH SHEET'!#REF!,""))</f>
        <v/>
      </c>
      <c r="D1860" s="26"/>
      <c r="E1860" s="26"/>
      <c r="F1860" s="26"/>
      <c r="G1860" s="26"/>
      <c r="H1860" s="26"/>
      <c r="I1860" s="26"/>
      <c r="J1860" s="26"/>
      <c r="K1860" s="26"/>
    </row>
    <row r="1861" spans="1:11" s="5" customFormat="1" ht="15" customHeight="1" x14ac:dyDescent="0.2">
      <c r="A1861" s="26"/>
      <c r="B1861" s="14" t="str">
        <f>IF(A1861="","",_xlfn.XLOOKUP(A1861,'DISPATCH SHEET'!B$3:B$121,'DISPATCH SHEET'!C$3:C$121,""))</f>
        <v/>
      </c>
      <c r="C1861" s="14" t="str">
        <f>IF(ISBLANK(A1861),"",_xlfn.XLOOKUP(A1861,'DISPATCH SHEET'!C$3:C$121,'DISPATCH SHEET'!#REF!,""))</f>
        <v/>
      </c>
      <c r="D1861" s="26"/>
      <c r="E1861" s="26"/>
      <c r="F1861" s="26"/>
      <c r="G1861" s="26"/>
      <c r="H1861" s="26"/>
      <c r="I1861" s="26"/>
      <c r="J1861" s="26"/>
      <c r="K1861" s="26"/>
    </row>
    <row r="1862" spans="1:11" s="5" customFormat="1" ht="15" customHeight="1" x14ac:dyDescent="0.2">
      <c r="A1862" s="26"/>
      <c r="B1862" s="14" t="str">
        <f>IF(A1862="","",_xlfn.XLOOKUP(A1862,'DISPATCH SHEET'!B$3:B$121,'DISPATCH SHEET'!C$3:C$121,""))</f>
        <v/>
      </c>
      <c r="C1862" s="14" t="str">
        <f>IF(ISBLANK(A1862),"",_xlfn.XLOOKUP(A1862,'DISPATCH SHEET'!C$3:C$121,'DISPATCH SHEET'!#REF!,""))</f>
        <v/>
      </c>
      <c r="D1862" s="26"/>
      <c r="E1862" s="26"/>
      <c r="F1862" s="26"/>
      <c r="G1862" s="26"/>
      <c r="H1862" s="26"/>
      <c r="I1862" s="26"/>
      <c r="J1862" s="26"/>
      <c r="K1862" s="26"/>
    </row>
    <row r="1863" spans="1:11" s="5" customFormat="1" ht="15" customHeight="1" x14ac:dyDescent="0.2">
      <c r="A1863" s="26"/>
      <c r="B1863" s="14" t="str">
        <f>IF(A1863="","",_xlfn.XLOOKUP(A1863,'DISPATCH SHEET'!B$3:B$121,'DISPATCH SHEET'!C$3:C$121,""))</f>
        <v/>
      </c>
      <c r="C1863" s="14" t="str">
        <f>IF(ISBLANK(A1863),"",_xlfn.XLOOKUP(A1863,'DISPATCH SHEET'!C$3:C$121,'DISPATCH SHEET'!#REF!,""))</f>
        <v/>
      </c>
      <c r="D1863" s="26"/>
      <c r="E1863" s="26"/>
      <c r="F1863" s="26"/>
      <c r="G1863" s="26"/>
      <c r="H1863" s="26"/>
      <c r="I1863" s="26"/>
      <c r="J1863" s="26"/>
      <c r="K1863" s="26"/>
    </row>
    <row r="1864" spans="1:11" s="5" customFormat="1" ht="15" customHeight="1" x14ac:dyDescent="0.2">
      <c r="A1864" s="26"/>
      <c r="B1864" s="14" t="str">
        <f>IF(A1864="","",_xlfn.XLOOKUP(A1864,'DISPATCH SHEET'!B$3:B$121,'DISPATCH SHEET'!C$3:C$121,""))</f>
        <v/>
      </c>
      <c r="C1864" s="14" t="str">
        <f>IF(ISBLANK(A1864),"",_xlfn.XLOOKUP(A1864,'DISPATCH SHEET'!C$3:C$121,'DISPATCH SHEET'!#REF!,""))</f>
        <v/>
      </c>
      <c r="D1864" s="26"/>
      <c r="E1864" s="26"/>
      <c r="F1864" s="26"/>
      <c r="G1864" s="26"/>
      <c r="H1864" s="26"/>
      <c r="I1864" s="26"/>
      <c r="J1864" s="26"/>
      <c r="K1864" s="26"/>
    </row>
    <row r="1865" spans="1:11" s="5" customFormat="1" ht="15" customHeight="1" x14ac:dyDescent="0.2">
      <c r="A1865" s="26"/>
      <c r="B1865" s="14" t="str">
        <f>IF(A1865="","",_xlfn.XLOOKUP(A1865,'DISPATCH SHEET'!B$3:B$121,'DISPATCH SHEET'!C$3:C$121,""))</f>
        <v/>
      </c>
      <c r="C1865" s="14" t="str">
        <f>IF(ISBLANK(A1865),"",_xlfn.XLOOKUP(A1865,'DISPATCH SHEET'!C$3:C$121,'DISPATCH SHEET'!#REF!,""))</f>
        <v/>
      </c>
      <c r="D1865" s="26"/>
      <c r="E1865" s="26"/>
      <c r="F1865" s="26"/>
      <c r="G1865" s="26"/>
      <c r="H1865" s="26"/>
      <c r="I1865" s="26"/>
      <c r="J1865" s="26"/>
      <c r="K1865" s="26"/>
    </row>
    <row r="1866" spans="1:11" s="5" customFormat="1" ht="15" customHeight="1" x14ac:dyDescent="0.2">
      <c r="A1866" s="26"/>
      <c r="B1866" s="14" t="str">
        <f>IF(A1866="","",_xlfn.XLOOKUP(A1866,'DISPATCH SHEET'!B$3:B$121,'DISPATCH SHEET'!C$3:C$121,""))</f>
        <v/>
      </c>
      <c r="C1866" s="14" t="str">
        <f>IF(ISBLANK(A1866),"",_xlfn.XLOOKUP(A1866,'DISPATCH SHEET'!C$3:C$121,'DISPATCH SHEET'!#REF!,""))</f>
        <v/>
      </c>
      <c r="D1866" s="26"/>
      <c r="E1866" s="26"/>
      <c r="F1866" s="26"/>
      <c r="G1866" s="26"/>
      <c r="H1866" s="26"/>
      <c r="I1866" s="26"/>
      <c r="J1866" s="26"/>
      <c r="K1866" s="26"/>
    </row>
    <row r="1867" spans="1:11" s="5" customFormat="1" ht="15" customHeight="1" x14ac:dyDescent="0.2">
      <c r="A1867" s="26"/>
      <c r="B1867" s="14" t="str">
        <f>IF(A1867="","",_xlfn.XLOOKUP(A1867,'DISPATCH SHEET'!B$3:B$121,'DISPATCH SHEET'!C$3:C$121,""))</f>
        <v/>
      </c>
      <c r="C1867" s="14" t="str">
        <f>IF(ISBLANK(A1867),"",_xlfn.XLOOKUP(A1867,'DISPATCH SHEET'!C$3:C$121,'DISPATCH SHEET'!#REF!,""))</f>
        <v/>
      </c>
      <c r="D1867" s="26"/>
      <c r="E1867" s="26"/>
      <c r="F1867" s="26"/>
      <c r="G1867" s="26"/>
      <c r="H1867" s="26"/>
      <c r="I1867" s="26"/>
      <c r="J1867" s="26"/>
      <c r="K1867" s="26"/>
    </row>
    <row r="1868" spans="1:11" s="5" customFormat="1" ht="15" customHeight="1" x14ac:dyDescent="0.2">
      <c r="A1868" s="26"/>
      <c r="B1868" s="14" t="str">
        <f>IF(A1868="","",_xlfn.XLOOKUP(A1868,'DISPATCH SHEET'!B$3:B$121,'DISPATCH SHEET'!C$3:C$121,""))</f>
        <v/>
      </c>
      <c r="C1868" s="14" t="str">
        <f>IF(ISBLANK(A1868),"",_xlfn.XLOOKUP(A1868,'DISPATCH SHEET'!C$3:C$121,'DISPATCH SHEET'!#REF!,""))</f>
        <v/>
      </c>
      <c r="D1868" s="26"/>
      <c r="E1868" s="26"/>
      <c r="F1868" s="26"/>
      <c r="G1868" s="26"/>
      <c r="H1868" s="26"/>
      <c r="I1868" s="26"/>
      <c r="J1868" s="26"/>
      <c r="K1868" s="26"/>
    </row>
    <row r="1869" spans="1:11" s="5" customFormat="1" ht="15" customHeight="1" x14ac:dyDescent="0.2">
      <c r="A1869" s="26"/>
      <c r="B1869" s="14" t="str">
        <f>IF(A1869="","",_xlfn.XLOOKUP(A1869,'DISPATCH SHEET'!B$3:B$121,'DISPATCH SHEET'!C$3:C$121,""))</f>
        <v/>
      </c>
      <c r="C1869" s="14" t="str">
        <f>IF(ISBLANK(A1869),"",_xlfn.XLOOKUP(A1869,'DISPATCH SHEET'!C$3:C$121,'DISPATCH SHEET'!#REF!,""))</f>
        <v/>
      </c>
      <c r="D1869" s="26"/>
      <c r="E1869" s="26"/>
      <c r="F1869" s="26"/>
      <c r="G1869" s="26"/>
      <c r="H1869" s="26"/>
      <c r="I1869" s="26"/>
      <c r="J1869" s="26"/>
      <c r="K1869" s="26"/>
    </row>
    <row r="1870" spans="1:11" s="5" customFormat="1" ht="15" customHeight="1" x14ac:dyDescent="0.2">
      <c r="A1870" s="26"/>
      <c r="B1870" s="14" t="str">
        <f>IF(A1870="","",_xlfn.XLOOKUP(A1870,'DISPATCH SHEET'!B$3:B$121,'DISPATCH SHEET'!C$3:C$121,""))</f>
        <v/>
      </c>
      <c r="C1870" s="14" t="str">
        <f>IF(ISBLANK(A1870),"",_xlfn.XLOOKUP(A1870,'DISPATCH SHEET'!C$3:C$121,'DISPATCH SHEET'!#REF!,""))</f>
        <v/>
      </c>
      <c r="D1870" s="26"/>
      <c r="E1870" s="26"/>
      <c r="F1870" s="26"/>
      <c r="G1870" s="26"/>
      <c r="H1870" s="26"/>
      <c r="I1870" s="26"/>
      <c r="J1870" s="26"/>
      <c r="K1870" s="26"/>
    </row>
    <row r="1871" spans="1:11" s="5" customFormat="1" ht="15" customHeight="1" x14ac:dyDescent="0.2">
      <c r="A1871" s="26"/>
      <c r="B1871" s="14" t="str">
        <f>IF(A1871="","",_xlfn.XLOOKUP(A1871,'DISPATCH SHEET'!B$3:B$121,'DISPATCH SHEET'!C$3:C$121,""))</f>
        <v/>
      </c>
      <c r="C1871" s="14" t="str">
        <f>IF(ISBLANK(A1871),"",_xlfn.XLOOKUP(A1871,'DISPATCH SHEET'!C$3:C$121,'DISPATCH SHEET'!#REF!,""))</f>
        <v/>
      </c>
      <c r="D1871" s="26"/>
      <c r="E1871" s="26"/>
      <c r="F1871" s="26"/>
      <c r="G1871" s="26"/>
      <c r="H1871" s="26"/>
      <c r="I1871" s="26"/>
      <c r="J1871" s="26"/>
      <c r="K1871" s="26"/>
    </row>
    <row r="1872" spans="1:11" s="5" customFormat="1" ht="15" customHeight="1" x14ac:dyDescent="0.2">
      <c r="A1872" s="26"/>
      <c r="B1872" s="14" t="str">
        <f>IF(A1872="","",_xlfn.XLOOKUP(A1872,'DISPATCH SHEET'!B$3:B$121,'DISPATCH SHEET'!C$3:C$121,""))</f>
        <v/>
      </c>
      <c r="C1872" s="14" t="str">
        <f>IF(ISBLANK(A1872),"",_xlfn.XLOOKUP(A1872,'DISPATCH SHEET'!C$3:C$121,'DISPATCH SHEET'!#REF!,""))</f>
        <v/>
      </c>
      <c r="D1872" s="26"/>
      <c r="E1872" s="26"/>
      <c r="F1872" s="26"/>
      <c r="G1872" s="26"/>
      <c r="H1872" s="26"/>
      <c r="I1872" s="26"/>
      <c r="J1872" s="26"/>
      <c r="K1872" s="26"/>
    </row>
    <row r="1873" spans="1:11" s="5" customFormat="1" ht="15" customHeight="1" x14ac:dyDescent="0.2">
      <c r="A1873" s="26"/>
      <c r="B1873" s="14" t="str">
        <f>IF(A1873="","",_xlfn.XLOOKUP(A1873,'DISPATCH SHEET'!B$3:B$121,'DISPATCH SHEET'!C$3:C$121,""))</f>
        <v/>
      </c>
      <c r="C1873" s="14" t="str">
        <f>IF(ISBLANK(A1873),"",_xlfn.XLOOKUP(A1873,'DISPATCH SHEET'!C$3:C$121,'DISPATCH SHEET'!#REF!,""))</f>
        <v/>
      </c>
      <c r="D1873" s="26"/>
      <c r="E1873" s="26"/>
      <c r="F1873" s="26"/>
      <c r="G1873" s="26"/>
      <c r="H1873" s="26"/>
      <c r="I1873" s="26"/>
      <c r="J1873" s="26"/>
      <c r="K1873" s="26"/>
    </row>
    <row r="1874" spans="1:11" s="5" customFormat="1" ht="15" customHeight="1" x14ac:dyDescent="0.2">
      <c r="A1874" s="26"/>
      <c r="B1874" s="14" t="str">
        <f>IF(A1874="","",_xlfn.XLOOKUP(A1874,'DISPATCH SHEET'!B$3:B$121,'DISPATCH SHEET'!C$3:C$121,""))</f>
        <v/>
      </c>
      <c r="C1874" s="14" t="str">
        <f>IF(ISBLANK(A1874),"",_xlfn.XLOOKUP(A1874,'DISPATCH SHEET'!C$3:C$121,'DISPATCH SHEET'!#REF!,""))</f>
        <v/>
      </c>
      <c r="D1874" s="26"/>
      <c r="E1874" s="26"/>
      <c r="F1874" s="26"/>
      <c r="G1874" s="26"/>
      <c r="H1874" s="26"/>
      <c r="I1874" s="26"/>
      <c r="J1874" s="26"/>
      <c r="K1874" s="26"/>
    </row>
    <row r="1875" spans="1:11" s="5" customFormat="1" ht="15" customHeight="1" x14ac:dyDescent="0.2">
      <c r="A1875" s="26"/>
      <c r="B1875" s="14" t="str">
        <f>IF(A1875="","",_xlfn.XLOOKUP(A1875,'DISPATCH SHEET'!B$3:B$121,'DISPATCH SHEET'!C$3:C$121,""))</f>
        <v/>
      </c>
      <c r="C1875" s="14" t="str">
        <f>IF(ISBLANK(A1875),"",_xlfn.XLOOKUP(A1875,'DISPATCH SHEET'!C$3:C$121,'DISPATCH SHEET'!#REF!,""))</f>
        <v/>
      </c>
      <c r="D1875" s="26"/>
      <c r="E1875" s="26"/>
      <c r="F1875" s="26"/>
      <c r="G1875" s="26"/>
      <c r="H1875" s="26"/>
      <c r="I1875" s="26"/>
      <c r="J1875" s="26"/>
      <c r="K1875" s="26"/>
    </row>
    <row r="1876" spans="1:11" s="5" customFormat="1" ht="15" customHeight="1" x14ac:dyDescent="0.2">
      <c r="A1876" s="26"/>
      <c r="B1876" s="14" t="str">
        <f>IF(A1876="","",_xlfn.XLOOKUP(A1876,'DISPATCH SHEET'!B$3:B$121,'DISPATCH SHEET'!C$3:C$121,""))</f>
        <v/>
      </c>
      <c r="C1876" s="14" t="str">
        <f>IF(ISBLANK(A1876),"",_xlfn.XLOOKUP(A1876,'DISPATCH SHEET'!C$3:C$121,'DISPATCH SHEET'!#REF!,""))</f>
        <v/>
      </c>
      <c r="D1876" s="26"/>
      <c r="E1876" s="26"/>
      <c r="F1876" s="26"/>
      <c r="G1876" s="26"/>
      <c r="H1876" s="26"/>
      <c r="I1876" s="26"/>
      <c r="J1876" s="26"/>
      <c r="K1876" s="26"/>
    </row>
    <row r="1877" spans="1:11" s="5" customFormat="1" ht="15" customHeight="1" x14ac:dyDescent="0.2">
      <c r="A1877" s="26"/>
      <c r="B1877" s="14" t="str">
        <f>IF(A1877="","",_xlfn.XLOOKUP(A1877,'DISPATCH SHEET'!B$3:B$121,'DISPATCH SHEET'!C$3:C$121,""))</f>
        <v/>
      </c>
      <c r="C1877" s="14" t="str">
        <f>IF(ISBLANK(A1877),"",_xlfn.XLOOKUP(A1877,'DISPATCH SHEET'!C$3:C$121,'DISPATCH SHEET'!#REF!,""))</f>
        <v/>
      </c>
      <c r="D1877" s="26"/>
      <c r="E1877" s="26"/>
      <c r="F1877" s="26"/>
      <c r="G1877" s="26"/>
      <c r="H1877" s="26"/>
      <c r="I1877" s="26"/>
      <c r="J1877" s="26"/>
      <c r="K1877" s="26"/>
    </row>
    <row r="1878" spans="1:11" s="5" customFormat="1" ht="15" customHeight="1" x14ac:dyDescent="0.2">
      <c r="A1878" s="26"/>
      <c r="B1878" s="14" t="str">
        <f>IF(A1878="","",_xlfn.XLOOKUP(A1878,'DISPATCH SHEET'!B$3:B$121,'DISPATCH SHEET'!C$3:C$121,""))</f>
        <v/>
      </c>
      <c r="C1878" s="14" t="str">
        <f>IF(ISBLANK(A1878),"",_xlfn.XLOOKUP(A1878,'DISPATCH SHEET'!C$3:C$121,'DISPATCH SHEET'!#REF!,""))</f>
        <v/>
      </c>
      <c r="D1878" s="26"/>
      <c r="E1878" s="26"/>
      <c r="F1878" s="26"/>
      <c r="G1878" s="26"/>
      <c r="H1878" s="26"/>
      <c r="I1878" s="26"/>
      <c r="J1878" s="26"/>
      <c r="K1878" s="26"/>
    </row>
    <row r="1879" spans="1:11" s="5" customFormat="1" ht="15" customHeight="1" x14ac:dyDescent="0.2">
      <c r="A1879" s="26"/>
      <c r="B1879" s="14" t="str">
        <f>IF(A1879="","",_xlfn.XLOOKUP(A1879,'DISPATCH SHEET'!B$3:B$121,'DISPATCH SHEET'!C$3:C$121,""))</f>
        <v/>
      </c>
      <c r="C1879" s="14" t="str">
        <f>IF(ISBLANK(A1879),"",_xlfn.XLOOKUP(A1879,'DISPATCH SHEET'!C$3:C$121,'DISPATCH SHEET'!#REF!,""))</f>
        <v/>
      </c>
      <c r="D1879" s="26"/>
      <c r="E1879" s="26"/>
      <c r="F1879" s="26"/>
      <c r="G1879" s="26"/>
      <c r="H1879" s="26"/>
      <c r="I1879" s="26"/>
      <c r="J1879" s="26"/>
      <c r="K1879" s="26"/>
    </row>
    <row r="1880" spans="1:11" s="5" customFormat="1" ht="15" customHeight="1" x14ac:dyDescent="0.2">
      <c r="A1880" s="26"/>
      <c r="B1880" s="14" t="str">
        <f>IF(A1880="","",_xlfn.XLOOKUP(A1880,'DISPATCH SHEET'!B$3:B$121,'DISPATCH SHEET'!C$3:C$121,""))</f>
        <v/>
      </c>
      <c r="C1880" s="14" t="str">
        <f>IF(ISBLANK(A1880),"",_xlfn.XLOOKUP(A1880,'DISPATCH SHEET'!C$3:C$121,'DISPATCH SHEET'!#REF!,""))</f>
        <v/>
      </c>
      <c r="D1880" s="26"/>
      <c r="E1880" s="26"/>
      <c r="F1880" s="26"/>
      <c r="G1880" s="26"/>
      <c r="H1880" s="26"/>
      <c r="I1880" s="26"/>
      <c r="J1880" s="26"/>
      <c r="K1880" s="26"/>
    </row>
    <row r="1881" spans="1:11" s="5" customFormat="1" ht="15" customHeight="1" x14ac:dyDescent="0.2">
      <c r="A1881" s="26"/>
      <c r="B1881" s="14" t="str">
        <f>IF(A1881="","",_xlfn.XLOOKUP(A1881,'DISPATCH SHEET'!B$3:B$121,'DISPATCH SHEET'!C$3:C$121,""))</f>
        <v/>
      </c>
      <c r="C1881" s="14" t="str">
        <f>IF(ISBLANK(A1881),"",_xlfn.XLOOKUP(A1881,'DISPATCH SHEET'!C$3:C$121,'DISPATCH SHEET'!#REF!,""))</f>
        <v/>
      </c>
      <c r="D1881" s="26"/>
      <c r="E1881" s="26"/>
      <c r="F1881" s="26"/>
      <c r="G1881" s="26"/>
      <c r="H1881" s="26"/>
      <c r="I1881" s="26"/>
      <c r="J1881" s="26"/>
      <c r="K1881" s="26"/>
    </row>
    <row r="1882" spans="1:11" s="5" customFormat="1" ht="15" customHeight="1" x14ac:dyDescent="0.2">
      <c r="A1882" s="26"/>
      <c r="B1882" s="14" t="str">
        <f>IF(A1882="","",_xlfn.XLOOKUP(A1882,'DISPATCH SHEET'!B$3:B$121,'DISPATCH SHEET'!C$3:C$121,""))</f>
        <v/>
      </c>
      <c r="C1882" s="14" t="str">
        <f>IF(ISBLANK(A1882),"",_xlfn.XLOOKUP(A1882,'DISPATCH SHEET'!C$3:C$121,'DISPATCH SHEET'!#REF!,""))</f>
        <v/>
      </c>
      <c r="D1882" s="26"/>
      <c r="E1882" s="26"/>
      <c r="F1882" s="26"/>
      <c r="G1882" s="26"/>
      <c r="H1882" s="26"/>
      <c r="I1882" s="26"/>
      <c r="J1882" s="26"/>
      <c r="K1882" s="26"/>
    </row>
    <row r="1883" spans="1:11" s="5" customFormat="1" ht="15" customHeight="1" x14ac:dyDescent="0.2">
      <c r="A1883" s="26"/>
      <c r="B1883" s="14" t="str">
        <f>IF(A1883="","",_xlfn.XLOOKUP(A1883,'DISPATCH SHEET'!B$3:B$121,'DISPATCH SHEET'!C$3:C$121,""))</f>
        <v/>
      </c>
      <c r="C1883" s="14" t="str">
        <f>IF(ISBLANK(A1883),"",_xlfn.XLOOKUP(A1883,'DISPATCH SHEET'!C$3:C$121,'DISPATCH SHEET'!#REF!,""))</f>
        <v/>
      </c>
      <c r="D1883" s="26"/>
      <c r="E1883" s="26"/>
      <c r="F1883" s="26"/>
      <c r="G1883" s="26"/>
      <c r="H1883" s="26"/>
      <c r="I1883" s="26"/>
      <c r="J1883" s="26"/>
      <c r="K1883" s="26"/>
    </row>
    <row r="1884" spans="1:11" s="5" customFormat="1" ht="15" customHeight="1" x14ac:dyDescent="0.2">
      <c r="A1884" s="26"/>
      <c r="B1884" s="14" t="str">
        <f>IF(A1884="","",_xlfn.XLOOKUP(A1884,'DISPATCH SHEET'!B$3:B$121,'DISPATCH SHEET'!C$3:C$121,""))</f>
        <v/>
      </c>
      <c r="C1884" s="14" t="str">
        <f>IF(ISBLANK(A1884),"",_xlfn.XLOOKUP(A1884,'DISPATCH SHEET'!C$3:C$121,'DISPATCH SHEET'!#REF!,""))</f>
        <v/>
      </c>
      <c r="D1884" s="26"/>
      <c r="E1884" s="26"/>
      <c r="F1884" s="26"/>
      <c r="G1884" s="26"/>
      <c r="H1884" s="26"/>
      <c r="I1884" s="26"/>
      <c r="J1884" s="26"/>
      <c r="K1884" s="26"/>
    </row>
    <row r="1885" spans="1:11" s="5" customFormat="1" ht="15" customHeight="1" x14ac:dyDescent="0.2">
      <c r="A1885" s="26"/>
      <c r="B1885" s="14" t="str">
        <f>IF(A1885="","",_xlfn.XLOOKUP(A1885,'DISPATCH SHEET'!B$3:B$121,'DISPATCH SHEET'!C$3:C$121,""))</f>
        <v/>
      </c>
      <c r="C1885" s="14" t="str">
        <f>IF(ISBLANK(A1885),"",_xlfn.XLOOKUP(A1885,'DISPATCH SHEET'!C$3:C$121,'DISPATCH SHEET'!#REF!,""))</f>
        <v/>
      </c>
      <c r="D1885" s="26"/>
      <c r="E1885" s="26"/>
      <c r="F1885" s="26"/>
      <c r="G1885" s="26"/>
      <c r="H1885" s="26"/>
      <c r="I1885" s="26"/>
      <c r="J1885" s="26"/>
      <c r="K1885" s="26"/>
    </row>
    <row r="1886" spans="1:11" s="5" customFormat="1" ht="15" customHeight="1" x14ac:dyDescent="0.2">
      <c r="A1886" s="26"/>
      <c r="B1886" s="14" t="str">
        <f>IF(A1886="","",_xlfn.XLOOKUP(A1886,'DISPATCH SHEET'!B$3:B$121,'DISPATCH SHEET'!C$3:C$121,""))</f>
        <v/>
      </c>
      <c r="C1886" s="14" t="str">
        <f>IF(ISBLANK(A1886),"",_xlfn.XLOOKUP(A1886,'DISPATCH SHEET'!C$3:C$121,'DISPATCH SHEET'!#REF!,""))</f>
        <v/>
      </c>
      <c r="D1886" s="26"/>
      <c r="E1886" s="26"/>
      <c r="F1886" s="26"/>
      <c r="G1886" s="26"/>
      <c r="H1886" s="26"/>
      <c r="I1886" s="26"/>
      <c r="J1886" s="26"/>
      <c r="K1886" s="26"/>
    </row>
    <row r="1887" spans="1:11" s="5" customFormat="1" ht="15" customHeight="1" x14ac:dyDescent="0.2">
      <c r="A1887" s="26"/>
      <c r="B1887" s="14" t="str">
        <f>IF(A1887="","",_xlfn.XLOOKUP(A1887,'DISPATCH SHEET'!B$3:B$121,'DISPATCH SHEET'!C$3:C$121,""))</f>
        <v/>
      </c>
      <c r="C1887" s="14" t="str">
        <f>IF(ISBLANK(A1887),"",_xlfn.XLOOKUP(A1887,'DISPATCH SHEET'!C$3:C$121,'DISPATCH SHEET'!#REF!,""))</f>
        <v/>
      </c>
      <c r="D1887" s="26"/>
      <c r="E1887" s="26"/>
      <c r="F1887" s="26"/>
      <c r="G1887" s="26"/>
      <c r="H1887" s="26"/>
      <c r="I1887" s="26"/>
      <c r="J1887" s="26"/>
      <c r="K1887" s="26"/>
    </row>
    <row r="1888" spans="1:11" s="5" customFormat="1" ht="15" customHeight="1" x14ac:dyDescent="0.2">
      <c r="A1888" s="26"/>
      <c r="B1888" s="14" t="str">
        <f>IF(A1888="","",_xlfn.XLOOKUP(A1888,'DISPATCH SHEET'!B$3:B$121,'DISPATCH SHEET'!C$3:C$121,""))</f>
        <v/>
      </c>
      <c r="C1888" s="14" t="str">
        <f>IF(ISBLANK(A1888),"",_xlfn.XLOOKUP(A1888,'DISPATCH SHEET'!C$3:C$121,'DISPATCH SHEET'!#REF!,""))</f>
        <v/>
      </c>
      <c r="D1888" s="26"/>
      <c r="E1888" s="26"/>
      <c r="F1888" s="26"/>
      <c r="G1888" s="26"/>
      <c r="H1888" s="26"/>
      <c r="I1888" s="26"/>
      <c r="J1888" s="26"/>
      <c r="K1888" s="26"/>
    </row>
    <row r="1889" spans="1:11" s="5" customFormat="1" ht="15" customHeight="1" x14ac:dyDescent="0.2">
      <c r="A1889" s="26"/>
      <c r="B1889" s="14" t="str">
        <f>IF(A1889="","",_xlfn.XLOOKUP(A1889,'DISPATCH SHEET'!B$3:B$121,'DISPATCH SHEET'!C$3:C$121,""))</f>
        <v/>
      </c>
      <c r="C1889" s="14" t="str">
        <f>IF(ISBLANK(A1889),"",_xlfn.XLOOKUP(A1889,'DISPATCH SHEET'!C$3:C$121,'DISPATCH SHEET'!#REF!,""))</f>
        <v/>
      </c>
      <c r="D1889" s="26"/>
      <c r="E1889" s="26"/>
      <c r="F1889" s="26"/>
      <c r="G1889" s="26"/>
      <c r="H1889" s="26"/>
      <c r="I1889" s="26"/>
      <c r="J1889" s="26"/>
      <c r="K1889" s="26"/>
    </row>
    <row r="1890" spans="1:11" s="5" customFormat="1" ht="15" customHeight="1" x14ac:dyDescent="0.2">
      <c r="A1890" s="26"/>
      <c r="B1890" s="14" t="str">
        <f>IF(A1890="","",_xlfn.XLOOKUP(A1890,'DISPATCH SHEET'!B$3:B$121,'DISPATCH SHEET'!C$3:C$121,""))</f>
        <v/>
      </c>
      <c r="C1890" s="14" t="str">
        <f>IF(ISBLANK(A1890),"",_xlfn.XLOOKUP(A1890,'DISPATCH SHEET'!C$3:C$121,'DISPATCH SHEET'!#REF!,""))</f>
        <v/>
      </c>
      <c r="D1890" s="26"/>
      <c r="E1890" s="26"/>
      <c r="F1890" s="26"/>
      <c r="G1890" s="26"/>
      <c r="H1890" s="26"/>
      <c r="I1890" s="26"/>
      <c r="J1890" s="26"/>
      <c r="K1890" s="26"/>
    </row>
    <row r="1891" spans="1:11" s="5" customFormat="1" ht="15" customHeight="1" x14ac:dyDescent="0.2">
      <c r="A1891" s="26"/>
      <c r="B1891" s="14" t="str">
        <f>IF(A1891="","",_xlfn.XLOOKUP(A1891,'DISPATCH SHEET'!B$3:B$121,'DISPATCH SHEET'!C$3:C$121,""))</f>
        <v/>
      </c>
      <c r="C1891" s="14" t="str">
        <f>IF(ISBLANK(A1891),"",_xlfn.XLOOKUP(A1891,'DISPATCH SHEET'!C$3:C$121,'DISPATCH SHEET'!#REF!,""))</f>
        <v/>
      </c>
      <c r="D1891" s="26"/>
      <c r="E1891" s="26"/>
      <c r="F1891" s="26"/>
      <c r="G1891" s="26"/>
      <c r="H1891" s="26"/>
      <c r="I1891" s="26"/>
      <c r="J1891" s="26"/>
      <c r="K1891" s="26"/>
    </row>
    <row r="1892" spans="1:11" s="5" customFormat="1" ht="15" customHeight="1" x14ac:dyDescent="0.2">
      <c r="A1892" s="26"/>
      <c r="B1892" s="14" t="str">
        <f>IF(A1892="","",_xlfn.XLOOKUP(A1892,'DISPATCH SHEET'!B$3:B$121,'DISPATCH SHEET'!C$3:C$121,""))</f>
        <v/>
      </c>
      <c r="C1892" s="14" t="str">
        <f>IF(ISBLANK(A1892),"",_xlfn.XLOOKUP(A1892,'DISPATCH SHEET'!C$3:C$121,'DISPATCH SHEET'!#REF!,""))</f>
        <v/>
      </c>
      <c r="D1892" s="26"/>
      <c r="E1892" s="26"/>
      <c r="F1892" s="26"/>
      <c r="G1892" s="26"/>
      <c r="H1892" s="26"/>
      <c r="I1892" s="26"/>
      <c r="J1892" s="26"/>
      <c r="K1892" s="26"/>
    </row>
    <row r="1893" spans="1:11" s="5" customFormat="1" ht="15" customHeight="1" x14ac:dyDescent="0.2">
      <c r="A1893" s="26"/>
      <c r="B1893" s="14" t="str">
        <f>IF(A1893="","",_xlfn.XLOOKUP(A1893,'DISPATCH SHEET'!B$3:B$121,'DISPATCH SHEET'!C$3:C$121,""))</f>
        <v/>
      </c>
      <c r="C1893" s="14" t="str">
        <f>IF(ISBLANK(A1893),"",_xlfn.XLOOKUP(A1893,'DISPATCH SHEET'!C$3:C$121,'DISPATCH SHEET'!#REF!,""))</f>
        <v/>
      </c>
      <c r="D1893" s="26"/>
      <c r="E1893" s="26"/>
      <c r="F1893" s="26"/>
      <c r="G1893" s="26"/>
      <c r="H1893" s="26"/>
      <c r="I1893" s="26"/>
      <c r="J1893" s="26"/>
      <c r="K1893" s="26"/>
    </row>
    <row r="1894" spans="1:11" s="5" customFormat="1" ht="15" customHeight="1" x14ac:dyDescent="0.2">
      <c r="A1894" s="26"/>
      <c r="B1894" s="14" t="str">
        <f>IF(A1894="","",_xlfn.XLOOKUP(A1894,'DISPATCH SHEET'!B$3:B$121,'DISPATCH SHEET'!C$3:C$121,""))</f>
        <v/>
      </c>
      <c r="C1894" s="14" t="str">
        <f>IF(ISBLANK(A1894),"",_xlfn.XLOOKUP(A1894,'DISPATCH SHEET'!C$3:C$121,'DISPATCH SHEET'!#REF!,""))</f>
        <v/>
      </c>
      <c r="D1894" s="26"/>
      <c r="E1894" s="26"/>
      <c r="F1894" s="26"/>
      <c r="G1894" s="26"/>
      <c r="H1894" s="26"/>
      <c r="I1894" s="26"/>
      <c r="J1894" s="26"/>
      <c r="K1894" s="26"/>
    </row>
    <row r="1895" spans="1:11" s="5" customFormat="1" ht="15" customHeight="1" x14ac:dyDescent="0.2">
      <c r="A1895" s="26"/>
      <c r="B1895" s="14" t="str">
        <f>IF(A1895="","",_xlfn.XLOOKUP(A1895,'DISPATCH SHEET'!B$3:B$121,'DISPATCH SHEET'!C$3:C$121,""))</f>
        <v/>
      </c>
      <c r="C1895" s="14" t="str">
        <f>IF(ISBLANK(A1895),"",_xlfn.XLOOKUP(A1895,'DISPATCH SHEET'!C$3:C$121,'DISPATCH SHEET'!#REF!,""))</f>
        <v/>
      </c>
      <c r="D1895" s="26"/>
      <c r="E1895" s="26"/>
      <c r="F1895" s="26"/>
      <c r="G1895" s="26"/>
      <c r="H1895" s="26"/>
      <c r="I1895" s="26"/>
      <c r="J1895" s="26"/>
      <c r="K1895" s="26"/>
    </row>
    <row r="1896" spans="1:11" s="5" customFormat="1" ht="15" customHeight="1" x14ac:dyDescent="0.2">
      <c r="A1896" s="26"/>
      <c r="B1896" s="14" t="str">
        <f>IF(A1896="","",_xlfn.XLOOKUP(A1896,'DISPATCH SHEET'!B$3:B$121,'DISPATCH SHEET'!C$3:C$121,""))</f>
        <v/>
      </c>
      <c r="C1896" s="14" t="str">
        <f>IF(ISBLANK(A1896),"",_xlfn.XLOOKUP(A1896,'DISPATCH SHEET'!C$3:C$121,'DISPATCH SHEET'!#REF!,""))</f>
        <v/>
      </c>
      <c r="D1896" s="26"/>
      <c r="E1896" s="26"/>
      <c r="F1896" s="26"/>
      <c r="G1896" s="26"/>
      <c r="H1896" s="26"/>
      <c r="I1896" s="26"/>
      <c r="J1896" s="26"/>
      <c r="K1896" s="26"/>
    </row>
    <row r="1897" spans="1:11" s="5" customFormat="1" ht="15" customHeight="1" x14ac:dyDescent="0.2">
      <c r="A1897" s="26"/>
      <c r="B1897" s="14" t="str">
        <f>IF(A1897="","",_xlfn.XLOOKUP(A1897,'DISPATCH SHEET'!B$3:B$121,'DISPATCH SHEET'!C$3:C$121,""))</f>
        <v/>
      </c>
      <c r="C1897" s="14" t="str">
        <f>IF(ISBLANK(A1897),"",_xlfn.XLOOKUP(A1897,'DISPATCH SHEET'!C$3:C$121,'DISPATCH SHEET'!#REF!,""))</f>
        <v/>
      </c>
      <c r="D1897" s="26"/>
      <c r="E1897" s="26"/>
      <c r="F1897" s="26"/>
      <c r="G1897" s="26"/>
      <c r="H1897" s="26"/>
      <c r="I1897" s="26"/>
      <c r="J1897" s="26"/>
      <c r="K1897" s="26"/>
    </row>
    <row r="1898" spans="1:11" s="5" customFormat="1" ht="15" customHeight="1" x14ac:dyDescent="0.2">
      <c r="A1898" s="26"/>
      <c r="B1898" s="14" t="str">
        <f>IF(A1898="","",_xlfn.XLOOKUP(A1898,'DISPATCH SHEET'!B$3:B$121,'DISPATCH SHEET'!C$3:C$121,""))</f>
        <v/>
      </c>
      <c r="C1898" s="14" t="str">
        <f>IF(ISBLANK(A1898),"",_xlfn.XLOOKUP(A1898,'DISPATCH SHEET'!C$3:C$121,'DISPATCH SHEET'!#REF!,""))</f>
        <v/>
      </c>
      <c r="D1898" s="26"/>
      <c r="E1898" s="26"/>
      <c r="F1898" s="26"/>
      <c r="G1898" s="26"/>
      <c r="H1898" s="26"/>
      <c r="I1898" s="26"/>
      <c r="J1898" s="26"/>
      <c r="K1898" s="26"/>
    </row>
    <row r="1899" spans="1:11" s="5" customFormat="1" ht="15" customHeight="1" x14ac:dyDescent="0.2">
      <c r="A1899" s="26"/>
      <c r="B1899" s="14" t="str">
        <f>IF(A1899="","",_xlfn.XLOOKUP(A1899,'DISPATCH SHEET'!B$3:B$121,'DISPATCH SHEET'!C$3:C$121,""))</f>
        <v/>
      </c>
      <c r="C1899" s="14" t="str">
        <f>IF(ISBLANK(A1899),"",_xlfn.XLOOKUP(A1899,'DISPATCH SHEET'!C$3:C$121,'DISPATCH SHEET'!#REF!,""))</f>
        <v/>
      </c>
      <c r="D1899" s="26"/>
      <c r="E1899" s="26"/>
      <c r="F1899" s="26"/>
      <c r="G1899" s="26"/>
      <c r="H1899" s="26"/>
      <c r="I1899" s="26"/>
      <c r="J1899" s="26"/>
      <c r="K1899" s="26"/>
    </row>
    <row r="1900" spans="1:11" s="5" customFormat="1" ht="15" customHeight="1" x14ac:dyDescent="0.2">
      <c r="A1900" s="26"/>
      <c r="B1900" s="14" t="str">
        <f>IF(A1900="","",_xlfn.XLOOKUP(A1900,'DISPATCH SHEET'!B$3:B$121,'DISPATCH SHEET'!C$3:C$121,""))</f>
        <v/>
      </c>
      <c r="C1900" s="14" t="str">
        <f>IF(ISBLANK(A1900),"",_xlfn.XLOOKUP(A1900,'DISPATCH SHEET'!C$3:C$121,'DISPATCH SHEET'!#REF!,""))</f>
        <v/>
      </c>
      <c r="D1900" s="26"/>
      <c r="E1900" s="26"/>
      <c r="F1900" s="26"/>
      <c r="G1900" s="26"/>
      <c r="H1900" s="26"/>
      <c r="I1900" s="26"/>
      <c r="J1900" s="26"/>
      <c r="K1900" s="26"/>
    </row>
    <row r="1901" spans="1:11" s="5" customFormat="1" ht="15" customHeight="1" x14ac:dyDescent="0.2">
      <c r="A1901" s="26"/>
      <c r="B1901" s="14" t="str">
        <f>IF(A1901="","",_xlfn.XLOOKUP(A1901,'DISPATCH SHEET'!B$3:B$121,'DISPATCH SHEET'!C$3:C$121,""))</f>
        <v/>
      </c>
      <c r="C1901" s="14" t="str">
        <f>IF(ISBLANK(A1901),"",_xlfn.XLOOKUP(A1901,'DISPATCH SHEET'!C$3:C$121,'DISPATCH SHEET'!#REF!,""))</f>
        <v/>
      </c>
      <c r="D1901" s="26"/>
      <c r="E1901" s="26"/>
      <c r="F1901" s="26"/>
      <c r="G1901" s="26"/>
      <c r="H1901" s="26"/>
      <c r="I1901" s="26"/>
      <c r="J1901" s="26"/>
      <c r="K1901" s="26"/>
    </row>
    <row r="1902" spans="1:11" s="5" customFormat="1" ht="15" customHeight="1" x14ac:dyDescent="0.2">
      <c r="A1902" s="26"/>
      <c r="B1902" s="14" t="str">
        <f>IF(A1902="","",_xlfn.XLOOKUP(A1902,'DISPATCH SHEET'!B$3:B$121,'DISPATCH SHEET'!C$3:C$121,""))</f>
        <v/>
      </c>
      <c r="C1902" s="14" t="str">
        <f>IF(ISBLANK(A1902),"",_xlfn.XLOOKUP(A1902,'DISPATCH SHEET'!C$3:C$121,'DISPATCH SHEET'!#REF!,""))</f>
        <v/>
      </c>
      <c r="D1902" s="26"/>
      <c r="E1902" s="26"/>
      <c r="F1902" s="26"/>
      <c r="G1902" s="26"/>
      <c r="H1902" s="26"/>
      <c r="I1902" s="26"/>
      <c r="J1902" s="26"/>
      <c r="K1902" s="26"/>
    </row>
    <row r="1903" spans="1:11" s="5" customFormat="1" ht="15" customHeight="1" x14ac:dyDescent="0.2">
      <c r="A1903" s="26"/>
      <c r="B1903" s="14" t="str">
        <f>IF(A1903="","",_xlfn.XLOOKUP(A1903,'DISPATCH SHEET'!B$3:B$121,'DISPATCH SHEET'!C$3:C$121,""))</f>
        <v/>
      </c>
      <c r="C1903" s="14" t="str">
        <f>IF(ISBLANK(A1903),"",_xlfn.XLOOKUP(A1903,'DISPATCH SHEET'!C$3:C$121,'DISPATCH SHEET'!#REF!,""))</f>
        <v/>
      </c>
      <c r="D1903" s="26"/>
      <c r="E1903" s="26"/>
      <c r="F1903" s="26"/>
      <c r="G1903" s="26"/>
      <c r="H1903" s="26"/>
      <c r="I1903" s="26"/>
      <c r="J1903" s="26"/>
      <c r="K1903" s="26"/>
    </row>
    <row r="1904" spans="1:11" s="5" customFormat="1" ht="15" customHeight="1" x14ac:dyDescent="0.2">
      <c r="A1904" s="26"/>
      <c r="B1904" s="14" t="str">
        <f>IF(A1904="","",_xlfn.XLOOKUP(A1904,'DISPATCH SHEET'!B$3:B$121,'DISPATCH SHEET'!C$3:C$121,""))</f>
        <v/>
      </c>
      <c r="C1904" s="14" t="str">
        <f>IF(ISBLANK(A1904),"",_xlfn.XLOOKUP(A1904,'DISPATCH SHEET'!C$3:C$121,'DISPATCH SHEET'!#REF!,""))</f>
        <v/>
      </c>
      <c r="D1904" s="26"/>
      <c r="E1904" s="26"/>
      <c r="F1904" s="26"/>
      <c r="G1904" s="26"/>
      <c r="H1904" s="26"/>
      <c r="I1904" s="26"/>
      <c r="J1904" s="26"/>
      <c r="K1904" s="26"/>
    </row>
    <row r="1905" spans="1:11" s="5" customFormat="1" ht="15" customHeight="1" x14ac:dyDescent="0.2">
      <c r="A1905" s="26"/>
      <c r="B1905" s="14" t="str">
        <f>IF(A1905="","",_xlfn.XLOOKUP(A1905,'DISPATCH SHEET'!B$3:B$121,'DISPATCH SHEET'!C$3:C$121,""))</f>
        <v/>
      </c>
      <c r="C1905" s="14" t="str">
        <f>IF(ISBLANK(A1905),"",_xlfn.XLOOKUP(A1905,'DISPATCH SHEET'!C$3:C$121,'DISPATCH SHEET'!#REF!,""))</f>
        <v/>
      </c>
      <c r="D1905" s="26"/>
      <c r="E1905" s="26"/>
      <c r="F1905" s="26"/>
      <c r="G1905" s="26"/>
      <c r="H1905" s="26"/>
      <c r="I1905" s="26"/>
      <c r="J1905" s="26"/>
      <c r="K1905" s="26"/>
    </row>
    <row r="1906" spans="1:11" s="5" customFormat="1" ht="15" customHeight="1" x14ac:dyDescent="0.2">
      <c r="A1906" s="26"/>
      <c r="B1906" s="14" t="str">
        <f>IF(A1906="","",_xlfn.XLOOKUP(A1906,'DISPATCH SHEET'!B$3:B$121,'DISPATCH SHEET'!C$3:C$121,""))</f>
        <v/>
      </c>
      <c r="C1906" s="14" t="str">
        <f>IF(ISBLANK(A1906),"",_xlfn.XLOOKUP(A1906,'DISPATCH SHEET'!C$3:C$121,'DISPATCH SHEET'!#REF!,""))</f>
        <v/>
      </c>
      <c r="D1906" s="26"/>
      <c r="E1906" s="26"/>
      <c r="F1906" s="26"/>
      <c r="G1906" s="26"/>
      <c r="H1906" s="26"/>
      <c r="I1906" s="26"/>
      <c r="J1906" s="26"/>
      <c r="K1906" s="26"/>
    </row>
    <row r="1907" spans="1:11" s="5" customFormat="1" ht="15" customHeight="1" x14ac:dyDescent="0.2">
      <c r="A1907" s="26"/>
      <c r="B1907" s="14" t="str">
        <f>IF(A1907="","",_xlfn.XLOOKUP(A1907,'DISPATCH SHEET'!B$3:B$121,'DISPATCH SHEET'!C$3:C$121,""))</f>
        <v/>
      </c>
      <c r="C1907" s="14" t="str">
        <f>IF(ISBLANK(A1907),"",_xlfn.XLOOKUP(A1907,'DISPATCH SHEET'!C$3:C$121,'DISPATCH SHEET'!#REF!,""))</f>
        <v/>
      </c>
      <c r="D1907" s="26"/>
      <c r="E1907" s="26"/>
      <c r="F1907" s="26"/>
      <c r="G1907" s="26"/>
      <c r="H1907" s="26"/>
      <c r="I1907" s="26"/>
      <c r="J1907" s="26"/>
      <c r="K1907" s="26"/>
    </row>
    <row r="1908" spans="1:11" s="5" customFormat="1" ht="15" customHeight="1" x14ac:dyDescent="0.2">
      <c r="A1908" s="26"/>
      <c r="B1908" s="14" t="str">
        <f>IF(A1908="","",_xlfn.XLOOKUP(A1908,'DISPATCH SHEET'!B$3:B$121,'DISPATCH SHEET'!C$3:C$121,""))</f>
        <v/>
      </c>
      <c r="C1908" s="14" t="str">
        <f>IF(ISBLANK(A1908),"",_xlfn.XLOOKUP(A1908,'DISPATCH SHEET'!C$3:C$121,'DISPATCH SHEET'!#REF!,""))</f>
        <v/>
      </c>
      <c r="D1908" s="26"/>
      <c r="E1908" s="26"/>
      <c r="F1908" s="26"/>
      <c r="G1908" s="26"/>
      <c r="H1908" s="26"/>
      <c r="I1908" s="26"/>
      <c r="J1908" s="26"/>
      <c r="K1908" s="26"/>
    </row>
    <row r="1909" spans="1:11" s="5" customFormat="1" ht="15" customHeight="1" x14ac:dyDescent="0.2">
      <c r="A1909" s="26"/>
      <c r="B1909" s="14" t="str">
        <f>IF(A1909="","",_xlfn.XLOOKUP(A1909,'DISPATCH SHEET'!B$3:B$121,'DISPATCH SHEET'!C$3:C$121,""))</f>
        <v/>
      </c>
      <c r="C1909" s="14" t="str">
        <f>IF(ISBLANK(A1909),"",_xlfn.XLOOKUP(A1909,'DISPATCH SHEET'!C$3:C$121,'DISPATCH SHEET'!#REF!,""))</f>
        <v/>
      </c>
      <c r="D1909" s="26"/>
      <c r="E1909" s="26"/>
      <c r="F1909" s="26"/>
      <c r="G1909" s="26"/>
      <c r="H1909" s="26"/>
      <c r="I1909" s="26"/>
      <c r="J1909" s="26"/>
      <c r="K1909" s="26"/>
    </row>
    <row r="1910" spans="1:11" s="5" customFormat="1" ht="15" customHeight="1" x14ac:dyDescent="0.2">
      <c r="A1910" s="26"/>
      <c r="B1910" s="14" t="str">
        <f>IF(A1910="","",_xlfn.XLOOKUP(A1910,'DISPATCH SHEET'!B$3:B$121,'DISPATCH SHEET'!C$3:C$121,""))</f>
        <v/>
      </c>
      <c r="C1910" s="14" t="str">
        <f>IF(ISBLANK(A1910),"",_xlfn.XLOOKUP(A1910,'DISPATCH SHEET'!C$3:C$121,'DISPATCH SHEET'!#REF!,""))</f>
        <v/>
      </c>
      <c r="D1910" s="26"/>
      <c r="E1910" s="26"/>
      <c r="F1910" s="26"/>
      <c r="G1910" s="26"/>
      <c r="H1910" s="26"/>
      <c r="I1910" s="26"/>
      <c r="J1910" s="26"/>
      <c r="K1910" s="26"/>
    </row>
    <row r="1911" spans="1:11" s="5" customFormat="1" ht="15" customHeight="1" x14ac:dyDescent="0.2">
      <c r="A1911" s="26"/>
      <c r="B1911" s="14" t="str">
        <f>IF(A1911="","",_xlfn.XLOOKUP(A1911,'DISPATCH SHEET'!B$3:B$121,'DISPATCH SHEET'!C$3:C$121,""))</f>
        <v/>
      </c>
      <c r="C1911" s="14" t="str">
        <f>IF(ISBLANK(A1911),"",_xlfn.XLOOKUP(A1911,'DISPATCH SHEET'!C$3:C$121,'DISPATCH SHEET'!#REF!,""))</f>
        <v/>
      </c>
      <c r="D1911" s="26"/>
      <c r="E1911" s="26"/>
      <c r="F1911" s="26"/>
      <c r="G1911" s="26"/>
      <c r="H1911" s="26"/>
      <c r="I1911" s="26"/>
      <c r="J1911" s="26"/>
      <c r="K1911" s="26"/>
    </row>
    <row r="1912" spans="1:11" s="5" customFormat="1" ht="15" customHeight="1" x14ac:dyDescent="0.2">
      <c r="A1912" s="26"/>
      <c r="B1912" s="14" t="str">
        <f>IF(A1912="","",_xlfn.XLOOKUP(A1912,'DISPATCH SHEET'!B$3:B$121,'DISPATCH SHEET'!C$3:C$121,""))</f>
        <v/>
      </c>
      <c r="C1912" s="14" t="str">
        <f>IF(ISBLANK(A1912),"",_xlfn.XLOOKUP(A1912,'DISPATCH SHEET'!C$3:C$121,'DISPATCH SHEET'!#REF!,""))</f>
        <v/>
      </c>
      <c r="D1912" s="26"/>
      <c r="E1912" s="26"/>
      <c r="F1912" s="26"/>
      <c r="G1912" s="26"/>
      <c r="H1912" s="26"/>
      <c r="I1912" s="26"/>
      <c r="J1912" s="26"/>
      <c r="K1912" s="26"/>
    </row>
    <row r="1913" spans="1:11" s="5" customFormat="1" ht="15" customHeight="1" x14ac:dyDescent="0.2">
      <c r="A1913" s="26"/>
      <c r="B1913" s="14" t="str">
        <f>IF(A1913="","",_xlfn.XLOOKUP(A1913,'DISPATCH SHEET'!B$3:B$121,'DISPATCH SHEET'!C$3:C$121,""))</f>
        <v/>
      </c>
      <c r="C1913" s="14" t="str">
        <f>IF(ISBLANK(A1913),"",_xlfn.XLOOKUP(A1913,'DISPATCH SHEET'!C$3:C$121,'DISPATCH SHEET'!#REF!,""))</f>
        <v/>
      </c>
      <c r="D1913" s="26"/>
      <c r="E1913" s="26"/>
      <c r="F1913" s="26"/>
      <c r="G1913" s="26"/>
      <c r="H1913" s="26"/>
      <c r="I1913" s="26"/>
      <c r="J1913" s="26"/>
      <c r="K1913" s="26"/>
    </row>
    <row r="1914" spans="1:11" s="5" customFormat="1" ht="15" customHeight="1" x14ac:dyDescent="0.2">
      <c r="A1914" s="26"/>
      <c r="B1914" s="14" t="str">
        <f>IF(A1914="","",_xlfn.XLOOKUP(A1914,'DISPATCH SHEET'!B$3:B$121,'DISPATCH SHEET'!C$3:C$121,""))</f>
        <v/>
      </c>
      <c r="C1914" s="14" t="str">
        <f>IF(ISBLANK(A1914),"",_xlfn.XLOOKUP(A1914,'DISPATCH SHEET'!C$3:C$121,'DISPATCH SHEET'!#REF!,""))</f>
        <v/>
      </c>
      <c r="D1914" s="26"/>
      <c r="E1914" s="26"/>
      <c r="F1914" s="26"/>
      <c r="G1914" s="26"/>
      <c r="H1914" s="26"/>
      <c r="I1914" s="26"/>
      <c r="J1914" s="26"/>
      <c r="K1914" s="26"/>
    </row>
    <row r="1915" spans="1:11" s="5" customFormat="1" ht="15" customHeight="1" x14ac:dyDescent="0.2">
      <c r="A1915" s="26"/>
      <c r="B1915" s="14" t="str">
        <f>IF(A1915="","",_xlfn.XLOOKUP(A1915,'DISPATCH SHEET'!B$3:B$121,'DISPATCH SHEET'!C$3:C$121,""))</f>
        <v/>
      </c>
      <c r="C1915" s="14" t="str">
        <f>IF(ISBLANK(A1915),"",_xlfn.XLOOKUP(A1915,'DISPATCH SHEET'!C$3:C$121,'DISPATCH SHEET'!#REF!,""))</f>
        <v/>
      </c>
      <c r="D1915" s="26"/>
      <c r="E1915" s="26"/>
      <c r="F1915" s="26"/>
      <c r="G1915" s="26"/>
      <c r="H1915" s="26"/>
      <c r="I1915" s="26"/>
      <c r="J1915" s="26"/>
      <c r="K1915" s="26"/>
    </row>
    <row r="1916" spans="1:11" s="5" customFormat="1" ht="15" customHeight="1" x14ac:dyDescent="0.2">
      <c r="A1916" s="26"/>
      <c r="B1916" s="14" t="str">
        <f>IF(A1916="","",_xlfn.XLOOKUP(A1916,'DISPATCH SHEET'!B$3:B$121,'DISPATCH SHEET'!C$3:C$121,""))</f>
        <v/>
      </c>
      <c r="C1916" s="14" t="str">
        <f>IF(ISBLANK(A1916),"",_xlfn.XLOOKUP(A1916,'DISPATCH SHEET'!C$3:C$121,'DISPATCH SHEET'!#REF!,""))</f>
        <v/>
      </c>
      <c r="D1916" s="26"/>
      <c r="E1916" s="26"/>
      <c r="F1916" s="26"/>
      <c r="G1916" s="26"/>
      <c r="H1916" s="26"/>
      <c r="I1916" s="26"/>
      <c r="J1916" s="26"/>
      <c r="K1916" s="26"/>
    </row>
    <row r="1917" spans="1:11" s="5" customFormat="1" ht="15" customHeight="1" x14ac:dyDescent="0.2">
      <c r="A1917" s="26"/>
      <c r="B1917" s="14" t="str">
        <f>IF(A1917="","",_xlfn.XLOOKUP(A1917,'DISPATCH SHEET'!B$3:B$121,'DISPATCH SHEET'!C$3:C$121,""))</f>
        <v/>
      </c>
      <c r="C1917" s="14" t="str">
        <f>IF(ISBLANK(A1917),"",_xlfn.XLOOKUP(A1917,'DISPATCH SHEET'!C$3:C$121,'DISPATCH SHEET'!#REF!,""))</f>
        <v/>
      </c>
      <c r="D1917" s="26"/>
      <c r="E1917" s="26"/>
      <c r="F1917" s="26"/>
      <c r="G1917" s="26"/>
      <c r="H1917" s="26"/>
      <c r="I1917" s="26"/>
      <c r="J1917" s="26"/>
      <c r="K1917" s="26"/>
    </row>
    <row r="1918" spans="1:11" s="5" customFormat="1" ht="15" customHeight="1" x14ac:dyDescent="0.2">
      <c r="A1918" s="26"/>
      <c r="B1918" s="14" t="str">
        <f>IF(A1918="","",_xlfn.XLOOKUP(A1918,'DISPATCH SHEET'!B$3:B$121,'DISPATCH SHEET'!C$3:C$121,""))</f>
        <v/>
      </c>
      <c r="C1918" s="14" t="str">
        <f>IF(ISBLANK(A1918),"",_xlfn.XLOOKUP(A1918,'DISPATCH SHEET'!C$3:C$121,'DISPATCH SHEET'!#REF!,""))</f>
        <v/>
      </c>
      <c r="D1918" s="26"/>
      <c r="E1918" s="26"/>
      <c r="F1918" s="26"/>
      <c r="G1918" s="26"/>
      <c r="H1918" s="26"/>
      <c r="I1918" s="26"/>
      <c r="J1918" s="26"/>
      <c r="K1918" s="26"/>
    </row>
    <row r="1919" spans="1:11" s="5" customFormat="1" ht="15" customHeight="1" x14ac:dyDescent="0.2">
      <c r="A1919" s="26"/>
      <c r="B1919" s="14" t="str">
        <f>IF(A1919="","",_xlfn.XLOOKUP(A1919,'DISPATCH SHEET'!B$3:B$121,'DISPATCH SHEET'!C$3:C$121,""))</f>
        <v/>
      </c>
      <c r="C1919" s="14" t="str">
        <f>IF(ISBLANK(A1919),"",_xlfn.XLOOKUP(A1919,'DISPATCH SHEET'!C$3:C$121,'DISPATCH SHEET'!#REF!,""))</f>
        <v/>
      </c>
      <c r="D1919" s="26"/>
      <c r="E1919" s="26"/>
      <c r="F1919" s="26"/>
      <c r="G1919" s="26"/>
      <c r="H1919" s="26"/>
      <c r="I1919" s="26"/>
      <c r="J1919" s="26"/>
      <c r="K1919" s="26"/>
    </row>
    <row r="1920" spans="1:11" s="5" customFormat="1" ht="15" customHeight="1" x14ac:dyDescent="0.2">
      <c r="A1920" s="26"/>
      <c r="B1920" s="14" t="str">
        <f>IF(A1920="","",_xlfn.XLOOKUP(A1920,'DISPATCH SHEET'!B$3:B$121,'DISPATCH SHEET'!C$3:C$121,""))</f>
        <v/>
      </c>
      <c r="C1920" s="14" t="str">
        <f>IF(ISBLANK(A1920),"",_xlfn.XLOOKUP(A1920,'DISPATCH SHEET'!C$3:C$121,'DISPATCH SHEET'!#REF!,""))</f>
        <v/>
      </c>
      <c r="D1920" s="26"/>
      <c r="E1920" s="26"/>
      <c r="F1920" s="26"/>
      <c r="G1920" s="26"/>
      <c r="H1920" s="26"/>
      <c r="I1920" s="26"/>
      <c r="J1920" s="26"/>
      <c r="K1920" s="26"/>
    </row>
    <row r="1921" spans="1:11" s="5" customFormat="1" ht="15" customHeight="1" x14ac:dyDescent="0.2">
      <c r="A1921" s="26"/>
      <c r="B1921" s="14" t="str">
        <f>IF(A1921="","",_xlfn.XLOOKUP(A1921,'DISPATCH SHEET'!B$3:B$121,'DISPATCH SHEET'!C$3:C$121,""))</f>
        <v/>
      </c>
      <c r="C1921" s="14" t="str">
        <f>IF(ISBLANK(A1921),"",_xlfn.XLOOKUP(A1921,'DISPATCH SHEET'!C$3:C$121,'DISPATCH SHEET'!#REF!,""))</f>
        <v/>
      </c>
      <c r="D1921" s="26"/>
      <c r="E1921" s="26"/>
      <c r="F1921" s="26"/>
      <c r="G1921" s="26"/>
      <c r="H1921" s="26"/>
      <c r="I1921" s="26"/>
      <c r="J1921" s="26"/>
      <c r="K1921" s="26"/>
    </row>
    <row r="1922" spans="1:11" s="5" customFormat="1" ht="15" customHeight="1" x14ac:dyDescent="0.2">
      <c r="A1922" s="26"/>
      <c r="B1922" s="14" t="str">
        <f>IF(A1922="","",_xlfn.XLOOKUP(A1922,'DISPATCH SHEET'!B$3:B$121,'DISPATCH SHEET'!C$3:C$121,""))</f>
        <v/>
      </c>
      <c r="C1922" s="14" t="str">
        <f>IF(ISBLANK(A1922),"",_xlfn.XLOOKUP(A1922,'DISPATCH SHEET'!C$3:C$121,'DISPATCH SHEET'!#REF!,""))</f>
        <v/>
      </c>
      <c r="D1922" s="26"/>
      <c r="E1922" s="26"/>
      <c r="F1922" s="26"/>
      <c r="G1922" s="26"/>
      <c r="H1922" s="26"/>
      <c r="I1922" s="26"/>
      <c r="J1922" s="26"/>
      <c r="K1922" s="26"/>
    </row>
    <row r="1923" spans="1:11" s="5" customFormat="1" ht="15" customHeight="1" x14ac:dyDescent="0.2">
      <c r="A1923" s="26"/>
      <c r="B1923" s="14" t="str">
        <f>IF(A1923="","",_xlfn.XLOOKUP(A1923,'DISPATCH SHEET'!B$3:B$121,'DISPATCH SHEET'!C$3:C$121,""))</f>
        <v/>
      </c>
      <c r="C1923" s="14" t="str">
        <f>IF(ISBLANK(A1923),"",_xlfn.XLOOKUP(A1923,'DISPATCH SHEET'!C$3:C$121,'DISPATCH SHEET'!#REF!,""))</f>
        <v/>
      </c>
      <c r="D1923" s="26"/>
      <c r="E1923" s="26"/>
      <c r="F1923" s="26"/>
      <c r="G1923" s="26"/>
      <c r="H1923" s="26"/>
      <c r="I1923" s="26"/>
      <c r="J1923" s="26"/>
      <c r="K1923" s="26"/>
    </row>
    <row r="1924" spans="1:11" s="5" customFormat="1" ht="15" customHeight="1" x14ac:dyDescent="0.2">
      <c r="A1924" s="26"/>
      <c r="B1924" s="14" t="str">
        <f>IF(A1924="","",_xlfn.XLOOKUP(A1924,'DISPATCH SHEET'!B$3:B$121,'DISPATCH SHEET'!C$3:C$121,""))</f>
        <v/>
      </c>
      <c r="C1924" s="14" t="str">
        <f>IF(ISBLANK(A1924),"",_xlfn.XLOOKUP(A1924,'DISPATCH SHEET'!C$3:C$121,'DISPATCH SHEET'!#REF!,""))</f>
        <v/>
      </c>
      <c r="D1924" s="26"/>
      <c r="E1924" s="26"/>
      <c r="F1924" s="26"/>
      <c r="G1924" s="26"/>
      <c r="H1924" s="26"/>
      <c r="I1924" s="26"/>
      <c r="J1924" s="26"/>
      <c r="K1924" s="26"/>
    </row>
    <row r="1925" spans="1:11" s="5" customFormat="1" ht="15" customHeight="1" x14ac:dyDescent="0.2">
      <c r="A1925" s="26"/>
      <c r="B1925" s="14" t="str">
        <f>IF(A1925="","",_xlfn.XLOOKUP(A1925,'DISPATCH SHEET'!B$3:B$121,'DISPATCH SHEET'!C$3:C$121,""))</f>
        <v/>
      </c>
      <c r="C1925" s="14" t="str">
        <f>IF(ISBLANK(A1925),"",_xlfn.XLOOKUP(A1925,'DISPATCH SHEET'!C$3:C$121,'DISPATCH SHEET'!#REF!,""))</f>
        <v/>
      </c>
      <c r="D1925" s="26"/>
      <c r="E1925" s="26"/>
      <c r="F1925" s="26"/>
      <c r="G1925" s="26"/>
      <c r="H1925" s="26"/>
      <c r="I1925" s="26"/>
      <c r="J1925" s="26"/>
      <c r="K1925" s="26"/>
    </row>
    <row r="1926" spans="1:11" s="5" customFormat="1" ht="15" customHeight="1" x14ac:dyDescent="0.2">
      <c r="A1926" s="26"/>
      <c r="B1926" s="14" t="str">
        <f>IF(A1926="","",_xlfn.XLOOKUP(A1926,'DISPATCH SHEET'!B$3:B$121,'DISPATCH SHEET'!C$3:C$121,""))</f>
        <v/>
      </c>
      <c r="C1926" s="14" t="str">
        <f>IF(ISBLANK(A1926),"",_xlfn.XLOOKUP(A1926,'DISPATCH SHEET'!C$3:C$121,'DISPATCH SHEET'!#REF!,""))</f>
        <v/>
      </c>
      <c r="D1926" s="26"/>
      <c r="E1926" s="26"/>
      <c r="F1926" s="26"/>
      <c r="G1926" s="26"/>
      <c r="H1926" s="26"/>
      <c r="I1926" s="26"/>
      <c r="J1926" s="26"/>
      <c r="K1926" s="26"/>
    </row>
    <row r="1927" spans="1:11" s="5" customFormat="1" ht="15" customHeight="1" x14ac:dyDescent="0.2">
      <c r="A1927" s="26"/>
      <c r="B1927" s="14" t="str">
        <f>IF(A1927="","",_xlfn.XLOOKUP(A1927,'DISPATCH SHEET'!B$3:B$121,'DISPATCH SHEET'!C$3:C$121,""))</f>
        <v/>
      </c>
      <c r="C1927" s="14" t="str">
        <f>IF(ISBLANK(A1927),"",_xlfn.XLOOKUP(A1927,'DISPATCH SHEET'!C$3:C$121,'DISPATCH SHEET'!#REF!,""))</f>
        <v/>
      </c>
      <c r="D1927" s="26"/>
      <c r="E1927" s="26"/>
      <c r="F1927" s="26"/>
      <c r="G1927" s="26"/>
      <c r="H1927" s="26"/>
      <c r="I1927" s="26"/>
      <c r="J1927" s="26"/>
      <c r="K1927" s="26"/>
    </row>
    <row r="1928" spans="1:11" s="5" customFormat="1" ht="15" customHeight="1" x14ac:dyDescent="0.2">
      <c r="A1928" s="26"/>
      <c r="B1928" s="14" t="str">
        <f>IF(A1928="","",_xlfn.XLOOKUP(A1928,'DISPATCH SHEET'!B$3:B$121,'DISPATCH SHEET'!C$3:C$121,""))</f>
        <v/>
      </c>
      <c r="C1928" s="14" t="str">
        <f>IF(ISBLANK(A1928),"",_xlfn.XLOOKUP(A1928,'DISPATCH SHEET'!C$3:C$121,'DISPATCH SHEET'!#REF!,""))</f>
        <v/>
      </c>
      <c r="D1928" s="26"/>
      <c r="E1928" s="26"/>
      <c r="F1928" s="26"/>
      <c r="G1928" s="26"/>
      <c r="H1928" s="26"/>
      <c r="I1928" s="26"/>
      <c r="J1928" s="26"/>
      <c r="K1928" s="26"/>
    </row>
    <row r="1929" spans="1:11" s="5" customFormat="1" ht="15" customHeight="1" x14ac:dyDescent="0.2">
      <c r="A1929" s="26"/>
      <c r="B1929" s="14" t="str">
        <f>IF(A1929="","",_xlfn.XLOOKUP(A1929,'DISPATCH SHEET'!B$3:B$121,'DISPATCH SHEET'!C$3:C$121,""))</f>
        <v/>
      </c>
      <c r="C1929" s="14" t="str">
        <f>IF(ISBLANK(A1929),"",_xlfn.XLOOKUP(A1929,'DISPATCH SHEET'!C$3:C$121,'DISPATCH SHEET'!#REF!,""))</f>
        <v/>
      </c>
      <c r="D1929" s="26"/>
      <c r="E1929" s="26"/>
      <c r="F1929" s="26"/>
      <c r="G1929" s="26"/>
      <c r="H1929" s="26"/>
      <c r="I1929" s="26"/>
      <c r="J1929" s="26"/>
      <c r="K1929" s="26"/>
    </row>
    <row r="1930" spans="1:11" s="5" customFormat="1" ht="15" customHeight="1" x14ac:dyDescent="0.2">
      <c r="A1930" s="26"/>
      <c r="B1930" s="14" t="str">
        <f>IF(A1930="","",_xlfn.XLOOKUP(A1930,'DISPATCH SHEET'!B$3:B$121,'DISPATCH SHEET'!C$3:C$121,""))</f>
        <v/>
      </c>
      <c r="C1930" s="14" t="str">
        <f>IF(ISBLANK(A1930),"",_xlfn.XLOOKUP(A1930,'DISPATCH SHEET'!C$3:C$121,'DISPATCH SHEET'!#REF!,""))</f>
        <v/>
      </c>
      <c r="D1930" s="26"/>
      <c r="E1930" s="26"/>
      <c r="F1930" s="26"/>
      <c r="G1930" s="26"/>
      <c r="H1930" s="26"/>
      <c r="I1930" s="26"/>
      <c r="J1930" s="26"/>
      <c r="K1930" s="26"/>
    </row>
    <row r="1931" spans="1:11" s="5" customFormat="1" ht="15" customHeight="1" x14ac:dyDescent="0.2">
      <c r="A1931" s="26"/>
      <c r="B1931" s="14" t="str">
        <f>IF(A1931="","",_xlfn.XLOOKUP(A1931,'DISPATCH SHEET'!B$3:B$121,'DISPATCH SHEET'!C$3:C$121,""))</f>
        <v/>
      </c>
      <c r="C1931" s="14" t="str">
        <f>IF(ISBLANK(A1931),"",_xlfn.XLOOKUP(A1931,'DISPATCH SHEET'!C$3:C$121,'DISPATCH SHEET'!#REF!,""))</f>
        <v/>
      </c>
      <c r="D1931" s="26"/>
      <c r="E1931" s="26"/>
      <c r="F1931" s="26"/>
      <c r="G1931" s="26"/>
      <c r="H1931" s="26"/>
      <c r="I1931" s="26"/>
      <c r="J1931" s="26"/>
      <c r="K1931" s="26"/>
    </row>
    <row r="1932" spans="1:11" s="5" customFormat="1" ht="15" customHeight="1" x14ac:dyDescent="0.2">
      <c r="A1932" s="26"/>
      <c r="B1932" s="14" t="str">
        <f>IF(A1932="","",_xlfn.XLOOKUP(A1932,'DISPATCH SHEET'!B$3:B$121,'DISPATCH SHEET'!C$3:C$121,""))</f>
        <v/>
      </c>
      <c r="C1932" s="14" t="str">
        <f>IF(ISBLANK(A1932),"",_xlfn.XLOOKUP(A1932,'DISPATCH SHEET'!C$3:C$121,'DISPATCH SHEET'!#REF!,""))</f>
        <v/>
      </c>
      <c r="D1932" s="26"/>
      <c r="E1932" s="26"/>
      <c r="F1932" s="26"/>
      <c r="G1932" s="26"/>
      <c r="H1932" s="26"/>
      <c r="I1932" s="26"/>
      <c r="J1932" s="26"/>
      <c r="K1932" s="26"/>
    </row>
    <row r="1933" spans="1:11" s="5" customFormat="1" ht="15" customHeight="1" x14ac:dyDescent="0.2">
      <c r="A1933" s="26"/>
      <c r="B1933" s="14" t="str">
        <f>IF(A1933="","",_xlfn.XLOOKUP(A1933,'DISPATCH SHEET'!B$3:B$121,'DISPATCH SHEET'!C$3:C$121,""))</f>
        <v/>
      </c>
      <c r="C1933" s="14" t="str">
        <f>IF(ISBLANK(A1933),"",_xlfn.XLOOKUP(A1933,'DISPATCH SHEET'!C$3:C$121,'DISPATCH SHEET'!#REF!,""))</f>
        <v/>
      </c>
      <c r="D1933" s="26"/>
      <c r="E1933" s="26"/>
      <c r="F1933" s="26"/>
      <c r="G1933" s="26"/>
      <c r="H1933" s="26"/>
      <c r="I1933" s="26"/>
      <c r="J1933" s="26"/>
      <c r="K1933" s="26"/>
    </row>
    <row r="1934" spans="1:11" s="5" customFormat="1" ht="15" customHeight="1" x14ac:dyDescent="0.2">
      <c r="A1934" s="26"/>
      <c r="B1934" s="14" t="str">
        <f>IF(A1934="","",_xlfn.XLOOKUP(A1934,'DISPATCH SHEET'!B$3:B$121,'DISPATCH SHEET'!C$3:C$121,""))</f>
        <v/>
      </c>
      <c r="C1934" s="14" t="str">
        <f>IF(ISBLANK(A1934),"",_xlfn.XLOOKUP(A1934,'DISPATCH SHEET'!C$3:C$121,'DISPATCH SHEET'!#REF!,""))</f>
        <v/>
      </c>
      <c r="D1934" s="26"/>
      <c r="E1934" s="26"/>
      <c r="F1934" s="26"/>
      <c r="G1934" s="26"/>
      <c r="H1934" s="26"/>
      <c r="I1934" s="26"/>
      <c r="J1934" s="26"/>
      <c r="K1934" s="26"/>
    </row>
    <row r="1935" spans="1:11" s="5" customFormat="1" ht="15" customHeight="1" x14ac:dyDescent="0.2">
      <c r="A1935" s="26"/>
      <c r="B1935" s="14" t="str">
        <f>IF(A1935="","",_xlfn.XLOOKUP(A1935,'DISPATCH SHEET'!B$3:B$121,'DISPATCH SHEET'!C$3:C$121,""))</f>
        <v/>
      </c>
      <c r="C1935" s="14" t="str">
        <f>IF(ISBLANK(A1935),"",_xlfn.XLOOKUP(A1935,'DISPATCH SHEET'!C$3:C$121,'DISPATCH SHEET'!#REF!,""))</f>
        <v/>
      </c>
      <c r="D1935" s="26"/>
      <c r="E1935" s="26"/>
      <c r="F1935" s="26"/>
      <c r="G1935" s="26"/>
      <c r="H1935" s="26"/>
      <c r="I1935" s="26"/>
      <c r="J1935" s="26"/>
      <c r="K1935" s="26"/>
    </row>
    <row r="1936" spans="1:11" s="5" customFormat="1" ht="15" customHeight="1" x14ac:dyDescent="0.2">
      <c r="A1936" s="26"/>
      <c r="B1936" s="14" t="str">
        <f>IF(A1936="","",_xlfn.XLOOKUP(A1936,'DISPATCH SHEET'!B$3:B$121,'DISPATCH SHEET'!C$3:C$121,""))</f>
        <v/>
      </c>
      <c r="C1936" s="14" t="str">
        <f>IF(ISBLANK(A1936),"",_xlfn.XLOOKUP(A1936,'DISPATCH SHEET'!C$3:C$121,'DISPATCH SHEET'!#REF!,""))</f>
        <v/>
      </c>
      <c r="D1936" s="26"/>
      <c r="E1936" s="26"/>
      <c r="F1936" s="26"/>
      <c r="G1936" s="26"/>
      <c r="H1936" s="26"/>
      <c r="I1936" s="26"/>
      <c r="J1936" s="26"/>
      <c r="K1936" s="26"/>
    </row>
    <row r="1937" spans="1:11" s="5" customFormat="1" ht="15" customHeight="1" x14ac:dyDescent="0.2">
      <c r="A1937" s="26"/>
      <c r="B1937" s="14" t="str">
        <f>IF(A1937="","",_xlfn.XLOOKUP(A1937,'DISPATCH SHEET'!B$3:B$121,'DISPATCH SHEET'!C$3:C$121,""))</f>
        <v/>
      </c>
      <c r="C1937" s="14" t="str">
        <f>IF(ISBLANK(A1937),"",_xlfn.XLOOKUP(A1937,'DISPATCH SHEET'!C$3:C$121,'DISPATCH SHEET'!#REF!,""))</f>
        <v/>
      </c>
      <c r="D1937" s="26"/>
      <c r="E1937" s="26"/>
      <c r="F1937" s="26"/>
      <c r="G1937" s="26"/>
      <c r="H1937" s="26"/>
      <c r="I1937" s="26"/>
      <c r="J1937" s="26"/>
      <c r="K1937" s="26"/>
    </row>
    <row r="1938" spans="1:11" s="5" customFormat="1" ht="15" customHeight="1" x14ac:dyDescent="0.2">
      <c r="A1938" s="26"/>
      <c r="B1938" s="14" t="str">
        <f>IF(A1938="","",_xlfn.XLOOKUP(A1938,'DISPATCH SHEET'!B$3:B$121,'DISPATCH SHEET'!C$3:C$121,""))</f>
        <v/>
      </c>
      <c r="C1938" s="14" t="str">
        <f>IF(ISBLANK(A1938),"",_xlfn.XLOOKUP(A1938,'DISPATCH SHEET'!C$3:C$121,'DISPATCH SHEET'!#REF!,""))</f>
        <v/>
      </c>
      <c r="D1938" s="26"/>
      <c r="E1938" s="26"/>
      <c r="F1938" s="26"/>
      <c r="G1938" s="26"/>
      <c r="H1938" s="26"/>
      <c r="I1938" s="26"/>
      <c r="J1938" s="26"/>
      <c r="K1938" s="26"/>
    </row>
    <row r="1939" spans="1:11" s="5" customFormat="1" ht="15" customHeight="1" x14ac:dyDescent="0.2">
      <c r="A1939" s="26"/>
      <c r="B1939" s="14" t="str">
        <f>IF(A1939="","",_xlfn.XLOOKUP(A1939,'DISPATCH SHEET'!B$3:B$121,'DISPATCH SHEET'!C$3:C$121,""))</f>
        <v/>
      </c>
      <c r="C1939" s="14" t="str">
        <f>IF(ISBLANK(A1939),"",_xlfn.XLOOKUP(A1939,'DISPATCH SHEET'!C$3:C$121,'DISPATCH SHEET'!#REF!,""))</f>
        <v/>
      </c>
      <c r="D1939" s="26"/>
      <c r="E1939" s="26"/>
      <c r="F1939" s="26"/>
      <c r="G1939" s="26"/>
      <c r="H1939" s="26"/>
      <c r="I1939" s="26"/>
      <c r="J1939" s="26"/>
      <c r="K1939" s="26"/>
    </row>
    <row r="1940" spans="1:11" s="5" customFormat="1" ht="15" customHeight="1" x14ac:dyDescent="0.2">
      <c r="A1940" s="26"/>
      <c r="B1940" s="14" t="str">
        <f>IF(A1940="","",_xlfn.XLOOKUP(A1940,'DISPATCH SHEET'!B$3:B$121,'DISPATCH SHEET'!C$3:C$121,""))</f>
        <v/>
      </c>
      <c r="C1940" s="14" t="str">
        <f>IF(ISBLANK(A1940),"",_xlfn.XLOOKUP(A1940,'DISPATCH SHEET'!C$3:C$121,'DISPATCH SHEET'!#REF!,""))</f>
        <v/>
      </c>
      <c r="D1940" s="26"/>
      <c r="E1940" s="26"/>
      <c r="F1940" s="26"/>
      <c r="G1940" s="26"/>
      <c r="H1940" s="26"/>
      <c r="I1940" s="26"/>
      <c r="J1940" s="26"/>
      <c r="K1940" s="26"/>
    </row>
    <row r="1941" spans="1:11" s="5" customFormat="1" ht="15" customHeight="1" x14ac:dyDescent="0.2">
      <c r="A1941" s="26"/>
      <c r="B1941" s="14" t="str">
        <f>IF(A1941="","",_xlfn.XLOOKUP(A1941,'DISPATCH SHEET'!B$3:B$121,'DISPATCH SHEET'!C$3:C$121,""))</f>
        <v/>
      </c>
      <c r="C1941" s="14" t="str">
        <f>IF(ISBLANK(A1941),"",_xlfn.XLOOKUP(A1941,'DISPATCH SHEET'!C$3:C$121,'DISPATCH SHEET'!#REF!,""))</f>
        <v/>
      </c>
      <c r="D1941" s="26"/>
      <c r="E1941" s="26"/>
      <c r="F1941" s="26"/>
      <c r="G1941" s="26"/>
      <c r="H1941" s="26"/>
      <c r="I1941" s="26"/>
      <c r="J1941" s="26"/>
      <c r="K1941" s="26"/>
    </row>
    <row r="1942" spans="1:11" s="5" customFormat="1" ht="15" customHeight="1" x14ac:dyDescent="0.2">
      <c r="A1942" s="26"/>
      <c r="B1942" s="14" t="str">
        <f>IF(A1942="","",_xlfn.XLOOKUP(A1942,'DISPATCH SHEET'!B$3:B$121,'DISPATCH SHEET'!C$3:C$121,""))</f>
        <v/>
      </c>
      <c r="C1942" s="14" t="str">
        <f>IF(ISBLANK(A1942),"",_xlfn.XLOOKUP(A1942,'DISPATCH SHEET'!C$3:C$121,'DISPATCH SHEET'!#REF!,""))</f>
        <v/>
      </c>
      <c r="D1942" s="26"/>
      <c r="E1942" s="26"/>
      <c r="F1942" s="26"/>
      <c r="G1942" s="26"/>
      <c r="H1942" s="26"/>
      <c r="I1942" s="26"/>
      <c r="J1942" s="26"/>
      <c r="K1942" s="26"/>
    </row>
    <row r="1943" spans="1:11" s="5" customFormat="1" ht="15" customHeight="1" x14ac:dyDescent="0.2">
      <c r="A1943" s="26"/>
      <c r="B1943" s="14" t="str">
        <f>IF(A1943="","",_xlfn.XLOOKUP(A1943,'DISPATCH SHEET'!B$3:B$121,'DISPATCH SHEET'!C$3:C$121,""))</f>
        <v/>
      </c>
      <c r="C1943" s="14" t="str">
        <f>IF(ISBLANK(A1943),"",_xlfn.XLOOKUP(A1943,'DISPATCH SHEET'!C$3:C$121,'DISPATCH SHEET'!#REF!,""))</f>
        <v/>
      </c>
      <c r="D1943" s="26"/>
      <c r="E1943" s="26"/>
      <c r="F1943" s="26"/>
      <c r="G1943" s="26"/>
      <c r="H1943" s="26"/>
      <c r="I1943" s="26"/>
      <c r="J1943" s="26"/>
      <c r="K1943" s="26"/>
    </row>
    <row r="1944" spans="1:11" s="5" customFormat="1" ht="15" customHeight="1" x14ac:dyDescent="0.2">
      <c r="A1944" s="26"/>
      <c r="B1944" s="14" t="str">
        <f>IF(A1944="","",_xlfn.XLOOKUP(A1944,'DISPATCH SHEET'!B$3:B$121,'DISPATCH SHEET'!C$3:C$121,""))</f>
        <v/>
      </c>
      <c r="C1944" s="14" t="str">
        <f>IF(ISBLANK(A1944),"",_xlfn.XLOOKUP(A1944,'DISPATCH SHEET'!C$3:C$121,'DISPATCH SHEET'!#REF!,""))</f>
        <v/>
      </c>
      <c r="D1944" s="26"/>
      <c r="E1944" s="26"/>
      <c r="F1944" s="26"/>
      <c r="G1944" s="26"/>
      <c r="H1944" s="26"/>
      <c r="I1944" s="26"/>
      <c r="J1944" s="26"/>
      <c r="K1944" s="26"/>
    </row>
    <row r="1945" spans="1:11" s="5" customFormat="1" ht="15" customHeight="1" x14ac:dyDescent="0.2">
      <c r="A1945" s="26"/>
      <c r="B1945" s="14" t="str">
        <f>IF(A1945="","",_xlfn.XLOOKUP(A1945,'DISPATCH SHEET'!B$3:B$121,'DISPATCH SHEET'!C$3:C$121,""))</f>
        <v/>
      </c>
      <c r="C1945" s="14" t="str">
        <f>IF(ISBLANK(A1945),"",_xlfn.XLOOKUP(A1945,'DISPATCH SHEET'!C$3:C$121,'DISPATCH SHEET'!#REF!,""))</f>
        <v/>
      </c>
      <c r="D1945" s="26"/>
      <c r="E1945" s="26"/>
      <c r="F1945" s="26"/>
      <c r="G1945" s="26"/>
      <c r="H1945" s="26"/>
      <c r="I1945" s="26"/>
      <c r="J1945" s="26"/>
      <c r="K1945" s="26"/>
    </row>
    <row r="1946" spans="1:11" s="5" customFormat="1" ht="15" customHeight="1" x14ac:dyDescent="0.2">
      <c r="A1946" s="26"/>
      <c r="B1946" s="14" t="str">
        <f>IF(A1946="","",_xlfn.XLOOKUP(A1946,'DISPATCH SHEET'!B$3:B$121,'DISPATCH SHEET'!C$3:C$121,""))</f>
        <v/>
      </c>
      <c r="C1946" s="14" t="str">
        <f>IF(ISBLANK(A1946),"",_xlfn.XLOOKUP(A1946,'DISPATCH SHEET'!C$3:C$121,'DISPATCH SHEET'!#REF!,""))</f>
        <v/>
      </c>
      <c r="D1946" s="26"/>
      <c r="E1946" s="26"/>
      <c r="F1946" s="26"/>
      <c r="G1946" s="26"/>
      <c r="H1946" s="26"/>
      <c r="I1946" s="26"/>
      <c r="J1946" s="26"/>
      <c r="K1946" s="26"/>
    </row>
    <row r="1947" spans="1:11" s="5" customFormat="1" ht="15" customHeight="1" x14ac:dyDescent="0.2">
      <c r="A1947" s="26"/>
      <c r="B1947" s="14" t="str">
        <f>IF(A1947="","",_xlfn.XLOOKUP(A1947,'DISPATCH SHEET'!B$3:B$121,'DISPATCH SHEET'!C$3:C$121,""))</f>
        <v/>
      </c>
      <c r="C1947" s="14" t="str">
        <f>IF(ISBLANK(A1947),"",_xlfn.XLOOKUP(A1947,'DISPATCH SHEET'!C$3:C$121,'DISPATCH SHEET'!#REF!,""))</f>
        <v/>
      </c>
      <c r="D1947" s="26"/>
      <c r="E1947" s="26"/>
      <c r="F1947" s="26"/>
      <c r="G1947" s="26"/>
      <c r="H1947" s="26"/>
      <c r="I1947" s="26"/>
      <c r="J1947" s="26"/>
      <c r="K1947" s="26"/>
    </row>
    <row r="1948" spans="1:11" s="5" customFormat="1" ht="15" customHeight="1" x14ac:dyDescent="0.2">
      <c r="A1948" s="26"/>
      <c r="B1948" s="14" t="str">
        <f>IF(A1948="","",_xlfn.XLOOKUP(A1948,'DISPATCH SHEET'!B$3:B$121,'DISPATCH SHEET'!C$3:C$121,""))</f>
        <v/>
      </c>
      <c r="C1948" s="14" t="str">
        <f>IF(ISBLANK(A1948),"",_xlfn.XLOOKUP(A1948,'DISPATCH SHEET'!C$3:C$121,'DISPATCH SHEET'!#REF!,""))</f>
        <v/>
      </c>
      <c r="D1948" s="26"/>
      <c r="E1948" s="26"/>
      <c r="F1948" s="26"/>
      <c r="G1948" s="26"/>
      <c r="H1948" s="26"/>
      <c r="I1948" s="26"/>
      <c r="J1948" s="26"/>
      <c r="K1948" s="26"/>
    </row>
    <row r="1949" spans="1:11" s="5" customFormat="1" ht="15" customHeight="1" x14ac:dyDescent="0.2">
      <c r="A1949" s="26"/>
      <c r="B1949" s="14" t="str">
        <f>IF(A1949="","",_xlfn.XLOOKUP(A1949,'DISPATCH SHEET'!B$3:B$121,'DISPATCH SHEET'!C$3:C$121,""))</f>
        <v/>
      </c>
      <c r="C1949" s="14" t="str">
        <f>IF(ISBLANK(A1949),"",_xlfn.XLOOKUP(A1949,'DISPATCH SHEET'!C$3:C$121,'DISPATCH SHEET'!#REF!,""))</f>
        <v/>
      </c>
      <c r="D1949" s="26"/>
      <c r="E1949" s="26"/>
      <c r="F1949" s="26"/>
      <c r="G1949" s="26"/>
      <c r="H1949" s="26"/>
      <c r="I1949" s="26"/>
      <c r="J1949" s="26"/>
      <c r="K1949" s="26"/>
    </row>
    <row r="1950" spans="1:11" s="5" customFormat="1" ht="15" customHeight="1" x14ac:dyDescent="0.2">
      <c r="A1950" s="26"/>
      <c r="B1950" s="14" t="str">
        <f>IF(A1950="","",_xlfn.XLOOKUP(A1950,'DISPATCH SHEET'!B$3:B$121,'DISPATCH SHEET'!C$3:C$121,""))</f>
        <v/>
      </c>
      <c r="C1950" s="14" t="str">
        <f>IF(ISBLANK(A1950),"",_xlfn.XLOOKUP(A1950,'DISPATCH SHEET'!C$3:C$121,'DISPATCH SHEET'!#REF!,""))</f>
        <v/>
      </c>
      <c r="D1950" s="26"/>
      <c r="E1950" s="26"/>
      <c r="F1950" s="26"/>
      <c r="G1950" s="26"/>
      <c r="H1950" s="26"/>
      <c r="I1950" s="26"/>
      <c r="J1950" s="26"/>
      <c r="K1950" s="26"/>
    </row>
    <row r="1951" spans="1:11" s="5" customFormat="1" ht="15" customHeight="1" x14ac:dyDescent="0.2">
      <c r="A1951" s="26"/>
      <c r="B1951" s="14" t="str">
        <f>IF(A1951="","",_xlfn.XLOOKUP(A1951,'DISPATCH SHEET'!B$3:B$121,'DISPATCH SHEET'!C$3:C$121,""))</f>
        <v/>
      </c>
      <c r="C1951" s="14" t="str">
        <f>IF(ISBLANK(A1951),"",_xlfn.XLOOKUP(A1951,'DISPATCH SHEET'!C$3:C$121,'DISPATCH SHEET'!#REF!,""))</f>
        <v/>
      </c>
      <c r="D1951" s="26"/>
      <c r="E1951" s="26"/>
      <c r="F1951" s="26"/>
      <c r="G1951" s="26"/>
      <c r="H1951" s="26"/>
      <c r="I1951" s="26"/>
      <c r="J1951" s="26"/>
      <c r="K1951" s="26"/>
    </row>
    <row r="1952" spans="1:11" s="5" customFormat="1" ht="15" customHeight="1" x14ac:dyDescent="0.2">
      <c r="A1952" s="26"/>
      <c r="B1952" s="14" t="str">
        <f>IF(A1952="","",_xlfn.XLOOKUP(A1952,'DISPATCH SHEET'!B$3:B$121,'DISPATCH SHEET'!C$3:C$121,""))</f>
        <v/>
      </c>
      <c r="C1952" s="14" t="str">
        <f>IF(ISBLANK(A1952),"",_xlfn.XLOOKUP(A1952,'DISPATCH SHEET'!C$3:C$121,'DISPATCH SHEET'!#REF!,""))</f>
        <v/>
      </c>
      <c r="D1952" s="26"/>
      <c r="E1952" s="26"/>
      <c r="F1952" s="26"/>
      <c r="G1952" s="26"/>
      <c r="H1952" s="26"/>
      <c r="I1952" s="26"/>
      <c r="J1952" s="26"/>
      <c r="K1952" s="26"/>
    </row>
    <row r="1953" spans="1:11" s="5" customFormat="1" ht="15" customHeight="1" x14ac:dyDescent="0.2">
      <c r="A1953" s="26"/>
      <c r="B1953" s="14" t="str">
        <f>IF(A1953="","",_xlfn.XLOOKUP(A1953,'DISPATCH SHEET'!B$3:B$121,'DISPATCH SHEET'!C$3:C$121,""))</f>
        <v/>
      </c>
      <c r="C1953" s="14" t="str">
        <f>IF(ISBLANK(A1953),"",_xlfn.XLOOKUP(A1953,'DISPATCH SHEET'!C$3:C$121,'DISPATCH SHEET'!#REF!,""))</f>
        <v/>
      </c>
      <c r="D1953" s="26"/>
      <c r="E1953" s="26"/>
      <c r="F1953" s="26"/>
      <c r="G1953" s="26"/>
      <c r="H1953" s="26"/>
      <c r="I1953" s="26"/>
      <c r="J1953" s="26"/>
      <c r="K1953" s="26"/>
    </row>
    <row r="1954" spans="1:11" s="5" customFormat="1" ht="15" customHeight="1" x14ac:dyDescent="0.2">
      <c r="A1954" s="26"/>
      <c r="B1954" s="14" t="str">
        <f>IF(A1954="","",_xlfn.XLOOKUP(A1954,'DISPATCH SHEET'!B$3:B$121,'DISPATCH SHEET'!C$3:C$121,""))</f>
        <v/>
      </c>
      <c r="C1954" s="14" t="str">
        <f>IF(ISBLANK(A1954),"",_xlfn.XLOOKUP(A1954,'DISPATCH SHEET'!C$3:C$121,'DISPATCH SHEET'!#REF!,""))</f>
        <v/>
      </c>
      <c r="D1954" s="26"/>
      <c r="E1954" s="26"/>
      <c r="F1954" s="26"/>
      <c r="G1954" s="26"/>
      <c r="H1954" s="26"/>
      <c r="I1954" s="26"/>
      <c r="J1954" s="26"/>
      <c r="K1954" s="26"/>
    </row>
    <row r="1955" spans="1:11" s="5" customFormat="1" ht="15" customHeight="1" x14ac:dyDescent="0.2">
      <c r="A1955" s="26"/>
      <c r="B1955" s="14" t="str">
        <f>IF(A1955="","",_xlfn.XLOOKUP(A1955,'DISPATCH SHEET'!B$3:B$121,'DISPATCH SHEET'!C$3:C$121,""))</f>
        <v/>
      </c>
      <c r="C1955" s="14" t="str">
        <f>IF(ISBLANK(A1955),"",_xlfn.XLOOKUP(A1955,'DISPATCH SHEET'!C$3:C$121,'DISPATCH SHEET'!#REF!,""))</f>
        <v/>
      </c>
      <c r="D1955" s="26"/>
      <c r="E1955" s="26"/>
      <c r="F1955" s="26"/>
      <c r="G1955" s="26"/>
      <c r="H1955" s="26"/>
      <c r="I1955" s="26"/>
      <c r="J1955" s="26"/>
      <c r="K1955" s="26"/>
    </row>
    <row r="1956" spans="1:11" s="5" customFormat="1" ht="15" customHeight="1" x14ac:dyDescent="0.2">
      <c r="A1956" s="26"/>
      <c r="B1956" s="14" t="str">
        <f>IF(A1956="","",_xlfn.XLOOKUP(A1956,'DISPATCH SHEET'!B$3:B$121,'DISPATCH SHEET'!C$3:C$121,""))</f>
        <v/>
      </c>
      <c r="C1956" s="14" t="str">
        <f>IF(ISBLANK(A1956),"",_xlfn.XLOOKUP(A1956,'DISPATCH SHEET'!C$3:C$121,'DISPATCH SHEET'!#REF!,""))</f>
        <v/>
      </c>
      <c r="D1956" s="26"/>
      <c r="E1956" s="26"/>
      <c r="F1956" s="26"/>
      <c r="G1956" s="26"/>
      <c r="H1956" s="26"/>
      <c r="I1956" s="26"/>
      <c r="J1956" s="26"/>
      <c r="K1956" s="26"/>
    </row>
    <row r="1957" spans="1:11" s="5" customFormat="1" ht="15" customHeight="1" x14ac:dyDescent="0.2">
      <c r="A1957" s="26"/>
      <c r="B1957" s="14" t="str">
        <f>IF(A1957="","",_xlfn.XLOOKUP(A1957,'DISPATCH SHEET'!B$3:B$121,'DISPATCH SHEET'!C$3:C$121,""))</f>
        <v/>
      </c>
      <c r="C1957" s="14" t="str">
        <f>IF(ISBLANK(A1957),"",_xlfn.XLOOKUP(A1957,'DISPATCH SHEET'!C$3:C$121,'DISPATCH SHEET'!#REF!,""))</f>
        <v/>
      </c>
      <c r="D1957" s="26"/>
      <c r="E1957" s="26"/>
      <c r="F1957" s="26"/>
      <c r="G1957" s="26"/>
      <c r="H1957" s="26"/>
      <c r="I1957" s="26"/>
      <c r="J1957" s="26"/>
      <c r="K1957" s="26"/>
    </row>
    <row r="1958" spans="1:11" s="5" customFormat="1" ht="15" customHeight="1" x14ac:dyDescent="0.2">
      <c r="A1958" s="26"/>
      <c r="B1958" s="14" t="str">
        <f>IF(A1958="","",_xlfn.XLOOKUP(A1958,'DISPATCH SHEET'!B$3:B$121,'DISPATCH SHEET'!C$3:C$121,""))</f>
        <v/>
      </c>
      <c r="C1958" s="14" t="str">
        <f>IF(ISBLANK(A1958),"",_xlfn.XLOOKUP(A1958,'DISPATCH SHEET'!C$3:C$121,'DISPATCH SHEET'!#REF!,""))</f>
        <v/>
      </c>
      <c r="D1958" s="26"/>
      <c r="E1958" s="26"/>
      <c r="F1958" s="26"/>
      <c r="G1958" s="26"/>
      <c r="H1958" s="26"/>
      <c r="I1958" s="26"/>
      <c r="J1958" s="26"/>
      <c r="K1958" s="26"/>
    </row>
    <row r="1959" spans="1:11" s="5" customFormat="1" ht="15" customHeight="1" x14ac:dyDescent="0.2">
      <c r="A1959" s="26"/>
      <c r="B1959" s="14" t="str">
        <f>IF(A1959="","",_xlfn.XLOOKUP(A1959,'DISPATCH SHEET'!B$3:B$121,'DISPATCH SHEET'!C$3:C$121,""))</f>
        <v/>
      </c>
      <c r="C1959" s="14" t="str">
        <f>IF(ISBLANK(A1959),"",_xlfn.XLOOKUP(A1959,'DISPATCH SHEET'!C$3:C$121,'DISPATCH SHEET'!#REF!,""))</f>
        <v/>
      </c>
      <c r="D1959" s="26"/>
      <c r="E1959" s="26"/>
      <c r="F1959" s="26"/>
      <c r="G1959" s="26"/>
      <c r="H1959" s="26"/>
      <c r="I1959" s="26"/>
      <c r="J1959" s="26"/>
      <c r="K1959" s="26"/>
    </row>
    <row r="1960" spans="1:11" s="5" customFormat="1" ht="15" customHeight="1" x14ac:dyDescent="0.2">
      <c r="A1960" s="26"/>
      <c r="B1960" s="14" t="str">
        <f>IF(A1960="","",_xlfn.XLOOKUP(A1960,'DISPATCH SHEET'!B$3:B$121,'DISPATCH SHEET'!C$3:C$121,""))</f>
        <v/>
      </c>
      <c r="C1960" s="14" t="str">
        <f>IF(ISBLANK(A1960),"",_xlfn.XLOOKUP(A1960,'DISPATCH SHEET'!C$3:C$121,'DISPATCH SHEET'!#REF!,""))</f>
        <v/>
      </c>
      <c r="D1960" s="26"/>
      <c r="E1960" s="26"/>
      <c r="F1960" s="26"/>
      <c r="G1960" s="26"/>
      <c r="H1960" s="26"/>
      <c r="I1960" s="26"/>
      <c r="J1960" s="26"/>
      <c r="K1960" s="26"/>
    </row>
    <row r="1961" spans="1:11" s="5" customFormat="1" ht="15" customHeight="1" x14ac:dyDescent="0.2">
      <c r="A1961" s="26"/>
      <c r="B1961" s="14" t="str">
        <f>IF(A1961="","",_xlfn.XLOOKUP(A1961,'DISPATCH SHEET'!B$3:B$121,'DISPATCH SHEET'!C$3:C$121,""))</f>
        <v/>
      </c>
      <c r="C1961" s="14" t="str">
        <f>IF(ISBLANK(A1961),"",_xlfn.XLOOKUP(A1961,'DISPATCH SHEET'!C$3:C$121,'DISPATCH SHEET'!#REF!,""))</f>
        <v/>
      </c>
      <c r="D1961" s="26"/>
      <c r="E1961" s="26"/>
      <c r="F1961" s="26"/>
      <c r="G1961" s="26"/>
      <c r="H1961" s="26"/>
      <c r="I1961" s="26"/>
      <c r="J1961" s="26"/>
      <c r="K1961" s="26"/>
    </row>
    <row r="1962" spans="1:11" s="5" customFormat="1" ht="15" customHeight="1" x14ac:dyDescent="0.2">
      <c r="A1962" s="26"/>
      <c r="B1962" s="14" t="str">
        <f>IF(A1962="","",_xlfn.XLOOKUP(A1962,'DISPATCH SHEET'!B$3:B$121,'DISPATCH SHEET'!C$3:C$121,""))</f>
        <v/>
      </c>
      <c r="C1962" s="14" t="str">
        <f>IF(ISBLANK(A1962),"",_xlfn.XLOOKUP(A1962,'DISPATCH SHEET'!C$3:C$121,'DISPATCH SHEET'!#REF!,""))</f>
        <v/>
      </c>
      <c r="D1962" s="26"/>
      <c r="E1962" s="26"/>
      <c r="F1962" s="26"/>
      <c r="G1962" s="26"/>
      <c r="H1962" s="26"/>
      <c r="I1962" s="26"/>
      <c r="J1962" s="26"/>
      <c r="K1962" s="26"/>
    </row>
    <row r="1963" spans="1:11" s="5" customFormat="1" ht="15" customHeight="1" x14ac:dyDescent="0.2">
      <c r="A1963" s="26"/>
      <c r="B1963" s="14" t="str">
        <f>IF(A1963="","",_xlfn.XLOOKUP(A1963,'DISPATCH SHEET'!B$3:B$121,'DISPATCH SHEET'!C$3:C$121,""))</f>
        <v/>
      </c>
      <c r="C1963" s="14" t="str">
        <f>IF(ISBLANK(A1963),"",_xlfn.XLOOKUP(A1963,'DISPATCH SHEET'!C$3:C$121,'DISPATCH SHEET'!#REF!,""))</f>
        <v/>
      </c>
      <c r="D1963" s="26"/>
      <c r="E1963" s="26"/>
      <c r="F1963" s="26"/>
      <c r="G1963" s="26"/>
      <c r="H1963" s="26"/>
      <c r="I1963" s="26"/>
      <c r="J1963" s="26"/>
      <c r="K1963" s="26"/>
    </row>
    <row r="1964" spans="1:11" s="5" customFormat="1" ht="15" customHeight="1" x14ac:dyDescent="0.2">
      <c r="A1964" s="26"/>
      <c r="B1964" s="14" t="str">
        <f>IF(A1964="","",_xlfn.XLOOKUP(A1964,'DISPATCH SHEET'!B$3:B$121,'DISPATCH SHEET'!C$3:C$121,""))</f>
        <v/>
      </c>
      <c r="C1964" s="14" t="str">
        <f>IF(ISBLANK(A1964),"",_xlfn.XLOOKUP(A1964,'DISPATCH SHEET'!C$3:C$121,'DISPATCH SHEET'!#REF!,""))</f>
        <v/>
      </c>
      <c r="D1964" s="26"/>
      <c r="E1964" s="26"/>
      <c r="F1964" s="26"/>
      <c r="G1964" s="26"/>
      <c r="H1964" s="26"/>
      <c r="I1964" s="26"/>
      <c r="J1964" s="26"/>
      <c r="K1964" s="26"/>
    </row>
    <row r="1965" spans="1:11" s="5" customFormat="1" ht="15" customHeight="1" x14ac:dyDescent="0.2">
      <c r="A1965" s="26"/>
      <c r="B1965" s="14" t="str">
        <f>IF(A1965="","",_xlfn.XLOOKUP(A1965,'DISPATCH SHEET'!B$3:B$121,'DISPATCH SHEET'!C$3:C$121,""))</f>
        <v/>
      </c>
      <c r="C1965" s="14" t="str">
        <f>IF(ISBLANK(A1965),"",_xlfn.XLOOKUP(A1965,'DISPATCH SHEET'!C$3:C$121,'DISPATCH SHEET'!#REF!,""))</f>
        <v/>
      </c>
      <c r="D1965" s="26"/>
      <c r="E1965" s="26"/>
      <c r="F1965" s="26"/>
      <c r="G1965" s="26"/>
      <c r="H1965" s="26"/>
      <c r="I1965" s="26"/>
      <c r="J1965" s="26"/>
      <c r="K1965" s="26"/>
    </row>
    <row r="1966" spans="1:11" s="5" customFormat="1" ht="15" customHeight="1" x14ac:dyDescent="0.2">
      <c r="A1966" s="26"/>
      <c r="B1966" s="14" t="str">
        <f>IF(A1966="","",_xlfn.XLOOKUP(A1966,'DISPATCH SHEET'!B$3:B$121,'DISPATCH SHEET'!C$3:C$121,""))</f>
        <v/>
      </c>
      <c r="C1966" s="14" t="str">
        <f>IF(ISBLANK(A1966),"",_xlfn.XLOOKUP(A1966,'DISPATCH SHEET'!C$3:C$121,'DISPATCH SHEET'!#REF!,""))</f>
        <v/>
      </c>
      <c r="D1966" s="26"/>
      <c r="E1966" s="26"/>
      <c r="F1966" s="26"/>
      <c r="G1966" s="26"/>
      <c r="H1966" s="26"/>
      <c r="I1966" s="26"/>
      <c r="J1966" s="26"/>
      <c r="K1966" s="26"/>
    </row>
    <row r="1967" spans="1:11" s="5" customFormat="1" ht="15" customHeight="1" x14ac:dyDescent="0.2">
      <c r="A1967" s="26"/>
      <c r="B1967" s="14" t="str">
        <f>IF(A1967="","",_xlfn.XLOOKUP(A1967,'DISPATCH SHEET'!B$3:B$121,'DISPATCH SHEET'!C$3:C$121,""))</f>
        <v/>
      </c>
      <c r="C1967" s="14" t="str">
        <f>IF(ISBLANK(A1967),"",_xlfn.XLOOKUP(A1967,'DISPATCH SHEET'!C$3:C$121,'DISPATCH SHEET'!#REF!,""))</f>
        <v/>
      </c>
      <c r="D1967" s="26"/>
      <c r="E1967" s="26"/>
      <c r="F1967" s="26"/>
      <c r="G1967" s="26"/>
      <c r="H1967" s="26"/>
      <c r="I1967" s="26"/>
      <c r="J1967" s="26"/>
      <c r="K1967" s="26"/>
    </row>
    <row r="1968" spans="1:11" s="5" customFormat="1" ht="15" customHeight="1" x14ac:dyDescent="0.2">
      <c r="A1968" s="26"/>
      <c r="B1968" s="14" t="str">
        <f>IF(A1968="","",_xlfn.XLOOKUP(A1968,'DISPATCH SHEET'!B$3:B$121,'DISPATCH SHEET'!C$3:C$121,""))</f>
        <v/>
      </c>
      <c r="C1968" s="14" t="str">
        <f>IF(ISBLANK(A1968),"",_xlfn.XLOOKUP(A1968,'DISPATCH SHEET'!C$3:C$121,'DISPATCH SHEET'!#REF!,""))</f>
        <v/>
      </c>
      <c r="D1968" s="26"/>
      <c r="E1968" s="26"/>
      <c r="F1968" s="26"/>
      <c r="G1968" s="26"/>
      <c r="H1968" s="26"/>
      <c r="I1968" s="26"/>
      <c r="J1968" s="26"/>
      <c r="K1968" s="26"/>
    </row>
    <row r="1969" spans="1:11" s="5" customFormat="1" ht="15" customHeight="1" x14ac:dyDescent="0.2">
      <c r="A1969" s="26"/>
      <c r="B1969" s="14" t="str">
        <f>IF(A1969="","",_xlfn.XLOOKUP(A1969,'DISPATCH SHEET'!B$3:B$121,'DISPATCH SHEET'!C$3:C$121,""))</f>
        <v/>
      </c>
      <c r="C1969" s="14" t="str">
        <f>IF(ISBLANK(A1969),"",_xlfn.XLOOKUP(A1969,'DISPATCH SHEET'!C$3:C$121,'DISPATCH SHEET'!#REF!,""))</f>
        <v/>
      </c>
      <c r="D1969" s="26"/>
      <c r="E1969" s="26"/>
      <c r="F1969" s="26"/>
      <c r="G1969" s="26"/>
      <c r="H1969" s="26"/>
      <c r="I1969" s="26"/>
      <c r="J1969" s="26"/>
      <c r="K1969" s="26"/>
    </row>
    <row r="1970" spans="1:11" s="5" customFormat="1" ht="15" customHeight="1" x14ac:dyDescent="0.2">
      <c r="A1970" s="26"/>
      <c r="B1970" s="14" t="str">
        <f>IF(A1970="","",_xlfn.XLOOKUP(A1970,'DISPATCH SHEET'!B$3:B$121,'DISPATCH SHEET'!C$3:C$121,""))</f>
        <v/>
      </c>
      <c r="C1970" s="14" t="str">
        <f>IF(ISBLANK(A1970),"",_xlfn.XLOOKUP(A1970,'DISPATCH SHEET'!C$3:C$121,'DISPATCH SHEET'!#REF!,""))</f>
        <v/>
      </c>
      <c r="D1970" s="26"/>
      <c r="E1970" s="26"/>
      <c r="F1970" s="26"/>
      <c r="G1970" s="26"/>
      <c r="H1970" s="26"/>
      <c r="I1970" s="26"/>
      <c r="J1970" s="26"/>
      <c r="K1970" s="26"/>
    </row>
    <row r="1971" spans="1:11" s="5" customFormat="1" ht="15" customHeight="1" x14ac:dyDescent="0.2">
      <c r="A1971" s="26"/>
      <c r="B1971" s="14" t="str">
        <f>IF(A1971="","",_xlfn.XLOOKUP(A1971,'DISPATCH SHEET'!B$3:B$121,'DISPATCH SHEET'!C$3:C$121,""))</f>
        <v/>
      </c>
      <c r="C1971" s="14" t="str">
        <f>IF(ISBLANK(A1971),"",_xlfn.XLOOKUP(A1971,'DISPATCH SHEET'!C$3:C$121,'DISPATCH SHEET'!#REF!,""))</f>
        <v/>
      </c>
      <c r="D1971" s="26"/>
      <c r="E1971" s="26"/>
      <c r="F1971" s="26"/>
      <c r="G1971" s="26"/>
      <c r="H1971" s="26"/>
      <c r="I1971" s="26"/>
      <c r="J1971" s="26"/>
      <c r="K1971" s="26"/>
    </row>
    <row r="1972" spans="1:11" s="5" customFormat="1" ht="15" customHeight="1" x14ac:dyDescent="0.2">
      <c r="A1972" s="26"/>
      <c r="B1972" s="14" t="str">
        <f>IF(A1972="","",_xlfn.XLOOKUP(A1972,'DISPATCH SHEET'!B$3:B$121,'DISPATCH SHEET'!C$3:C$121,""))</f>
        <v/>
      </c>
      <c r="C1972" s="14" t="str">
        <f>IF(ISBLANK(A1972),"",_xlfn.XLOOKUP(A1972,'DISPATCH SHEET'!C$3:C$121,'DISPATCH SHEET'!#REF!,""))</f>
        <v/>
      </c>
      <c r="D1972" s="26"/>
      <c r="E1972" s="26"/>
      <c r="F1972" s="26"/>
      <c r="G1972" s="26"/>
      <c r="H1972" s="26"/>
      <c r="I1972" s="26"/>
      <c r="J1972" s="26"/>
      <c r="K1972" s="26"/>
    </row>
    <row r="1973" spans="1:11" s="5" customFormat="1" ht="15" customHeight="1" x14ac:dyDescent="0.2">
      <c r="A1973" s="26"/>
      <c r="B1973" s="14" t="str">
        <f>IF(A1973="","",_xlfn.XLOOKUP(A1973,'DISPATCH SHEET'!B$3:B$121,'DISPATCH SHEET'!C$3:C$121,""))</f>
        <v/>
      </c>
      <c r="C1973" s="14" t="str">
        <f>IF(ISBLANK(A1973),"",_xlfn.XLOOKUP(A1973,'DISPATCH SHEET'!C$3:C$121,'DISPATCH SHEET'!#REF!,""))</f>
        <v/>
      </c>
      <c r="D1973" s="26"/>
      <c r="E1973" s="26"/>
      <c r="F1973" s="26"/>
      <c r="G1973" s="26"/>
      <c r="H1973" s="26"/>
      <c r="I1973" s="26"/>
      <c r="J1973" s="26"/>
      <c r="K1973" s="26"/>
    </row>
    <row r="1974" spans="1:11" s="5" customFormat="1" ht="15" customHeight="1" x14ac:dyDescent="0.2">
      <c r="A1974" s="26"/>
      <c r="B1974" s="14" t="str">
        <f>IF(A1974="","",_xlfn.XLOOKUP(A1974,'DISPATCH SHEET'!B$3:B$121,'DISPATCH SHEET'!C$3:C$121,""))</f>
        <v/>
      </c>
      <c r="C1974" s="14" t="str">
        <f>IF(ISBLANK(A1974),"",_xlfn.XLOOKUP(A1974,'DISPATCH SHEET'!C$3:C$121,'DISPATCH SHEET'!#REF!,""))</f>
        <v/>
      </c>
      <c r="D1974" s="26"/>
      <c r="E1974" s="26"/>
      <c r="F1974" s="26"/>
      <c r="G1974" s="26"/>
      <c r="H1974" s="26"/>
      <c r="I1974" s="26"/>
      <c r="J1974" s="26"/>
      <c r="K1974" s="26"/>
    </row>
    <row r="1975" spans="1:11" s="5" customFormat="1" ht="15" customHeight="1" x14ac:dyDescent="0.2">
      <c r="A1975" s="26"/>
      <c r="B1975" s="14" t="str">
        <f>IF(A1975="","",_xlfn.XLOOKUP(A1975,'DISPATCH SHEET'!B$3:B$121,'DISPATCH SHEET'!C$3:C$121,""))</f>
        <v/>
      </c>
      <c r="C1975" s="14" t="str">
        <f>IF(ISBLANK(A1975),"",_xlfn.XLOOKUP(A1975,'DISPATCH SHEET'!C$3:C$121,'DISPATCH SHEET'!#REF!,""))</f>
        <v/>
      </c>
      <c r="D1975" s="26"/>
      <c r="E1975" s="26"/>
      <c r="F1975" s="26"/>
      <c r="G1975" s="26"/>
      <c r="H1975" s="26"/>
      <c r="I1975" s="26"/>
      <c r="J1975" s="26"/>
      <c r="K1975" s="26"/>
    </row>
    <row r="1976" spans="1:11" s="5" customFormat="1" ht="15" customHeight="1" x14ac:dyDescent="0.2">
      <c r="A1976" s="26"/>
      <c r="B1976" s="14" t="str">
        <f>IF(A1976="","",_xlfn.XLOOKUP(A1976,'DISPATCH SHEET'!B$3:B$121,'DISPATCH SHEET'!C$3:C$121,""))</f>
        <v/>
      </c>
      <c r="C1976" s="14" t="str">
        <f>IF(ISBLANK(A1976),"",_xlfn.XLOOKUP(A1976,'DISPATCH SHEET'!C$3:C$121,'DISPATCH SHEET'!#REF!,""))</f>
        <v/>
      </c>
      <c r="D1976" s="26"/>
      <c r="E1976" s="26"/>
      <c r="F1976" s="26"/>
      <c r="G1976" s="26"/>
      <c r="H1976" s="26"/>
      <c r="I1976" s="26"/>
      <c r="J1976" s="26"/>
      <c r="K1976" s="26"/>
    </row>
    <row r="1977" spans="1:11" s="5" customFormat="1" ht="15" customHeight="1" x14ac:dyDescent="0.2">
      <c r="A1977" s="26"/>
      <c r="B1977" s="14" t="str">
        <f>IF(A1977="","",_xlfn.XLOOKUP(A1977,'DISPATCH SHEET'!B$3:B$121,'DISPATCH SHEET'!C$3:C$121,""))</f>
        <v/>
      </c>
      <c r="C1977" s="14" t="str">
        <f>IF(ISBLANK(A1977),"",_xlfn.XLOOKUP(A1977,'DISPATCH SHEET'!C$3:C$121,'DISPATCH SHEET'!#REF!,""))</f>
        <v/>
      </c>
      <c r="D1977" s="26"/>
      <c r="E1977" s="26"/>
      <c r="F1977" s="26"/>
      <c r="G1977" s="26"/>
      <c r="H1977" s="26"/>
      <c r="I1977" s="26"/>
      <c r="J1977" s="26"/>
      <c r="K1977" s="26"/>
    </row>
    <row r="1978" spans="1:11" s="5" customFormat="1" ht="15" customHeight="1" x14ac:dyDescent="0.2">
      <c r="A1978" s="26"/>
      <c r="B1978" s="14" t="str">
        <f>IF(A1978="","",_xlfn.XLOOKUP(A1978,'DISPATCH SHEET'!B$3:B$121,'DISPATCH SHEET'!C$3:C$121,""))</f>
        <v/>
      </c>
      <c r="C1978" s="14" t="str">
        <f>IF(ISBLANK(A1978),"",_xlfn.XLOOKUP(A1978,'DISPATCH SHEET'!C$3:C$121,'DISPATCH SHEET'!#REF!,""))</f>
        <v/>
      </c>
      <c r="D1978" s="26"/>
      <c r="E1978" s="26"/>
      <c r="F1978" s="26"/>
      <c r="G1978" s="26"/>
      <c r="H1978" s="26"/>
      <c r="I1978" s="26"/>
      <c r="J1978" s="26"/>
      <c r="K1978" s="26"/>
    </row>
    <row r="1979" spans="1:11" s="5" customFormat="1" ht="15" customHeight="1" x14ac:dyDescent="0.2">
      <c r="A1979" s="26"/>
      <c r="B1979" s="14" t="str">
        <f>IF(A1979="","",_xlfn.XLOOKUP(A1979,'DISPATCH SHEET'!B$3:B$121,'DISPATCH SHEET'!C$3:C$121,""))</f>
        <v/>
      </c>
      <c r="C1979" s="14" t="str">
        <f>IF(ISBLANK(A1979),"",_xlfn.XLOOKUP(A1979,'DISPATCH SHEET'!C$3:C$121,'DISPATCH SHEET'!#REF!,""))</f>
        <v/>
      </c>
      <c r="D1979" s="26"/>
      <c r="E1979" s="26"/>
      <c r="F1979" s="26"/>
      <c r="G1979" s="26"/>
      <c r="H1979" s="26"/>
      <c r="I1979" s="26"/>
      <c r="J1979" s="26"/>
      <c r="K1979" s="26"/>
    </row>
    <row r="1980" spans="1:11" s="5" customFormat="1" ht="15" customHeight="1" x14ac:dyDescent="0.2">
      <c r="A1980" s="26"/>
      <c r="B1980" s="14" t="str">
        <f>IF(A1980="","",_xlfn.XLOOKUP(A1980,'DISPATCH SHEET'!B$3:B$121,'DISPATCH SHEET'!C$3:C$121,""))</f>
        <v/>
      </c>
      <c r="C1980" s="14" t="str">
        <f>IF(ISBLANK(A1980),"",_xlfn.XLOOKUP(A1980,'DISPATCH SHEET'!C$3:C$121,'DISPATCH SHEET'!#REF!,""))</f>
        <v/>
      </c>
      <c r="D1980" s="26"/>
      <c r="E1980" s="26"/>
      <c r="F1980" s="26"/>
      <c r="G1980" s="26"/>
      <c r="H1980" s="26"/>
      <c r="I1980" s="26"/>
      <c r="J1980" s="26"/>
      <c r="K1980" s="26"/>
    </row>
    <row r="1981" spans="1:11" s="5" customFormat="1" ht="15" customHeight="1" x14ac:dyDescent="0.2">
      <c r="A1981" s="26"/>
      <c r="B1981" s="14" t="str">
        <f>IF(A1981="","",_xlfn.XLOOKUP(A1981,'DISPATCH SHEET'!B$3:B$121,'DISPATCH SHEET'!C$3:C$121,""))</f>
        <v/>
      </c>
      <c r="C1981" s="14" t="str">
        <f>IF(ISBLANK(A1981),"",_xlfn.XLOOKUP(A1981,'DISPATCH SHEET'!C$3:C$121,'DISPATCH SHEET'!#REF!,""))</f>
        <v/>
      </c>
      <c r="D1981" s="26"/>
      <c r="E1981" s="26"/>
      <c r="F1981" s="26"/>
      <c r="G1981" s="26"/>
      <c r="H1981" s="26"/>
      <c r="I1981" s="26"/>
      <c r="J1981" s="26"/>
      <c r="K1981" s="26"/>
    </row>
    <row r="1982" spans="1:11" s="5" customFormat="1" ht="15" customHeight="1" x14ac:dyDescent="0.2">
      <c r="A1982" s="26"/>
      <c r="B1982" s="14" t="str">
        <f>IF(A1982="","",_xlfn.XLOOKUP(A1982,'DISPATCH SHEET'!B$3:B$121,'DISPATCH SHEET'!C$3:C$121,""))</f>
        <v/>
      </c>
      <c r="C1982" s="14" t="str">
        <f>IF(ISBLANK(A1982),"",_xlfn.XLOOKUP(A1982,'DISPATCH SHEET'!C$3:C$121,'DISPATCH SHEET'!#REF!,""))</f>
        <v/>
      </c>
      <c r="D1982" s="26"/>
      <c r="E1982" s="26"/>
      <c r="F1982" s="26"/>
      <c r="G1982" s="26"/>
      <c r="H1982" s="26"/>
      <c r="I1982" s="26"/>
      <c r="J1982" s="26"/>
      <c r="K1982" s="26"/>
    </row>
    <row r="1983" spans="1:11" s="5" customFormat="1" ht="15" customHeight="1" x14ac:dyDescent="0.2">
      <c r="A1983" s="26"/>
      <c r="B1983" s="14" t="str">
        <f>IF(A1983="","",_xlfn.XLOOKUP(A1983,'DISPATCH SHEET'!B$3:B$121,'DISPATCH SHEET'!C$3:C$121,""))</f>
        <v/>
      </c>
      <c r="C1983" s="14" t="str">
        <f>IF(ISBLANK(A1983),"",_xlfn.XLOOKUP(A1983,'DISPATCH SHEET'!C$3:C$121,'DISPATCH SHEET'!#REF!,""))</f>
        <v/>
      </c>
      <c r="D1983" s="26"/>
      <c r="E1983" s="26"/>
      <c r="F1983" s="26"/>
      <c r="G1983" s="26"/>
      <c r="H1983" s="26"/>
      <c r="I1983" s="26"/>
      <c r="J1983" s="26"/>
      <c r="K1983" s="26"/>
    </row>
    <row r="1984" spans="1:11" s="5" customFormat="1" ht="15" customHeight="1" x14ac:dyDescent="0.2">
      <c r="A1984" s="26"/>
      <c r="B1984" s="14" t="str">
        <f>IF(A1984="","",_xlfn.XLOOKUP(A1984,'DISPATCH SHEET'!B$3:B$121,'DISPATCH SHEET'!C$3:C$121,""))</f>
        <v/>
      </c>
      <c r="C1984" s="14" t="str">
        <f>IF(ISBLANK(A1984),"",_xlfn.XLOOKUP(A1984,'DISPATCH SHEET'!C$3:C$121,'DISPATCH SHEET'!#REF!,""))</f>
        <v/>
      </c>
      <c r="D1984" s="26"/>
      <c r="E1984" s="26"/>
      <c r="F1984" s="26"/>
      <c r="G1984" s="26"/>
      <c r="H1984" s="26"/>
      <c r="I1984" s="26"/>
      <c r="J1984" s="26"/>
      <c r="K1984" s="26"/>
    </row>
    <row r="1985" spans="1:11" s="5" customFormat="1" ht="15" customHeight="1" x14ac:dyDescent="0.2">
      <c r="A1985" s="26"/>
      <c r="B1985" s="14" t="str">
        <f>IF(A1985="","",_xlfn.XLOOKUP(A1985,'DISPATCH SHEET'!B$3:B$121,'DISPATCH SHEET'!C$3:C$121,""))</f>
        <v/>
      </c>
      <c r="C1985" s="14" t="str">
        <f>IF(ISBLANK(A1985),"",_xlfn.XLOOKUP(A1985,'DISPATCH SHEET'!C$3:C$121,'DISPATCH SHEET'!#REF!,""))</f>
        <v/>
      </c>
      <c r="D1985" s="26"/>
      <c r="E1985" s="26"/>
      <c r="F1985" s="26"/>
      <c r="G1985" s="26"/>
      <c r="H1985" s="26"/>
      <c r="I1985" s="26"/>
      <c r="J1985" s="26"/>
      <c r="K1985" s="26"/>
    </row>
    <row r="1986" spans="1:11" s="5" customFormat="1" ht="15" customHeight="1" x14ac:dyDescent="0.2">
      <c r="A1986" s="26"/>
      <c r="B1986" s="14" t="str">
        <f>IF(A1986="","",_xlfn.XLOOKUP(A1986,'DISPATCH SHEET'!B$3:B$121,'DISPATCH SHEET'!C$3:C$121,""))</f>
        <v/>
      </c>
      <c r="C1986" s="14" t="str">
        <f>IF(ISBLANK(A1986),"",_xlfn.XLOOKUP(A1986,'DISPATCH SHEET'!C$3:C$121,'DISPATCH SHEET'!#REF!,""))</f>
        <v/>
      </c>
      <c r="D1986" s="26"/>
      <c r="E1986" s="26"/>
      <c r="F1986" s="26"/>
      <c r="G1986" s="26"/>
      <c r="H1986" s="26"/>
      <c r="I1986" s="26"/>
      <c r="J1986" s="26"/>
      <c r="K1986" s="26"/>
    </row>
    <row r="1987" spans="1:11" s="5" customFormat="1" ht="15" customHeight="1" x14ac:dyDescent="0.2">
      <c r="A1987" s="26"/>
      <c r="B1987" s="14" t="str">
        <f>IF(A1987="","",_xlfn.XLOOKUP(A1987,'DISPATCH SHEET'!B$3:B$121,'DISPATCH SHEET'!C$3:C$121,""))</f>
        <v/>
      </c>
      <c r="C1987" s="14" t="str">
        <f>IF(ISBLANK(A1987),"",_xlfn.XLOOKUP(A1987,'DISPATCH SHEET'!C$3:C$121,'DISPATCH SHEET'!#REF!,""))</f>
        <v/>
      </c>
      <c r="D1987" s="26"/>
      <c r="E1987" s="26"/>
      <c r="F1987" s="26"/>
      <c r="G1987" s="26"/>
      <c r="H1987" s="26"/>
      <c r="I1987" s="26"/>
      <c r="J1987" s="26"/>
      <c r="K1987" s="26"/>
    </row>
    <row r="1988" spans="1:11" s="5" customFormat="1" ht="15" customHeight="1" x14ac:dyDescent="0.2">
      <c r="A1988" s="26"/>
      <c r="B1988" s="14" t="str">
        <f>IF(A1988="","",_xlfn.XLOOKUP(A1988,'DISPATCH SHEET'!B$3:B$121,'DISPATCH SHEET'!C$3:C$121,""))</f>
        <v/>
      </c>
      <c r="C1988" s="14" t="str">
        <f>IF(ISBLANK(A1988),"",_xlfn.XLOOKUP(A1988,'DISPATCH SHEET'!C$3:C$121,'DISPATCH SHEET'!#REF!,""))</f>
        <v/>
      </c>
      <c r="D1988" s="26"/>
      <c r="E1988" s="26"/>
      <c r="F1988" s="26"/>
      <c r="G1988" s="26"/>
      <c r="H1988" s="26"/>
      <c r="I1988" s="26"/>
      <c r="J1988" s="26"/>
      <c r="K1988" s="26"/>
    </row>
    <row r="1989" spans="1:11" s="5" customFormat="1" ht="15" customHeight="1" x14ac:dyDescent="0.2">
      <c r="A1989" s="26"/>
      <c r="B1989" s="14" t="str">
        <f>IF(A1989="","",_xlfn.XLOOKUP(A1989,'DISPATCH SHEET'!B$3:B$121,'DISPATCH SHEET'!C$3:C$121,""))</f>
        <v/>
      </c>
      <c r="C1989" s="14" t="str">
        <f>IF(ISBLANK(A1989),"",_xlfn.XLOOKUP(A1989,'DISPATCH SHEET'!C$3:C$121,'DISPATCH SHEET'!#REF!,""))</f>
        <v/>
      </c>
      <c r="D1989" s="26"/>
      <c r="E1989" s="26"/>
      <c r="F1989" s="26"/>
      <c r="G1989" s="26"/>
      <c r="H1989" s="26"/>
      <c r="I1989" s="26"/>
      <c r="J1989" s="26"/>
      <c r="K1989" s="26"/>
    </row>
    <row r="1990" spans="1:11" s="5" customFormat="1" ht="15" customHeight="1" x14ac:dyDescent="0.2">
      <c r="A1990" s="26"/>
      <c r="B1990" s="14" t="str">
        <f>IF(A1990="","",_xlfn.XLOOKUP(A1990,'DISPATCH SHEET'!B$3:B$121,'DISPATCH SHEET'!C$3:C$121,""))</f>
        <v/>
      </c>
      <c r="C1990" s="14" t="str">
        <f>IF(ISBLANK(A1990),"",_xlfn.XLOOKUP(A1990,'DISPATCH SHEET'!C$3:C$121,'DISPATCH SHEET'!#REF!,""))</f>
        <v/>
      </c>
      <c r="D1990" s="26"/>
      <c r="E1990" s="26"/>
      <c r="F1990" s="26"/>
      <c r="G1990" s="26"/>
      <c r="H1990" s="26"/>
      <c r="I1990" s="26"/>
      <c r="J1990" s="26"/>
      <c r="K1990" s="26"/>
    </row>
    <row r="1991" spans="1:11" s="5" customFormat="1" ht="15" customHeight="1" x14ac:dyDescent="0.2">
      <c r="A1991" s="26"/>
      <c r="B1991" s="14" t="str">
        <f>IF(A1991="","",_xlfn.XLOOKUP(A1991,'DISPATCH SHEET'!B$3:B$121,'DISPATCH SHEET'!C$3:C$121,""))</f>
        <v/>
      </c>
      <c r="C1991" s="14" t="str">
        <f>IF(ISBLANK(A1991),"",_xlfn.XLOOKUP(A1991,'DISPATCH SHEET'!C$3:C$121,'DISPATCH SHEET'!#REF!,""))</f>
        <v/>
      </c>
      <c r="D1991" s="26"/>
      <c r="E1991" s="26"/>
      <c r="F1991" s="26"/>
      <c r="G1991" s="26"/>
      <c r="H1991" s="26"/>
      <c r="I1991" s="26"/>
      <c r="J1991" s="26"/>
      <c r="K1991" s="26"/>
    </row>
    <row r="1992" spans="1:11" s="5" customFormat="1" ht="15" customHeight="1" x14ac:dyDescent="0.2">
      <c r="A1992" s="26"/>
      <c r="B1992" s="14" t="str">
        <f>IF(A1992="","",_xlfn.XLOOKUP(A1992,'DISPATCH SHEET'!B$3:B$121,'DISPATCH SHEET'!C$3:C$121,""))</f>
        <v/>
      </c>
      <c r="C1992" s="14" t="str">
        <f>IF(ISBLANK(A1992),"",_xlfn.XLOOKUP(A1992,'DISPATCH SHEET'!C$3:C$121,'DISPATCH SHEET'!#REF!,""))</f>
        <v/>
      </c>
      <c r="D1992" s="26"/>
      <c r="E1992" s="26"/>
      <c r="F1992" s="26"/>
      <c r="G1992" s="26"/>
      <c r="H1992" s="26"/>
      <c r="I1992" s="26"/>
      <c r="J1992" s="26"/>
      <c r="K1992" s="26"/>
    </row>
    <row r="1993" spans="1:11" s="5" customFormat="1" ht="15" customHeight="1" x14ac:dyDescent="0.2">
      <c r="A1993" s="26"/>
      <c r="B1993" s="14" t="str">
        <f>IF(A1993="","",_xlfn.XLOOKUP(A1993,'DISPATCH SHEET'!B$3:B$121,'DISPATCH SHEET'!C$3:C$121,""))</f>
        <v/>
      </c>
      <c r="C1993" s="14" t="str">
        <f>IF(ISBLANK(A1993),"",_xlfn.XLOOKUP(A1993,'DISPATCH SHEET'!C$3:C$121,'DISPATCH SHEET'!#REF!,""))</f>
        <v/>
      </c>
      <c r="D1993" s="26"/>
      <c r="E1993" s="26"/>
      <c r="F1993" s="26"/>
      <c r="G1993" s="26"/>
      <c r="H1993" s="26"/>
      <c r="I1993" s="26"/>
      <c r="J1993" s="26"/>
      <c r="K1993" s="26"/>
    </row>
    <row r="1994" spans="1:11" s="5" customFormat="1" ht="15" customHeight="1" x14ac:dyDescent="0.2">
      <c r="A1994" s="26"/>
      <c r="B1994" s="14" t="str">
        <f>IF(A1994="","",_xlfn.XLOOKUP(A1994,'DISPATCH SHEET'!B$3:B$121,'DISPATCH SHEET'!C$3:C$121,""))</f>
        <v/>
      </c>
      <c r="C1994" s="14" t="str">
        <f>IF(ISBLANK(A1994),"",_xlfn.XLOOKUP(A1994,'DISPATCH SHEET'!C$3:C$121,'DISPATCH SHEET'!#REF!,""))</f>
        <v/>
      </c>
      <c r="D1994" s="26"/>
      <c r="E1994" s="26"/>
      <c r="F1994" s="26"/>
      <c r="G1994" s="26"/>
      <c r="H1994" s="26"/>
      <c r="I1994" s="26"/>
      <c r="J1994" s="26"/>
      <c r="K1994" s="26"/>
    </row>
    <row r="1995" spans="1:11" s="5" customFormat="1" ht="15" customHeight="1" x14ac:dyDescent="0.2">
      <c r="A1995" s="26"/>
      <c r="B1995" s="14" t="str">
        <f>IF(A1995="","",_xlfn.XLOOKUP(A1995,'DISPATCH SHEET'!B$3:B$121,'DISPATCH SHEET'!C$3:C$121,""))</f>
        <v/>
      </c>
      <c r="C1995" s="14" t="str">
        <f>IF(ISBLANK(A1995),"",_xlfn.XLOOKUP(A1995,'DISPATCH SHEET'!C$3:C$121,'DISPATCH SHEET'!#REF!,""))</f>
        <v/>
      </c>
      <c r="D1995" s="26"/>
      <c r="E1995" s="26"/>
      <c r="F1995" s="26"/>
      <c r="G1995" s="26"/>
      <c r="H1995" s="26"/>
      <c r="I1995" s="26"/>
      <c r="J1995" s="26"/>
      <c r="K1995" s="26"/>
    </row>
    <row r="1996" spans="1:11" s="5" customFormat="1" ht="15" customHeight="1" x14ac:dyDescent="0.2">
      <c r="A1996" s="26"/>
      <c r="B1996" s="14" t="str">
        <f>IF(A1996="","",_xlfn.XLOOKUP(A1996,'DISPATCH SHEET'!B$3:B$121,'DISPATCH SHEET'!C$3:C$121,""))</f>
        <v/>
      </c>
      <c r="C1996" s="14" t="str">
        <f>IF(ISBLANK(A1996),"",_xlfn.XLOOKUP(A1996,'DISPATCH SHEET'!C$3:C$121,'DISPATCH SHEET'!#REF!,""))</f>
        <v/>
      </c>
      <c r="D1996" s="26"/>
      <c r="E1996" s="26"/>
      <c r="F1996" s="26"/>
      <c r="G1996" s="26"/>
      <c r="H1996" s="26"/>
      <c r="I1996" s="26"/>
      <c r="J1996" s="26"/>
      <c r="K1996" s="26"/>
    </row>
    <row r="1997" spans="1:11" s="5" customFormat="1" ht="15" customHeight="1" x14ac:dyDescent="0.2">
      <c r="A1997" s="26"/>
      <c r="B1997" s="14" t="str">
        <f>IF(A1997="","",_xlfn.XLOOKUP(A1997,'DISPATCH SHEET'!B$3:B$121,'DISPATCH SHEET'!C$3:C$121,""))</f>
        <v/>
      </c>
      <c r="C1997" s="14" t="str">
        <f>IF(ISBLANK(A1997),"",_xlfn.XLOOKUP(A1997,'DISPATCH SHEET'!C$3:C$121,'DISPATCH SHEET'!#REF!,""))</f>
        <v/>
      </c>
      <c r="D1997" s="26"/>
      <c r="E1997" s="26"/>
      <c r="F1997" s="26"/>
      <c r="G1997" s="26"/>
      <c r="H1997" s="26"/>
      <c r="I1997" s="26"/>
      <c r="J1997" s="26"/>
      <c r="K1997" s="26"/>
    </row>
    <row r="1998" spans="1:11" s="5" customFormat="1" ht="15" customHeight="1" x14ac:dyDescent="0.2">
      <c r="A1998" s="26"/>
      <c r="B1998" s="14" t="str">
        <f>IF(A1998="","",_xlfn.XLOOKUP(A1998,'DISPATCH SHEET'!B$3:B$121,'DISPATCH SHEET'!C$3:C$121,""))</f>
        <v/>
      </c>
      <c r="C1998" s="14" t="str">
        <f>IF(ISBLANK(A1998),"",_xlfn.XLOOKUP(A1998,'DISPATCH SHEET'!C$3:C$121,'DISPATCH SHEET'!#REF!,""))</f>
        <v/>
      </c>
      <c r="D1998" s="26"/>
      <c r="E1998" s="26"/>
      <c r="F1998" s="26"/>
      <c r="G1998" s="26"/>
      <c r="H1998" s="26"/>
      <c r="I1998" s="26"/>
      <c r="J1998" s="26"/>
      <c r="K1998" s="26"/>
    </row>
    <row r="1999" spans="1:11" s="5" customFormat="1" ht="15" customHeight="1" x14ac:dyDescent="0.2">
      <c r="A1999" s="26"/>
      <c r="B1999" s="14" t="str">
        <f>IF(A1999="","",_xlfn.XLOOKUP(A1999,'DISPATCH SHEET'!B$3:B$121,'DISPATCH SHEET'!C$3:C$121,""))</f>
        <v/>
      </c>
      <c r="C1999" s="14" t="str">
        <f>IF(ISBLANK(A1999),"",_xlfn.XLOOKUP(A1999,'DISPATCH SHEET'!C$3:C$121,'DISPATCH SHEET'!#REF!,""))</f>
        <v/>
      </c>
      <c r="D1999" s="26"/>
      <c r="E1999" s="26"/>
      <c r="F1999" s="26"/>
      <c r="G1999" s="26"/>
      <c r="H1999" s="26"/>
      <c r="I1999" s="26"/>
      <c r="J1999" s="26"/>
      <c r="K1999" s="26"/>
    </row>
    <row r="2000" spans="1:11" s="5" customFormat="1" ht="15" customHeight="1" x14ac:dyDescent="0.2">
      <c r="A2000" s="26"/>
      <c r="B2000" s="14" t="str">
        <f>IF(A2000="","",_xlfn.XLOOKUP(A2000,'DISPATCH SHEET'!B$3:B$121,'DISPATCH SHEET'!C$3:C$121,""))</f>
        <v/>
      </c>
      <c r="C2000" s="14" t="str">
        <f>IF(ISBLANK(A2000),"",_xlfn.XLOOKUP(A2000,'DISPATCH SHEET'!C$3:C$121,'DISPATCH SHEET'!#REF!,""))</f>
        <v/>
      </c>
      <c r="D2000" s="26"/>
      <c r="E2000" s="26"/>
      <c r="F2000" s="26"/>
      <c r="G2000" s="26"/>
      <c r="H2000" s="26"/>
      <c r="I2000" s="26"/>
      <c r="J2000" s="26"/>
      <c r="K2000" s="26"/>
    </row>
    <row r="2001" spans="1:11" s="5" customFormat="1" ht="15" customHeight="1" x14ac:dyDescent="0.2">
      <c r="A2001" s="26"/>
      <c r="B2001" s="14" t="str">
        <f>IF(A2001="","",_xlfn.XLOOKUP(A2001,'DISPATCH SHEET'!B$3:B$121,'DISPATCH SHEET'!C$3:C$121,""))</f>
        <v/>
      </c>
      <c r="C2001" s="14" t="str">
        <f>IF(ISBLANK(A2001),"",_xlfn.XLOOKUP(A2001,'DISPATCH SHEET'!C$3:C$121,'DISPATCH SHEET'!#REF!,""))</f>
        <v/>
      </c>
      <c r="D2001" s="26"/>
      <c r="E2001" s="26"/>
      <c r="F2001" s="26"/>
      <c r="G2001" s="26"/>
      <c r="H2001" s="26"/>
      <c r="I2001" s="26"/>
      <c r="J2001" s="26"/>
      <c r="K2001" s="26"/>
    </row>
    <row r="2002" spans="1:11" s="5" customFormat="1" ht="15" customHeight="1" x14ac:dyDescent="0.2">
      <c r="A2002" s="26"/>
      <c r="B2002" s="14" t="str">
        <f>IF(A2002="","",_xlfn.XLOOKUP(A2002,'DISPATCH SHEET'!B$3:B$121,'DISPATCH SHEET'!C$3:C$121,""))</f>
        <v/>
      </c>
      <c r="C2002" s="14" t="str">
        <f>IF(ISBLANK(A2002),"",_xlfn.XLOOKUP(A2002,'DISPATCH SHEET'!C$3:C$121,'DISPATCH SHEET'!#REF!,""))</f>
        <v/>
      </c>
      <c r="D2002" s="26"/>
      <c r="E2002" s="26"/>
      <c r="F2002" s="26"/>
      <c r="G2002" s="26"/>
      <c r="H2002" s="26"/>
      <c r="I2002" s="26"/>
      <c r="J2002" s="26"/>
      <c r="K2002" s="26"/>
    </row>
    <row r="2003" spans="1:11" s="5" customFormat="1" ht="15" customHeight="1" x14ac:dyDescent="0.2">
      <c r="A2003" s="26"/>
      <c r="B2003" s="14" t="str">
        <f>IF(A2003="","",_xlfn.XLOOKUP(A2003,'DISPATCH SHEET'!B$3:B$121,'DISPATCH SHEET'!C$3:C$121,""))</f>
        <v/>
      </c>
      <c r="C2003" s="14" t="str">
        <f>IF(ISBLANK(A2003),"",_xlfn.XLOOKUP(A2003,'DISPATCH SHEET'!C$3:C$121,'DISPATCH SHEET'!#REF!,""))</f>
        <v/>
      </c>
      <c r="D2003" s="26"/>
      <c r="E2003" s="26"/>
      <c r="F2003" s="26"/>
      <c r="G2003" s="26"/>
      <c r="H2003" s="26"/>
      <c r="I2003" s="26"/>
      <c r="J2003" s="26"/>
      <c r="K2003" s="26"/>
    </row>
    <row r="2004" spans="1:11" s="5" customFormat="1" ht="15" customHeight="1" x14ac:dyDescent="0.2">
      <c r="A2004" s="26"/>
      <c r="B2004" s="14" t="str">
        <f>IF(A2004="","",_xlfn.XLOOKUP(A2004,'DISPATCH SHEET'!B$3:B$121,'DISPATCH SHEET'!C$3:C$121,""))</f>
        <v/>
      </c>
      <c r="C2004" s="14" t="str">
        <f>IF(ISBLANK(A2004),"",_xlfn.XLOOKUP(A2004,'DISPATCH SHEET'!C$3:C$121,'DISPATCH SHEET'!#REF!,""))</f>
        <v/>
      </c>
      <c r="D2004" s="26"/>
      <c r="E2004" s="26"/>
      <c r="F2004" s="26"/>
      <c r="G2004" s="26"/>
      <c r="H2004" s="26"/>
      <c r="I2004" s="26"/>
      <c r="J2004" s="26"/>
      <c r="K2004" s="26"/>
    </row>
    <row r="2005" spans="1:11" s="5" customFormat="1" ht="15" customHeight="1" x14ac:dyDescent="0.2">
      <c r="A2005" s="26"/>
      <c r="B2005" s="14" t="str">
        <f>IF(A2005="","",_xlfn.XLOOKUP(A2005,'DISPATCH SHEET'!B$3:B$121,'DISPATCH SHEET'!C$3:C$121,""))</f>
        <v/>
      </c>
      <c r="C2005" s="14" t="str">
        <f>IF(ISBLANK(A2005),"",_xlfn.XLOOKUP(A2005,'DISPATCH SHEET'!C$3:C$121,'DISPATCH SHEET'!#REF!,""))</f>
        <v/>
      </c>
      <c r="D2005" s="26"/>
      <c r="E2005" s="26"/>
      <c r="F2005" s="26"/>
      <c r="G2005" s="26"/>
      <c r="H2005" s="26"/>
      <c r="I2005" s="26"/>
      <c r="J2005" s="26"/>
      <c r="K2005" s="26"/>
    </row>
    <row r="2006" spans="1:11" s="5" customFormat="1" ht="15" customHeight="1" x14ac:dyDescent="0.2">
      <c r="A2006" s="26"/>
      <c r="B2006" s="14" t="str">
        <f>IF(A2006="","",_xlfn.XLOOKUP(A2006,'DISPATCH SHEET'!B$3:B$121,'DISPATCH SHEET'!C$3:C$121,""))</f>
        <v/>
      </c>
      <c r="C2006" s="14" t="str">
        <f>IF(ISBLANK(A2006),"",_xlfn.XLOOKUP(A2006,'DISPATCH SHEET'!C$3:C$121,'DISPATCH SHEET'!#REF!,""))</f>
        <v/>
      </c>
      <c r="D2006" s="26"/>
      <c r="E2006" s="26"/>
      <c r="F2006" s="26"/>
      <c r="G2006" s="26"/>
      <c r="H2006" s="26"/>
      <c r="I2006" s="26"/>
      <c r="J2006" s="26"/>
      <c r="K2006" s="26"/>
    </row>
    <row r="2007" spans="1:11" s="5" customFormat="1" ht="15" customHeight="1" x14ac:dyDescent="0.2">
      <c r="A2007" s="26"/>
      <c r="B2007" s="14" t="str">
        <f>IF(A2007="","",_xlfn.XLOOKUP(A2007,'DISPATCH SHEET'!B$3:B$121,'DISPATCH SHEET'!C$3:C$121,""))</f>
        <v/>
      </c>
      <c r="C2007" s="14" t="str">
        <f>IF(ISBLANK(A2007),"",_xlfn.XLOOKUP(A2007,'DISPATCH SHEET'!C$3:C$121,'DISPATCH SHEET'!#REF!,""))</f>
        <v/>
      </c>
      <c r="D2007" s="26"/>
      <c r="E2007" s="26"/>
      <c r="F2007" s="26"/>
      <c r="G2007" s="26"/>
      <c r="H2007" s="26"/>
      <c r="I2007" s="26"/>
      <c r="J2007" s="26"/>
      <c r="K2007" s="26"/>
    </row>
    <row r="2008" spans="1:11" s="5" customFormat="1" ht="15" customHeight="1" x14ac:dyDescent="0.2">
      <c r="A2008" s="26"/>
      <c r="B2008" s="14" t="str">
        <f>IF(A2008="","",_xlfn.XLOOKUP(A2008,'DISPATCH SHEET'!B$3:B$121,'DISPATCH SHEET'!C$3:C$121,""))</f>
        <v/>
      </c>
      <c r="C2008" s="14" t="str">
        <f>IF(ISBLANK(A2008),"",_xlfn.XLOOKUP(A2008,'DISPATCH SHEET'!C$3:C$121,'DISPATCH SHEET'!#REF!,""))</f>
        <v/>
      </c>
      <c r="D2008" s="26"/>
      <c r="E2008" s="26"/>
      <c r="F2008" s="26"/>
      <c r="G2008" s="26"/>
      <c r="H2008" s="26"/>
      <c r="I2008" s="26"/>
      <c r="J2008" s="26"/>
      <c r="K2008" s="26"/>
    </row>
    <row r="2009" spans="1:11" s="5" customFormat="1" ht="15" customHeight="1" x14ac:dyDescent="0.2">
      <c r="A2009" s="26"/>
      <c r="B2009" s="14" t="str">
        <f>IF(A2009="","",_xlfn.XLOOKUP(A2009,'DISPATCH SHEET'!B$3:B$121,'DISPATCH SHEET'!C$3:C$121,""))</f>
        <v/>
      </c>
      <c r="C2009" s="14" t="str">
        <f>IF(ISBLANK(A2009),"",_xlfn.XLOOKUP(A2009,'DISPATCH SHEET'!C$3:C$121,'DISPATCH SHEET'!#REF!,""))</f>
        <v/>
      </c>
      <c r="D2009" s="26"/>
      <c r="E2009" s="26"/>
      <c r="F2009" s="26"/>
      <c r="G2009" s="26"/>
      <c r="H2009" s="26"/>
      <c r="I2009" s="26"/>
      <c r="J2009" s="26"/>
      <c r="K2009" s="26"/>
    </row>
    <row r="2010" spans="1:11" s="5" customFormat="1" ht="15" customHeight="1" x14ac:dyDescent="0.2">
      <c r="A2010" s="26"/>
      <c r="B2010" s="14" t="str">
        <f>IF(A2010="","",_xlfn.XLOOKUP(A2010,'DISPATCH SHEET'!B$3:B$121,'DISPATCH SHEET'!C$3:C$121,""))</f>
        <v/>
      </c>
      <c r="C2010" s="14" t="str">
        <f>IF(ISBLANK(A2010),"",_xlfn.XLOOKUP(A2010,'DISPATCH SHEET'!C$3:C$121,'DISPATCH SHEET'!#REF!,""))</f>
        <v/>
      </c>
      <c r="D2010" s="26"/>
      <c r="E2010" s="26"/>
      <c r="F2010" s="26"/>
      <c r="G2010" s="26"/>
      <c r="H2010" s="26"/>
      <c r="I2010" s="26"/>
      <c r="J2010" s="26"/>
      <c r="K2010" s="26"/>
    </row>
    <row r="2011" spans="1:11" s="5" customFormat="1" ht="15" customHeight="1" x14ac:dyDescent="0.2">
      <c r="A2011" s="26"/>
      <c r="B2011" s="14" t="str">
        <f>IF(A2011="","",_xlfn.XLOOKUP(A2011,'DISPATCH SHEET'!B$3:B$121,'DISPATCH SHEET'!C$3:C$121,""))</f>
        <v/>
      </c>
      <c r="C2011" s="14" t="str">
        <f>IF(ISBLANK(A2011),"",_xlfn.XLOOKUP(A2011,'DISPATCH SHEET'!C$3:C$121,'DISPATCH SHEET'!#REF!,""))</f>
        <v/>
      </c>
      <c r="D2011" s="26"/>
      <c r="E2011" s="26"/>
      <c r="F2011" s="26"/>
      <c r="G2011" s="26"/>
      <c r="H2011" s="26"/>
      <c r="I2011" s="26"/>
      <c r="J2011" s="26"/>
      <c r="K2011" s="26"/>
    </row>
    <row r="2012" spans="1:11" s="5" customFormat="1" ht="15" customHeight="1" x14ac:dyDescent="0.2">
      <c r="A2012" s="26"/>
      <c r="B2012" s="14" t="str">
        <f>IF(A2012="","",_xlfn.XLOOKUP(A2012,'DISPATCH SHEET'!B$3:B$121,'DISPATCH SHEET'!C$3:C$121,""))</f>
        <v/>
      </c>
      <c r="C2012" s="14" t="str">
        <f>IF(ISBLANK(A2012),"",_xlfn.XLOOKUP(A2012,'DISPATCH SHEET'!C$3:C$121,'DISPATCH SHEET'!#REF!,""))</f>
        <v/>
      </c>
      <c r="D2012" s="26"/>
      <c r="E2012" s="26"/>
      <c r="F2012" s="26"/>
      <c r="G2012" s="26"/>
      <c r="H2012" s="26"/>
      <c r="I2012" s="26"/>
      <c r="J2012" s="26"/>
      <c r="K2012" s="26"/>
    </row>
    <row r="2013" spans="1:11" s="5" customFormat="1" ht="15" customHeight="1" x14ac:dyDescent="0.2">
      <c r="A2013" s="26"/>
      <c r="B2013" s="14" t="str">
        <f>IF(A2013="","",_xlfn.XLOOKUP(A2013,'DISPATCH SHEET'!B$3:B$121,'DISPATCH SHEET'!C$3:C$121,""))</f>
        <v/>
      </c>
      <c r="C2013" s="14" t="str">
        <f>IF(ISBLANK(A2013),"",_xlfn.XLOOKUP(A2013,'DISPATCH SHEET'!C$3:C$121,'DISPATCH SHEET'!#REF!,""))</f>
        <v/>
      </c>
      <c r="D2013" s="26"/>
      <c r="E2013" s="26"/>
      <c r="F2013" s="26"/>
      <c r="G2013" s="26"/>
      <c r="H2013" s="26"/>
      <c r="I2013" s="26"/>
      <c r="J2013" s="26"/>
      <c r="K2013" s="26"/>
    </row>
    <row r="2014" spans="1:11" s="5" customFormat="1" ht="15" customHeight="1" x14ac:dyDescent="0.2">
      <c r="A2014" s="26"/>
      <c r="B2014" s="14" t="str">
        <f>IF(A2014="","",_xlfn.XLOOKUP(A2014,'DISPATCH SHEET'!B$3:B$121,'DISPATCH SHEET'!C$3:C$121,""))</f>
        <v/>
      </c>
      <c r="C2014" s="14" t="str">
        <f>IF(ISBLANK(A2014),"",_xlfn.XLOOKUP(A2014,'DISPATCH SHEET'!C$3:C$121,'DISPATCH SHEET'!#REF!,""))</f>
        <v/>
      </c>
      <c r="D2014" s="26"/>
      <c r="E2014" s="26"/>
      <c r="F2014" s="26"/>
      <c r="G2014" s="26"/>
      <c r="H2014" s="26"/>
      <c r="I2014" s="26"/>
      <c r="J2014" s="26"/>
      <c r="K2014" s="26"/>
    </row>
    <row r="2015" spans="1:11" s="5" customFormat="1" ht="15" customHeight="1" x14ac:dyDescent="0.2">
      <c r="A2015" s="26"/>
      <c r="B2015" s="14" t="str">
        <f>IF(A2015="","",_xlfn.XLOOKUP(A2015,'DISPATCH SHEET'!B$3:B$121,'DISPATCH SHEET'!C$3:C$121,""))</f>
        <v/>
      </c>
      <c r="C2015" s="14" t="str">
        <f>IF(ISBLANK(A2015),"",_xlfn.XLOOKUP(A2015,'DISPATCH SHEET'!C$3:C$121,'DISPATCH SHEET'!#REF!,""))</f>
        <v/>
      </c>
      <c r="D2015" s="26"/>
      <c r="E2015" s="26"/>
      <c r="F2015" s="26"/>
      <c r="G2015" s="26"/>
      <c r="H2015" s="26"/>
      <c r="I2015" s="26"/>
      <c r="J2015" s="26"/>
      <c r="K2015" s="26"/>
    </row>
    <row r="2016" spans="1:11" s="5" customFormat="1" ht="15" customHeight="1" x14ac:dyDescent="0.2">
      <c r="A2016" s="26"/>
      <c r="B2016" s="14" t="str">
        <f>IF(A2016="","",_xlfn.XLOOKUP(A2016,'DISPATCH SHEET'!B$3:B$121,'DISPATCH SHEET'!C$3:C$121,""))</f>
        <v/>
      </c>
      <c r="C2016" s="14" t="str">
        <f>IF(ISBLANK(A2016),"",_xlfn.XLOOKUP(A2016,'DISPATCH SHEET'!C$3:C$121,'DISPATCH SHEET'!#REF!,""))</f>
        <v/>
      </c>
      <c r="D2016" s="26"/>
      <c r="E2016" s="26"/>
      <c r="F2016" s="26"/>
      <c r="G2016" s="26"/>
      <c r="H2016" s="26"/>
      <c r="I2016" s="26"/>
      <c r="J2016" s="26"/>
      <c r="K2016" s="26"/>
    </row>
    <row r="2017" spans="1:11" s="5" customFormat="1" ht="15" customHeight="1" x14ac:dyDescent="0.2">
      <c r="A2017" s="26"/>
      <c r="B2017" s="14" t="str">
        <f>IF(A2017="","",_xlfn.XLOOKUP(A2017,'DISPATCH SHEET'!B$3:B$121,'DISPATCH SHEET'!C$3:C$121,""))</f>
        <v/>
      </c>
      <c r="C2017" s="14" t="str">
        <f>IF(ISBLANK(A2017),"",_xlfn.XLOOKUP(A2017,'DISPATCH SHEET'!C$3:C$121,'DISPATCH SHEET'!#REF!,""))</f>
        <v/>
      </c>
      <c r="D2017" s="26"/>
      <c r="E2017" s="26"/>
      <c r="F2017" s="26"/>
      <c r="G2017" s="26"/>
      <c r="H2017" s="26"/>
      <c r="I2017" s="26"/>
      <c r="J2017" s="26"/>
      <c r="K2017" s="26"/>
    </row>
    <row r="2018" spans="1:11" s="5" customFormat="1" ht="15" customHeight="1" x14ac:dyDescent="0.2">
      <c r="A2018" s="26"/>
      <c r="B2018" s="14" t="str">
        <f>IF(A2018="","",_xlfn.XLOOKUP(A2018,'DISPATCH SHEET'!B$3:B$121,'DISPATCH SHEET'!C$3:C$121,""))</f>
        <v/>
      </c>
      <c r="C2018" s="14" t="str">
        <f>IF(ISBLANK(A2018),"",_xlfn.XLOOKUP(A2018,'DISPATCH SHEET'!C$3:C$121,'DISPATCH SHEET'!#REF!,""))</f>
        <v/>
      </c>
      <c r="D2018" s="26"/>
      <c r="E2018" s="26"/>
      <c r="F2018" s="26"/>
      <c r="G2018" s="26"/>
      <c r="H2018" s="26"/>
      <c r="I2018" s="26"/>
      <c r="J2018" s="26"/>
      <c r="K2018" s="26"/>
    </row>
    <row r="2019" spans="1:11" s="5" customFormat="1" ht="15" customHeight="1" x14ac:dyDescent="0.2">
      <c r="A2019" s="26"/>
      <c r="B2019" s="14" t="str">
        <f>IF(A2019="","",_xlfn.XLOOKUP(A2019,'DISPATCH SHEET'!B$3:B$121,'DISPATCH SHEET'!C$3:C$121,""))</f>
        <v/>
      </c>
      <c r="C2019" s="14" t="str">
        <f>IF(ISBLANK(A2019),"",_xlfn.XLOOKUP(A2019,'DISPATCH SHEET'!C$3:C$121,'DISPATCH SHEET'!#REF!,""))</f>
        <v/>
      </c>
      <c r="D2019" s="26"/>
      <c r="E2019" s="26"/>
      <c r="F2019" s="26"/>
      <c r="G2019" s="26"/>
      <c r="H2019" s="26"/>
      <c r="I2019" s="26"/>
      <c r="J2019" s="26"/>
      <c r="K2019" s="26"/>
    </row>
    <row r="2020" spans="1:11" s="5" customFormat="1" ht="15" customHeight="1" x14ac:dyDescent="0.2">
      <c r="A2020" s="26"/>
      <c r="B2020" s="14" t="str">
        <f>IF(A2020="","",_xlfn.XLOOKUP(A2020,'DISPATCH SHEET'!B$3:B$121,'DISPATCH SHEET'!C$3:C$121,""))</f>
        <v/>
      </c>
      <c r="C2020" s="14" t="str">
        <f>IF(ISBLANK(A2020),"",_xlfn.XLOOKUP(A2020,'DISPATCH SHEET'!C$3:C$121,'DISPATCH SHEET'!#REF!,""))</f>
        <v/>
      </c>
      <c r="D2020" s="26"/>
      <c r="E2020" s="26"/>
      <c r="F2020" s="26"/>
      <c r="G2020" s="26"/>
      <c r="H2020" s="26"/>
      <c r="I2020" s="26"/>
      <c r="J2020" s="26"/>
      <c r="K2020" s="26"/>
    </row>
    <row r="2021" spans="1:11" s="5" customFormat="1" ht="15" customHeight="1" x14ac:dyDescent="0.2">
      <c r="A2021" s="26"/>
      <c r="B2021" s="14" t="str">
        <f>IF(A2021="","",_xlfn.XLOOKUP(A2021,'DISPATCH SHEET'!B$3:B$121,'DISPATCH SHEET'!C$3:C$121,""))</f>
        <v/>
      </c>
      <c r="C2021" s="14" t="str">
        <f>IF(ISBLANK(A2021),"",_xlfn.XLOOKUP(A2021,'DISPATCH SHEET'!C$3:C$121,'DISPATCH SHEET'!#REF!,""))</f>
        <v/>
      </c>
      <c r="D2021" s="26"/>
      <c r="E2021" s="26"/>
      <c r="F2021" s="26"/>
      <c r="G2021" s="26"/>
      <c r="H2021" s="26"/>
      <c r="I2021" s="26"/>
      <c r="J2021" s="26"/>
      <c r="K2021" s="26"/>
    </row>
    <row r="2022" spans="1:11" s="5" customFormat="1" ht="15" customHeight="1" x14ac:dyDescent="0.2">
      <c r="A2022" s="26"/>
      <c r="B2022" s="14" t="str">
        <f>IF(A2022="","",_xlfn.XLOOKUP(A2022,'DISPATCH SHEET'!B$3:B$121,'DISPATCH SHEET'!C$3:C$121,""))</f>
        <v/>
      </c>
      <c r="C2022" s="14" t="str">
        <f>IF(ISBLANK(A2022),"",_xlfn.XLOOKUP(A2022,'DISPATCH SHEET'!C$3:C$121,'DISPATCH SHEET'!#REF!,""))</f>
        <v/>
      </c>
      <c r="D2022" s="26"/>
      <c r="E2022" s="26"/>
      <c r="F2022" s="26"/>
      <c r="G2022" s="26"/>
      <c r="H2022" s="26"/>
      <c r="I2022" s="26"/>
      <c r="J2022" s="26"/>
      <c r="K2022" s="26"/>
    </row>
    <row r="2023" spans="1:11" s="5" customFormat="1" ht="15" customHeight="1" x14ac:dyDescent="0.2">
      <c r="A2023" s="26"/>
      <c r="B2023" s="14" t="str">
        <f>IF(A2023="","",_xlfn.XLOOKUP(A2023,'DISPATCH SHEET'!B$3:B$121,'DISPATCH SHEET'!C$3:C$121,""))</f>
        <v/>
      </c>
      <c r="C2023" s="14" t="str">
        <f>IF(ISBLANK(A2023),"",_xlfn.XLOOKUP(A2023,'DISPATCH SHEET'!C$3:C$121,'DISPATCH SHEET'!#REF!,""))</f>
        <v/>
      </c>
      <c r="D2023" s="26"/>
      <c r="E2023" s="26"/>
      <c r="F2023" s="26"/>
      <c r="G2023" s="26"/>
      <c r="H2023" s="26"/>
      <c r="I2023" s="26"/>
      <c r="J2023" s="26"/>
      <c r="K2023" s="26"/>
    </row>
    <row r="2024" spans="1:11" s="5" customFormat="1" ht="15" customHeight="1" x14ac:dyDescent="0.2">
      <c r="A2024" s="26"/>
      <c r="B2024" s="14" t="str">
        <f>IF(A2024="","",_xlfn.XLOOKUP(A2024,'DISPATCH SHEET'!B$3:B$121,'DISPATCH SHEET'!C$3:C$121,""))</f>
        <v/>
      </c>
      <c r="C2024" s="14" t="str">
        <f>IF(ISBLANK(A2024),"",_xlfn.XLOOKUP(A2024,'DISPATCH SHEET'!C$3:C$121,'DISPATCH SHEET'!#REF!,""))</f>
        <v/>
      </c>
      <c r="D2024" s="26"/>
      <c r="E2024" s="26"/>
      <c r="F2024" s="26"/>
      <c r="G2024" s="26"/>
      <c r="H2024" s="26"/>
      <c r="I2024" s="26"/>
      <c r="J2024" s="26"/>
      <c r="K2024" s="26"/>
    </row>
    <row r="2025" spans="1:11" s="5" customFormat="1" ht="15" customHeight="1" x14ac:dyDescent="0.2">
      <c r="A2025" s="26"/>
      <c r="B2025" s="14" t="str">
        <f>IF(A2025="","",_xlfn.XLOOKUP(A2025,'DISPATCH SHEET'!B$3:B$121,'DISPATCH SHEET'!C$3:C$121,""))</f>
        <v/>
      </c>
      <c r="C2025" s="14" t="str">
        <f>IF(ISBLANK(A2025),"",_xlfn.XLOOKUP(A2025,'DISPATCH SHEET'!C$3:C$121,'DISPATCH SHEET'!#REF!,""))</f>
        <v/>
      </c>
      <c r="D2025" s="26"/>
      <c r="E2025" s="26"/>
      <c r="F2025" s="26"/>
      <c r="G2025" s="26"/>
      <c r="H2025" s="26"/>
      <c r="I2025" s="26"/>
      <c r="J2025" s="26"/>
      <c r="K2025" s="26"/>
    </row>
    <row r="2026" spans="1:11" s="5" customFormat="1" ht="15" customHeight="1" x14ac:dyDescent="0.2">
      <c r="A2026" s="26"/>
      <c r="B2026" s="14" t="str">
        <f>IF(A2026="","",_xlfn.XLOOKUP(A2026,'DISPATCH SHEET'!B$3:B$121,'DISPATCH SHEET'!C$3:C$121,""))</f>
        <v/>
      </c>
      <c r="C2026" s="14" t="str">
        <f>IF(ISBLANK(A2026),"",_xlfn.XLOOKUP(A2026,'DISPATCH SHEET'!C$3:C$121,'DISPATCH SHEET'!#REF!,""))</f>
        <v/>
      </c>
      <c r="D2026" s="26"/>
      <c r="E2026" s="26"/>
      <c r="F2026" s="26"/>
      <c r="G2026" s="26"/>
      <c r="H2026" s="26"/>
      <c r="I2026" s="26"/>
      <c r="J2026" s="26"/>
      <c r="K2026" s="26"/>
    </row>
    <row r="2027" spans="1:11" s="5" customFormat="1" ht="15" customHeight="1" x14ac:dyDescent="0.2">
      <c r="A2027" s="26"/>
      <c r="B2027" s="14" t="str">
        <f>IF(A2027="","",_xlfn.XLOOKUP(A2027,'DISPATCH SHEET'!B$3:B$121,'DISPATCH SHEET'!C$3:C$121,""))</f>
        <v/>
      </c>
      <c r="C2027" s="14" t="str">
        <f>IF(ISBLANK(A2027),"",_xlfn.XLOOKUP(A2027,'DISPATCH SHEET'!C$3:C$121,'DISPATCH SHEET'!#REF!,""))</f>
        <v/>
      </c>
      <c r="D2027" s="26"/>
      <c r="E2027" s="26"/>
      <c r="F2027" s="26"/>
      <c r="G2027" s="26"/>
      <c r="H2027" s="26"/>
      <c r="I2027" s="26"/>
      <c r="J2027" s="26"/>
      <c r="K2027" s="26"/>
    </row>
    <row r="2028" spans="1:11" s="5" customFormat="1" ht="15" customHeight="1" x14ac:dyDescent="0.2">
      <c r="A2028" s="26"/>
      <c r="B2028" s="14" t="str">
        <f>IF(A2028="","",_xlfn.XLOOKUP(A2028,'DISPATCH SHEET'!B$3:B$121,'DISPATCH SHEET'!C$3:C$121,""))</f>
        <v/>
      </c>
      <c r="C2028" s="14" t="str">
        <f>IF(ISBLANK(A2028),"",_xlfn.XLOOKUP(A2028,'DISPATCH SHEET'!C$3:C$121,'DISPATCH SHEET'!#REF!,""))</f>
        <v/>
      </c>
      <c r="D2028" s="26"/>
      <c r="E2028" s="26"/>
      <c r="F2028" s="26"/>
      <c r="G2028" s="26"/>
      <c r="H2028" s="26"/>
      <c r="I2028" s="26"/>
      <c r="J2028" s="26"/>
      <c r="K2028" s="26"/>
    </row>
    <row r="2029" spans="1:11" s="5" customFormat="1" ht="15" customHeight="1" x14ac:dyDescent="0.2">
      <c r="A2029" s="26"/>
      <c r="B2029" s="14" t="str">
        <f>IF(A2029="","",_xlfn.XLOOKUP(A2029,'DISPATCH SHEET'!B$3:B$121,'DISPATCH SHEET'!C$3:C$121,""))</f>
        <v/>
      </c>
      <c r="C2029" s="14" t="str">
        <f>IF(ISBLANK(A2029),"",_xlfn.XLOOKUP(A2029,'DISPATCH SHEET'!C$3:C$121,'DISPATCH SHEET'!#REF!,""))</f>
        <v/>
      </c>
      <c r="D2029" s="26"/>
      <c r="E2029" s="26"/>
      <c r="F2029" s="26"/>
      <c r="G2029" s="26"/>
      <c r="H2029" s="26"/>
      <c r="I2029" s="26"/>
      <c r="J2029" s="26"/>
      <c r="K2029" s="26"/>
    </row>
    <row r="2030" spans="1:11" s="5" customFormat="1" ht="15" customHeight="1" x14ac:dyDescent="0.2">
      <c r="A2030" s="26"/>
      <c r="B2030" s="14" t="str">
        <f>IF(A2030="","",_xlfn.XLOOKUP(A2030,'DISPATCH SHEET'!B$3:B$121,'DISPATCH SHEET'!C$3:C$121,""))</f>
        <v/>
      </c>
      <c r="C2030" s="14" t="str">
        <f>IF(ISBLANK(A2030),"",_xlfn.XLOOKUP(A2030,'DISPATCH SHEET'!C$3:C$121,'DISPATCH SHEET'!#REF!,""))</f>
        <v/>
      </c>
      <c r="D2030" s="26"/>
      <c r="E2030" s="26"/>
      <c r="F2030" s="26"/>
      <c r="G2030" s="26"/>
      <c r="H2030" s="26"/>
      <c r="I2030" s="26"/>
      <c r="J2030" s="26"/>
      <c r="K2030" s="26"/>
    </row>
    <row r="2031" spans="1:11" s="5" customFormat="1" ht="15" customHeight="1" x14ac:dyDescent="0.2">
      <c r="A2031" s="26"/>
      <c r="B2031" s="14" t="str">
        <f>IF(A2031="","",_xlfn.XLOOKUP(A2031,'DISPATCH SHEET'!B$3:B$121,'DISPATCH SHEET'!C$3:C$121,""))</f>
        <v/>
      </c>
      <c r="C2031" s="14" t="str">
        <f>IF(ISBLANK(A2031),"",_xlfn.XLOOKUP(A2031,'DISPATCH SHEET'!C$3:C$121,'DISPATCH SHEET'!#REF!,""))</f>
        <v/>
      </c>
      <c r="D2031" s="26"/>
      <c r="E2031" s="26"/>
      <c r="F2031" s="26"/>
      <c r="G2031" s="26"/>
      <c r="H2031" s="26"/>
      <c r="I2031" s="26"/>
      <c r="J2031" s="26"/>
      <c r="K2031" s="26"/>
    </row>
    <row r="2032" spans="1:11" s="5" customFormat="1" ht="15" customHeight="1" x14ac:dyDescent="0.2">
      <c r="A2032" s="26"/>
      <c r="B2032" s="14" t="str">
        <f>IF(A2032="","",_xlfn.XLOOKUP(A2032,'DISPATCH SHEET'!B$3:B$121,'DISPATCH SHEET'!C$3:C$121,""))</f>
        <v/>
      </c>
      <c r="C2032" s="14" t="str">
        <f>IF(ISBLANK(A2032),"",_xlfn.XLOOKUP(A2032,'DISPATCH SHEET'!C$3:C$121,'DISPATCH SHEET'!#REF!,""))</f>
        <v/>
      </c>
      <c r="D2032" s="26"/>
      <c r="E2032" s="26"/>
      <c r="F2032" s="26"/>
      <c r="G2032" s="26"/>
      <c r="H2032" s="26"/>
      <c r="I2032" s="26"/>
      <c r="J2032" s="26"/>
      <c r="K2032" s="26"/>
    </row>
    <row r="2033" spans="1:11" s="5" customFormat="1" ht="15" customHeight="1" x14ac:dyDescent="0.2">
      <c r="A2033" s="26"/>
      <c r="B2033" s="14" t="str">
        <f>IF(A2033="","",_xlfn.XLOOKUP(A2033,'DISPATCH SHEET'!B$3:B$121,'DISPATCH SHEET'!C$3:C$121,""))</f>
        <v/>
      </c>
      <c r="C2033" s="14" t="str">
        <f>IF(ISBLANK(A2033),"",_xlfn.XLOOKUP(A2033,'DISPATCH SHEET'!C$3:C$121,'DISPATCH SHEET'!#REF!,""))</f>
        <v/>
      </c>
      <c r="D2033" s="26"/>
      <c r="E2033" s="26"/>
      <c r="F2033" s="26"/>
      <c r="G2033" s="26"/>
      <c r="H2033" s="26"/>
      <c r="I2033" s="26"/>
      <c r="J2033" s="26"/>
      <c r="K2033" s="26"/>
    </row>
    <row r="2034" spans="1:11" s="5" customFormat="1" ht="15" customHeight="1" x14ac:dyDescent="0.2">
      <c r="A2034" s="26"/>
      <c r="B2034" s="14" t="str">
        <f>IF(A2034="","",_xlfn.XLOOKUP(A2034,'DISPATCH SHEET'!B$3:B$121,'DISPATCH SHEET'!C$3:C$121,""))</f>
        <v/>
      </c>
      <c r="C2034" s="14" t="str">
        <f>IF(ISBLANK(A2034),"",_xlfn.XLOOKUP(A2034,'DISPATCH SHEET'!C$3:C$121,'DISPATCH SHEET'!#REF!,""))</f>
        <v/>
      </c>
      <c r="D2034" s="26"/>
      <c r="E2034" s="26"/>
      <c r="F2034" s="26"/>
      <c r="G2034" s="26"/>
      <c r="H2034" s="26"/>
      <c r="I2034" s="26"/>
      <c r="J2034" s="26"/>
      <c r="K2034" s="26"/>
    </row>
    <row r="2035" spans="1:11" s="5" customFormat="1" ht="15" customHeight="1" x14ac:dyDescent="0.2">
      <c r="A2035" s="26"/>
      <c r="B2035" s="14" t="str">
        <f>IF(A2035="","",_xlfn.XLOOKUP(A2035,'DISPATCH SHEET'!B$3:B$121,'DISPATCH SHEET'!C$3:C$121,""))</f>
        <v/>
      </c>
      <c r="C2035" s="14" t="str">
        <f>IF(ISBLANK(A2035),"",_xlfn.XLOOKUP(A2035,'DISPATCH SHEET'!C$3:C$121,'DISPATCH SHEET'!#REF!,""))</f>
        <v/>
      </c>
      <c r="D2035" s="26"/>
      <c r="E2035" s="26"/>
      <c r="F2035" s="26"/>
      <c r="G2035" s="26"/>
      <c r="H2035" s="26"/>
      <c r="I2035" s="26"/>
      <c r="J2035" s="26"/>
      <c r="K2035" s="26"/>
    </row>
    <row r="2036" spans="1:11" s="5" customFormat="1" ht="15" customHeight="1" x14ac:dyDescent="0.2">
      <c r="A2036" s="26"/>
      <c r="B2036" s="14" t="str">
        <f>IF(A2036="","",_xlfn.XLOOKUP(A2036,'DISPATCH SHEET'!B$3:B$121,'DISPATCH SHEET'!C$3:C$121,""))</f>
        <v/>
      </c>
      <c r="C2036" s="14" t="str">
        <f>IF(ISBLANK(A2036),"",_xlfn.XLOOKUP(A2036,'DISPATCH SHEET'!C$3:C$121,'DISPATCH SHEET'!#REF!,""))</f>
        <v/>
      </c>
      <c r="D2036" s="26"/>
      <c r="E2036" s="26"/>
      <c r="F2036" s="26"/>
      <c r="G2036" s="26"/>
      <c r="H2036" s="26"/>
      <c r="I2036" s="26"/>
      <c r="J2036" s="26"/>
      <c r="K2036" s="26"/>
    </row>
    <row r="2037" spans="1:11" s="5" customFormat="1" ht="15" customHeight="1" x14ac:dyDescent="0.2">
      <c r="A2037" s="26"/>
      <c r="B2037" s="14" t="str">
        <f>IF(A2037="","",_xlfn.XLOOKUP(A2037,'DISPATCH SHEET'!B$3:B$121,'DISPATCH SHEET'!C$3:C$121,""))</f>
        <v/>
      </c>
      <c r="C2037" s="14" t="str">
        <f>IF(ISBLANK(A2037),"",_xlfn.XLOOKUP(A2037,'DISPATCH SHEET'!C$3:C$121,'DISPATCH SHEET'!#REF!,""))</f>
        <v/>
      </c>
      <c r="D2037" s="26"/>
      <c r="E2037" s="26"/>
      <c r="F2037" s="26"/>
      <c r="G2037" s="26"/>
      <c r="H2037" s="26"/>
      <c r="I2037" s="26"/>
      <c r="J2037" s="26"/>
      <c r="K2037" s="26"/>
    </row>
    <row r="2038" spans="1:11" s="5" customFormat="1" ht="15" customHeight="1" x14ac:dyDescent="0.2">
      <c r="A2038" s="26"/>
      <c r="B2038" s="14" t="str">
        <f>IF(A2038="","",_xlfn.XLOOKUP(A2038,'DISPATCH SHEET'!B$3:B$121,'DISPATCH SHEET'!C$3:C$121,""))</f>
        <v/>
      </c>
      <c r="C2038" s="14" t="str">
        <f>IF(ISBLANK(A2038),"",_xlfn.XLOOKUP(A2038,'DISPATCH SHEET'!C$3:C$121,'DISPATCH SHEET'!#REF!,""))</f>
        <v/>
      </c>
      <c r="D2038" s="26"/>
      <c r="E2038" s="26"/>
      <c r="F2038" s="26"/>
      <c r="G2038" s="26"/>
      <c r="H2038" s="26"/>
      <c r="I2038" s="26"/>
      <c r="J2038" s="26"/>
      <c r="K2038" s="26"/>
    </row>
    <row r="2039" spans="1:11" s="5" customFormat="1" ht="15" customHeight="1" x14ac:dyDescent="0.2">
      <c r="A2039" s="26"/>
      <c r="B2039" s="14" t="str">
        <f>IF(A2039="","",_xlfn.XLOOKUP(A2039,'DISPATCH SHEET'!B$3:B$121,'DISPATCH SHEET'!C$3:C$121,""))</f>
        <v/>
      </c>
      <c r="C2039" s="14" t="str">
        <f>IF(ISBLANK(A2039),"",_xlfn.XLOOKUP(A2039,'DISPATCH SHEET'!C$3:C$121,'DISPATCH SHEET'!#REF!,""))</f>
        <v/>
      </c>
      <c r="D2039" s="26"/>
      <c r="E2039" s="26"/>
      <c r="F2039" s="26"/>
      <c r="G2039" s="26"/>
      <c r="H2039" s="26"/>
      <c r="I2039" s="26"/>
      <c r="J2039" s="26"/>
      <c r="K2039" s="26"/>
    </row>
    <row r="2040" spans="1:11" s="5" customFormat="1" ht="15" customHeight="1" x14ac:dyDescent="0.2">
      <c r="A2040" s="26"/>
      <c r="B2040" s="14" t="str">
        <f>IF(A2040="","",_xlfn.XLOOKUP(A2040,'DISPATCH SHEET'!B$3:B$121,'DISPATCH SHEET'!C$3:C$121,""))</f>
        <v/>
      </c>
      <c r="C2040" s="14" t="str">
        <f>IF(ISBLANK(A2040),"",_xlfn.XLOOKUP(A2040,'DISPATCH SHEET'!C$3:C$121,'DISPATCH SHEET'!#REF!,""))</f>
        <v/>
      </c>
      <c r="D2040" s="26"/>
      <c r="E2040" s="26"/>
      <c r="F2040" s="26"/>
      <c r="G2040" s="26"/>
      <c r="H2040" s="26"/>
      <c r="I2040" s="26"/>
      <c r="J2040" s="26"/>
      <c r="K2040" s="26"/>
    </row>
    <row r="2041" spans="1:11" s="5" customFormat="1" ht="15" customHeight="1" x14ac:dyDescent="0.2">
      <c r="A2041" s="26"/>
      <c r="B2041" s="14" t="str">
        <f>IF(A2041="","",_xlfn.XLOOKUP(A2041,'DISPATCH SHEET'!B$3:B$121,'DISPATCH SHEET'!C$3:C$121,""))</f>
        <v/>
      </c>
      <c r="C2041" s="14" t="str">
        <f>IF(ISBLANK(A2041),"",_xlfn.XLOOKUP(A2041,'DISPATCH SHEET'!C$3:C$121,'DISPATCH SHEET'!#REF!,""))</f>
        <v/>
      </c>
      <c r="D2041" s="26"/>
      <c r="E2041" s="26"/>
      <c r="F2041" s="26"/>
      <c r="G2041" s="26"/>
      <c r="H2041" s="26"/>
      <c r="I2041" s="26"/>
      <c r="J2041" s="26"/>
      <c r="K2041" s="26"/>
    </row>
    <row r="2042" spans="1:11" x14ac:dyDescent="0.2">
      <c r="B2042" s="14" t="str">
        <f>IF(A2042="","",_xlfn.XLOOKUP(A2042,'DISPATCH SHEET'!B$3:B$121,'DISPATCH SHEET'!C$3:C$121,""))</f>
        <v/>
      </c>
      <c r="C2042" s="14" t="str">
        <f>IF(ISBLANK(A2042),"",_xlfn.XLOOKUP(A2042,'DISPATCH SHEET'!C$3:C$121,'DISPATCH SHEET'!#REF!,""))</f>
        <v/>
      </c>
    </row>
    <row r="2043" spans="1:11" x14ac:dyDescent="0.2">
      <c r="B2043" s="14" t="str">
        <f>IF(A2043="","",_xlfn.XLOOKUP(A2043,'DISPATCH SHEET'!B$3:B$121,'DISPATCH SHEET'!C$3:C$121,""))</f>
        <v/>
      </c>
      <c r="C2043" s="14" t="str">
        <f>IF(ISBLANK(A2043),"",_xlfn.XLOOKUP(A2043,'DISPATCH SHEET'!C$3:C$121,'DISPATCH SHEET'!#REF!,""))</f>
        <v/>
      </c>
    </row>
    <row r="2044" spans="1:11" x14ac:dyDescent="0.2">
      <c r="B2044" s="14" t="str">
        <f>IF(A2044="","",_xlfn.XLOOKUP(A2044,'DISPATCH SHEET'!B$3:B$121,'DISPATCH SHEET'!C$3:C$121,""))</f>
        <v/>
      </c>
      <c r="C2044" s="14" t="str">
        <f>IF(ISBLANK(A2044),"",_xlfn.XLOOKUP(A2044,'DISPATCH SHEET'!C$3:C$121,'DISPATCH SHEET'!#REF!,""))</f>
        <v/>
      </c>
    </row>
    <row r="2045" spans="1:11" x14ac:dyDescent="0.2">
      <c r="B2045" s="14" t="str">
        <f>IF(A2045="","",_xlfn.XLOOKUP(A2045,'DISPATCH SHEET'!B$3:B$121,'DISPATCH SHEET'!C$3:C$121,""))</f>
        <v/>
      </c>
      <c r="C2045" s="14" t="str">
        <f>IF(ISBLANK(A2045),"",_xlfn.XLOOKUP(A2045,'DISPATCH SHEET'!C$3:C$121,'DISPATCH SHEET'!#REF!,""))</f>
        <v/>
      </c>
    </row>
    <row r="2046" spans="1:11" x14ac:dyDescent="0.2">
      <c r="B2046" s="14" t="str">
        <f>IF(A2046="","",_xlfn.XLOOKUP(A2046,'DISPATCH SHEET'!B$3:B$121,'DISPATCH SHEET'!C$3:C$121,""))</f>
        <v/>
      </c>
      <c r="C2046" s="14" t="str">
        <f>IF(ISBLANK(A2046),"",_xlfn.XLOOKUP(A2046,'DISPATCH SHEET'!C$3:C$121,'DISPATCH SHEET'!#REF!,""))</f>
        <v/>
      </c>
    </row>
    <row r="2047" spans="1:11" x14ac:dyDescent="0.2">
      <c r="B2047" s="14" t="str">
        <f>IF(A2047="","",_xlfn.XLOOKUP(A2047,'DISPATCH SHEET'!B$3:B$121,'DISPATCH SHEET'!C$3:C$121,""))</f>
        <v/>
      </c>
      <c r="C2047" s="14" t="str">
        <f>IF(ISBLANK(A2047),"",_xlfn.XLOOKUP(A2047,'DISPATCH SHEET'!C$3:C$121,'DISPATCH SHEET'!#REF!,""))</f>
        <v/>
      </c>
    </row>
    <row r="2048" spans="1:11" x14ac:dyDescent="0.2">
      <c r="B2048" s="14" t="str">
        <f>IF(A2048="","",_xlfn.XLOOKUP(A2048,'DISPATCH SHEET'!B$3:B$121,'DISPATCH SHEET'!C$3:C$121,""))</f>
        <v/>
      </c>
      <c r="C2048" s="14" t="str">
        <f>IF(ISBLANK(A2048),"",_xlfn.XLOOKUP(A2048,'DISPATCH SHEET'!C$3:C$121,'DISPATCH SHEET'!#REF!,""))</f>
        <v/>
      </c>
    </row>
    <row r="2049" spans="2:3" x14ac:dyDescent="0.2">
      <c r="B2049" s="14" t="str">
        <f>IF(A2049="","",_xlfn.XLOOKUP(A2049,'DISPATCH SHEET'!B$3:B$121,'DISPATCH SHEET'!C$3:C$121,""))</f>
        <v/>
      </c>
      <c r="C2049" s="14" t="str">
        <f>IF(ISBLANK(A2049),"",_xlfn.XLOOKUP(A2049,'DISPATCH SHEET'!C$3:C$121,'DISPATCH SHEET'!#REF!,""))</f>
        <v/>
      </c>
    </row>
    <row r="2050" spans="2:3" x14ac:dyDescent="0.2">
      <c r="B2050" s="14" t="str">
        <f>IF(A2050="","",_xlfn.XLOOKUP(A2050,'DISPATCH SHEET'!B$3:B$121,'DISPATCH SHEET'!C$3:C$121,""))</f>
        <v/>
      </c>
      <c r="C2050" s="14" t="str">
        <f>IF(ISBLANK(A2050),"",_xlfn.XLOOKUP(A2050,'DISPATCH SHEET'!C$3:C$121,'DISPATCH SHEET'!#REF!,""))</f>
        <v/>
      </c>
    </row>
    <row r="2051" spans="2:3" x14ac:dyDescent="0.2">
      <c r="B2051" s="14" t="str">
        <f>IF(A2051="","",_xlfn.XLOOKUP(A2051,'DISPATCH SHEET'!B$3:B$121,'DISPATCH SHEET'!C$3:C$121,""))</f>
        <v/>
      </c>
      <c r="C2051" s="14" t="str">
        <f>IF(ISBLANK(A2051),"",_xlfn.XLOOKUP(A2051,'DISPATCH SHEET'!C$3:C$121,'DISPATCH SHEET'!#REF!,""))</f>
        <v/>
      </c>
    </row>
    <row r="2052" spans="2:3" x14ac:dyDescent="0.2">
      <c r="B2052" s="14" t="str">
        <f>IF(A2052="","",_xlfn.XLOOKUP(A2052,'DISPATCH SHEET'!B$3:B$121,'DISPATCH SHEET'!C$3:C$121,""))</f>
        <v/>
      </c>
      <c r="C2052" s="14" t="str">
        <f>IF(ISBLANK(A2052),"",_xlfn.XLOOKUP(A2052,'DISPATCH SHEET'!C$3:C$121,'DISPATCH SHEET'!#REF!,""))</f>
        <v/>
      </c>
    </row>
    <row r="2053" spans="2:3" x14ac:dyDescent="0.2">
      <c r="B2053" s="14" t="str">
        <f>IF(A2053="","",_xlfn.XLOOKUP(A2053,'DISPATCH SHEET'!B$3:B$121,'DISPATCH SHEET'!C$3:C$121,""))</f>
        <v/>
      </c>
      <c r="C2053" s="14" t="str">
        <f>IF(ISBLANK(A2053),"",_xlfn.XLOOKUP(A2053,'DISPATCH SHEET'!C$3:C$121,'DISPATCH SHEET'!#REF!,""))</f>
        <v/>
      </c>
    </row>
    <row r="2054" spans="2:3" x14ac:dyDescent="0.2">
      <c r="B2054" s="14" t="str">
        <f>IF(A2054="","",_xlfn.XLOOKUP(A2054,'DISPATCH SHEET'!B$3:B$121,'DISPATCH SHEET'!C$3:C$121,""))</f>
        <v/>
      </c>
      <c r="C2054" s="14" t="str">
        <f>IF(ISBLANK(A2054),"",_xlfn.XLOOKUP(A2054,'DISPATCH SHEET'!C$3:C$121,'DISPATCH SHEET'!#REF!,""))</f>
        <v/>
      </c>
    </row>
    <row r="2055" spans="2:3" x14ac:dyDescent="0.2">
      <c r="B2055" s="14" t="str">
        <f>IF(A2055="","",_xlfn.XLOOKUP(A2055,'DISPATCH SHEET'!B$3:B$121,'DISPATCH SHEET'!C$3:C$121,""))</f>
        <v/>
      </c>
      <c r="C2055" s="14" t="str">
        <f>IF(ISBLANK(A2055),"",_xlfn.XLOOKUP(A2055,'DISPATCH SHEET'!C$3:C$121,'DISPATCH SHEET'!#REF!,""))</f>
        <v/>
      </c>
    </row>
    <row r="2056" spans="2:3" x14ac:dyDescent="0.2">
      <c r="B2056" s="14" t="str">
        <f>IF(A2056="","",_xlfn.XLOOKUP(A2056,'DISPATCH SHEET'!B$3:B$121,'DISPATCH SHEET'!C$3:C$121,""))</f>
        <v/>
      </c>
      <c r="C2056" s="14" t="str">
        <f>IF(ISBLANK(A2056),"",_xlfn.XLOOKUP(A2056,'DISPATCH SHEET'!C$3:C$121,'DISPATCH SHEET'!#REF!,""))</f>
        <v/>
      </c>
    </row>
    <row r="2057" spans="2:3" x14ac:dyDescent="0.2">
      <c r="B2057" s="14" t="str">
        <f>IF(A2057="","",_xlfn.XLOOKUP(A2057,'DISPATCH SHEET'!B$3:B$121,'DISPATCH SHEET'!C$3:C$121,""))</f>
        <v/>
      </c>
      <c r="C2057" s="14" t="str">
        <f>IF(ISBLANK(A2057),"",_xlfn.XLOOKUP(A2057,'DISPATCH SHEET'!C$3:C$121,'DISPATCH SHEET'!#REF!,""))</f>
        <v/>
      </c>
    </row>
    <row r="2058" spans="2:3" x14ac:dyDescent="0.2">
      <c r="B2058" s="14" t="str">
        <f>IF(A2058="","",_xlfn.XLOOKUP(A2058,'DISPATCH SHEET'!B$3:B$121,'DISPATCH SHEET'!C$3:C$121,""))</f>
        <v/>
      </c>
      <c r="C2058" s="14" t="str">
        <f>IF(ISBLANK(A2058),"",_xlfn.XLOOKUP(A2058,'DISPATCH SHEET'!C$3:C$121,'DISPATCH SHEET'!#REF!,""))</f>
        <v/>
      </c>
    </row>
    <row r="2059" spans="2:3" x14ac:dyDescent="0.2">
      <c r="B2059" s="14" t="str">
        <f>IF(A2059="","",_xlfn.XLOOKUP(A2059,'DISPATCH SHEET'!B$3:B$121,'DISPATCH SHEET'!C$3:C$121,""))</f>
        <v/>
      </c>
      <c r="C2059" s="14" t="str">
        <f>IF(ISBLANK(A2059),"",_xlfn.XLOOKUP(A2059,'DISPATCH SHEET'!C$3:C$121,'DISPATCH SHEET'!#REF!,""))</f>
        <v/>
      </c>
    </row>
    <row r="2060" spans="2:3" x14ac:dyDescent="0.2">
      <c r="B2060" s="14" t="str">
        <f>IF(A2060="","",_xlfn.XLOOKUP(A2060,'DISPATCH SHEET'!B$3:B$121,'DISPATCH SHEET'!C$3:C$121,""))</f>
        <v/>
      </c>
      <c r="C2060" s="14" t="str">
        <f>IF(ISBLANK(A2060),"",_xlfn.XLOOKUP(A2060,'DISPATCH SHEET'!C$3:C$121,'DISPATCH SHEET'!#REF!,""))</f>
        <v/>
      </c>
    </row>
    <row r="2061" spans="2:3" x14ac:dyDescent="0.2">
      <c r="B2061" s="14" t="str">
        <f>IF(A2061="","",_xlfn.XLOOKUP(A2061,'DISPATCH SHEET'!B$3:B$121,'DISPATCH SHEET'!C$3:C$121,""))</f>
        <v/>
      </c>
      <c r="C2061" s="14" t="str">
        <f>IF(ISBLANK(A2061),"",_xlfn.XLOOKUP(A2061,'DISPATCH SHEET'!C$3:C$121,'DISPATCH SHEET'!#REF!,""))</f>
        <v/>
      </c>
    </row>
    <row r="2062" spans="2:3" x14ac:dyDescent="0.2">
      <c r="B2062" s="14" t="str">
        <f>IF(A2062="","",_xlfn.XLOOKUP(A2062,'DISPATCH SHEET'!B$3:B$121,'DISPATCH SHEET'!C$3:C$121,""))</f>
        <v/>
      </c>
      <c r="C2062" s="14" t="str">
        <f>IF(ISBLANK(A2062),"",_xlfn.XLOOKUP(A2062,'DISPATCH SHEET'!C$3:C$121,'DISPATCH SHEET'!#REF!,""))</f>
        <v/>
      </c>
    </row>
    <row r="2063" spans="2:3" x14ac:dyDescent="0.2">
      <c r="B2063" s="14" t="str">
        <f>IF(A2063="","",_xlfn.XLOOKUP(A2063,'DISPATCH SHEET'!B$3:B$121,'DISPATCH SHEET'!C$3:C$121,""))</f>
        <v/>
      </c>
      <c r="C2063" s="14" t="str">
        <f>IF(ISBLANK(A2063),"",_xlfn.XLOOKUP(A2063,'DISPATCH SHEET'!C$3:C$121,'DISPATCH SHEET'!#REF!,""))</f>
        <v/>
      </c>
    </row>
    <row r="2064" spans="2:3" x14ac:dyDescent="0.2">
      <c r="B2064" s="14" t="str">
        <f>IF(A2064="","",_xlfn.XLOOKUP(A2064,'DISPATCH SHEET'!B$3:B$121,'DISPATCH SHEET'!C$3:C$121,""))</f>
        <v/>
      </c>
      <c r="C2064" s="14" t="str">
        <f>IF(ISBLANK(A2064),"",_xlfn.XLOOKUP(A2064,'DISPATCH SHEET'!C$3:C$121,'DISPATCH SHEET'!#REF!,""))</f>
        <v/>
      </c>
    </row>
    <row r="2065" spans="2:3" x14ac:dyDescent="0.2">
      <c r="B2065" s="14" t="str">
        <f>IF(A2065="","",_xlfn.XLOOKUP(A2065,'DISPATCH SHEET'!B$3:B$121,'DISPATCH SHEET'!C$3:C$121,""))</f>
        <v/>
      </c>
      <c r="C2065" s="14" t="str">
        <f>IF(ISBLANK(A2065),"",_xlfn.XLOOKUP(A2065,'DISPATCH SHEET'!C$3:C$121,'DISPATCH SHEET'!#REF!,""))</f>
        <v/>
      </c>
    </row>
    <row r="2066" spans="2:3" x14ac:dyDescent="0.2">
      <c r="B2066" s="14" t="str">
        <f>IF(A2066="","",_xlfn.XLOOKUP(A2066,'DISPATCH SHEET'!B$3:B$121,'DISPATCH SHEET'!C$3:C$121,""))</f>
        <v/>
      </c>
      <c r="C2066" s="14" t="str">
        <f>IF(ISBLANK(A2066),"",_xlfn.XLOOKUP(A2066,'DISPATCH SHEET'!C$3:C$121,'DISPATCH SHEET'!#REF!,""))</f>
        <v/>
      </c>
    </row>
    <row r="2067" spans="2:3" x14ac:dyDescent="0.2">
      <c r="B2067" s="14" t="str">
        <f>IF(A2067="","",_xlfn.XLOOKUP(A2067,'DISPATCH SHEET'!B$3:B$121,'DISPATCH SHEET'!C$3:C$121,""))</f>
        <v/>
      </c>
      <c r="C2067" s="14" t="str">
        <f>IF(ISBLANK(A2067),"",_xlfn.XLOOKUP(A2067,'DISPATCH SHEET'!C$3:C$121,'DISPATCH SHEET'!#REF!,""))</f>
        <v/>
      </c>
    </row>
    <row r="2068" spans="2:3" x14ac:dyDescent="0.2">
      <c r="B2068" s="14" t="str">
        <f>IF(A2068="","",_xlfn.XLOOKUP(A2068,'DISPATCH SHEET'!B$3:B$121,'DISPATCH SHEET'!C$3:C$121,""))</f>
        <v/>
      </c>
      <c r="C2068" s="14" t="str">
        <f>IF(ISBLANK(A2068),"",_xlfn.XLOOKUP(A2068,'DISPATCH SHEET'!C$3:C$121,'DISPATCH SHEET'!#REF!,""))</f>
        <v/>
      </c>
    </row>
    <row r="2069" spans="2:3" x14ac:dyDescent="0.2">
      <c r="B2069" s="14" t="str">
        <f>IF(A2069="","",_xlfn.XLOOKUP(A2069,'DISPATCH SHEET'!B$3:B$121,'DISPATCH SHEET'!C$3:C$121,""))</f>
        <v/>
      </c>
      <c r="C2069" s="14" t="str">
        <f>IF(ISBLANK(A2069),"",_xlfn.XLOOKUP(A2069,'DISPATCH SHEET'!C$3:C$121,'DISPATCH SHEET'!#REF!,""))</f>
        <v/>
      </c>
    </row>
    <row r="2070" spans="2:3" x14ac:dyDescent="0.2">
      <c r="B2070" s="14" t="str">
        <f>IF(A2070="","",_xlfn.XLOOKUP(A2070,'DISPATCH SHEET'!B$3:B$121,'DISPATCH SHEET'!C$3:C$121,""))</f>
        <v/>
      </c>
      <c r="C2070" s="14" t="str">
        <f>IF(ISBLANK(A2070),"",_xlfn.XLOOKUP(A2070,'DISPATCH SHEET'!C$3:C$121,'DISPATCH SHEET'!#REF!,""))</f>
        <v/>
      </c>
    </row>
    <row r="2071" spans="2:3" x14ac:dyDescent="0.2">
      <c r="B2071" s="14" t="str">
        <f>IF(A2071="","",_xlfn.XLOOKUP(A2071,'DISPATCH SHEET'!B$3:B$121,'DISPATCH SHEET'!C$3:C$121,""))</f>
        <v/>
      </c>
      <c r="C2071" s="14" t="str">
        <f>IF(ISBLANK(A2071),"",_xlfn.XLOOKUP(A2071,'DISPATCH SHEET'!C$3:C$121,'DISPATCH SHEET'!#REF!,""))</f>
        <v/>
      </c>
    </row>
    <row r="2072" spans="2:3" x14ac:dyDescent="0.2">
      <c r="B2072" s="14" t="str">
        <f>IF(A2072="","",_xlfn.XLOOKUP(A2072,'DISPATCH SHEET'!B$3:B$121,'DISPATCH SHEET'!C$3:C$121,""))</f>
        <v/>
      </c>
      <c r="C2072" s="14" t="str">
        <f>IF(ISBLANK(A2072),"",_xlfn.XLOOKUP(A2072,'DISPATCH SHEET'!C$3:C$121,'DISPATCH SHEET'!#REF!,""))</f>
        <v/>
      </c>
    </row>
    <row r="2073" spans="2:3" x14ac:dyDescent="0.2">
      <c r="B2073" s="14" t="str">
        <f>IF(A2073="","",_xlfn.XLOOKUP(A2073,'DISPATCH SHEET'!B$3:B$121,'DISPATCH SHEET'!C$3:C$121,""))</f>
        <v/>
      </c>
      <c r="C2073" s="14" t="str">
        <f>IF(ISBLANK(A2073),"",_xlfn.XLOOKUP(A2073,'DISPATCH SHEET'!C$3:C$121,'DISPATCH SHEET'!#REF!,""))</f>
        <v/>
      </c>
    </row>
    <row r="2074" spans="2:3" x14ac:dyDescent="0.2">
      <c r="B2074" s="14" t="str">
        <f>IF(A2074="","",_xlfn.XLOOKUP(A2074,'DISPATCH SHEET'!B$3:B$121,'DISPATCH SHEET'!C$3:C$121,""))</f>
        <v/>
      </c>
      <c r="C2074" s="14" t="str">
        <f>IF(ISBLANK(A2074),"",_xlfn.XLOOKUP(A2074,'DISPATCH SHEET'!C$3:C$121,'DISPATCH SHEET'!#REF!,""))</f>
        <v/>
      </c>
    </row>
    <row r="2075" spans="2:3" x14ac:dyDescent="0.2">
      <c r="B2075" s="14" t="str">
        <f>IF(A2075="","",_xlfn.XLOOKUP(A2075,'DISPATCH SHEET'!B$3:B$121,'DISPATCH SHEET'!C$3:C$121,""))</f>
        <v/>
      </c>
      <c r="C2075" s="14" t="str">
        <f>IF(ISBLANK(A2075),"",_xlfn.XLOOKUP(A2075,'DISPATCH SHEET'!C$3:C$121,'DISPATCH SHEET'!#REF!,""))</f>
        <v/>
      </c>
    </row>
    <row r="2076" spans="2:3" x14ac:dyDescent="0.2">
      <c r="B2076" s="14" t="str">
        <f>IF(A2076="","",_xlfn.XLOOKUP(A2076,'DISPATCH SHEET'!B$3:B$121,'DISPATCH SHEET'!C$3:C$121,""))</f>
        <v/>
      </c>
      <c r="C2076" s="14" t="str">
        <f>IF(ISBLANK(A2076),"",_xlfn.XLOOKUP(A2076,'DISPATCH SHEET'!C$3:C$121,'DISPATCH SHEET'!#REF!,""))</f>
        <v/>
      </c>
    </row>
    <row r="2077" spans="2:3" x14ac:dyDescent="0.2">
      <c r="B2077" s="14" t="str">
        <f>IF(A2077="","",_xlfn.XLOOKUP(A2077,'DISPATCH SHEET'!B$3:B$121,'DISPATCH SHEET'!C$3:C$121,""))</f>
        <v/>
      </c>
      <c r="C2077" s="14" t="str">
        <f>IF(ISBLANK(A2077),"",_xlfn.XLOOKUP(A2077,'DISPATCH SHEET'!C$3:C$121,'DISPATCH SHEET'!#REF!,""))</f>
        <v/>
      </c>
    </row>
    <row r="2078" spans="2:3" x14ac:dyDescent="0.2">
      <c r="B2078" s="14" t="str">
        <f>IF(A2078="","",_xlfn.XLOOKUP(A2078,'DISPATCH SHEET'!B$3:B$121,'DISPATCH SHEET'!C$3:C$121,""))</f>
        <v/>
      </c>
      <c r="C2078" s="14" t="str">
        <f>IF(ISBLANK(A2078),"",_xlfn.XLOOKUP(A2078,'DISPATCH SHEET'!C$3:C$121,'DISPATCH SHEET'!#REF!,""))</f>
        <v/>
      </c>
    </row>
    <row r="2079" spans="2:3" x14ac:dyDescent="0.2">
      <c r="B2079" s="14" t="str">
        <f>IF(A2079="","",_xlfn.XLOOKUP(A2079,'DISPATCH SHEET'!B$3:B$121,'DISPATCH SHEET'!C$3:C$121,""))</f>
        <v/>
      </c>
      <c r="C2079" s="14" t="str">
        <f>IF(ISBLANK(A2079),"",_xlfn.XLOOKUP(A2079,'DISPATCH SHEET'!C$3:C$121,'DISPATCH SHEET'!#REF!,""))</f>
        <v/>
      </c>
    </row>
    <row r="2080" spans="2:3" x14ac:dyDescent="0.2">
      <c r="B2080" s="14" t="str">
        <f>IF(A2080="","",_xlfn.XLOOKUP(A2080,'DISPATCH SHEET'!B$3:B$121,'DISPATCH SHEET'!C$3:C$121,""))</f>
        <v/>
      </c>
      <c r="C2080" s="14" t="str">
        <f>IF(ISBLANK(A2080),"",_xlfn.XLOOKUP(A2080,'DISPATCH SHEET'!C$3:C$121,'DISPATCH SHEET'!#REF!,""))</f>
        <v/>
      </c>
    </row>
    <row r="2081" spans="2:3" x14ac:dyDescent="0.2">
      <c r="B2081" s="14" t="str">
        <f>IF(A2081="","",_xlfn.XLOOKUP(A2081,'DISPATCH SHEET'!B$3:B$121,'DISPATCH SHEET'!C$3:C$121,""))</f>
        <v/>
      </c>
      <c r="C2081" s="14" t="str">
        <f>IF(ISBLANK(A2081),"",_xlfn.XLOOKUP(A2081,'DISPATCH SHEET'!C$3:C$121,'DISPATCH SHEET'!#REF!,""))</f>
        <v/>
      </c>
    </row>
    <row r="2082" spans="2:3" x14ac:dyDescent="0.2">
      <c r="B2082" s="14" t="str">
        <f>IF(A2082="","",_xlfn.XLOOKUP(A2082,'DISPATCH SHEET'!B$3:B$121,'DISPATCH SHEET'!C$3:C$121,""))</f>
        <v/>
      </c>
      <c r="C2082" s="14" t="str">
        <f>IF(ISBLANK(A2082),"",_xlfn.XLOOKUP(A2082,'DISPATCH SHEET'!C$3:C$121,'DISPATCH SHEET'!#REF!,""))</f>
        <v/>
      </c>
    </row>
    <row r="2083" spans="2:3" x14ac:dyDescent="0.2">
      <c r="B2083" s="14" t="str">
        <f>IF(A2083="","",_xlfn.XLOOKUP(A2083,'DISPATCH SHEET'!B$3:B$121,'DISPATCH SHEET'!C$3:C$121,""))</f>
        <v/>
      </c>
      <c r="C2083" s="14" t="str">
        <f>IF(ISBLANK(A2083),"",_xlfn.XLOOKUP(A2083,'DISPATCH SHEET'!C$3:C$121,'DISPATCH SHEET'!#REF!,""))</f>
        <v/>
      </c>
    </row>
    <row r="2084" spans="2:3" x14ac:dyDescent="0.2">
      <c r="B2084" s="14" t="str">
        <f>IF(A2084="","",_xlfn.XLOOKUP(A2084,'DISPATCH SHEET'!B$3:B$121,'DISPATCH SHEET'!C$3:C$121,""))</f>
        <v/>
      </c>
      <c r="C2084" s="14" t="str">
        <f>IF(ISBLANK(A2084),"",_xlfn.XLOOKUP(A2084,'DISPATCH SHEET'!C$3:C$121,'DISPATCH SHEET'!#REF!,""))</f>
        <v/>
      </c>
    </row>
    <row r="2085" spans="2:3" x14ac:dyDescent="0.2">
      <c r="B2085" s="14" t="str">
        <f>IF(A2085="","",_xlfn.XLOOKUP(A2085,'DISPATCH SHEET'!B$3:B$121,'DISPATCH SHEET'!C$3:C$121,""))</f>
        <v/>
      </c>
      <c r="C2085" s="14" t="str">
        <f>IF(ISBLANK(A2085),"",_xlfn.XLOOKUP(A2085,'DISPATCH SHEET'!C$3:C$121,'DISPATCH SHEET'!#REF!,""))</f>
        <v/>
      </c>
    </row>
    <row r="2086" spans="2:3" x14ac:dyDescent="0.2">
      <c r="B2086" s="14" t="str">
        <f>IF(A2086="","",_xlfn.XLOOKUP(A2086,'DISPATCH SHEET'!B$3:B$121,'DISPATCH SHEET'!C$3:C$121,""))</f>
        <v/>
      </c>
      <c r="C2086" s="14" t="str">
        <f>IF(ISBLANK(A2086),"",_xlfn.XLOOKUP(A2086,'DISPATCH SHEET'!C$3:C$121,'DISPATCH SHEET'!#REF!,""))</f>
        <v/>
      </c>
    </row>
    <row r="2087" spans="2:3" x14ac:dyDescent="0.2">
      <c r="B2087" s="14" t="str">
        <f>IF(A2087="","",_xlfn.XLOOKUP(A2087,'DISPATCH SHEET'!B$3:B$121,'DISPATCH SHEET'!C$3:C$121,""))</f>
        <v/>
      </c>
      <c r="C2087" s="14" t="str">
        <f>IF(ISBLANK(A2087),"",_xlfn.XLOOKUP(A2087,'DISPATCH SHEET'!C$3:C$121,'DISPATCH SHEET'!#REF!,""))</f>
        <v/>
      </c>
    </row>
    <row r="2088" spans="2:3" x14ac:dyDescent="0.2">
      <c r="B2088" s="14" t="str">
        <f>IF(A2088="","",_xlfn.XLOOKUP(A2088,'DISPATCH SHEET'!B$3:B$121,'DISPATCH SHEET'!C$3:C$121,""))</f>
        <v/>
      </c>
      <c r="C2088" s="14" t="str">
        <f>IF(ISBLANK(A2088),"",_xlfn.XLOOKUP(A2088,'DISPATCH SHEET'!C$3:C$121,'DISPATCH SHEET'!#REF!,""))</f>
        <v/>
      </c>
    </row>
    <row r="2089" spans="2:3" x14ac:dyDescent="0.2">
      <c r="B2089" s="14" t="str">
        <f>IF(A2089="","",_xlfn.XLOOKUP(A2089,'DISPATCH SHEET'!B$3:B$121,'DISPATCH SHEET'!C$3:C$121,""))</f>
        <v/>
      </c>
      <c r="C2089" s="14" t="str">
        <f>IF(ISBLANK(A2089),"",_xlfn.XLOOKUP(A2089,'DISPATCH SHEET'!C$3:C$121,'DISPATCH SHEET'!#REF!,""))</f>
        <v/>
      </c>
    </row>
    <row r="2090" spans="2:3" x14ac:dyDescent="0.2">
      <c r="B2090" s="14" t="str">
        <f>IF(A2090="","",_xlfn.XLOOKUP(A2090,'DISPATCH SHEET'!B$3:B$121,'DISPATCH SHEET'!C$3:C$121,""))</f>
        <v/>
      </c>
      <c r="C2090" s="14" t="str">
        <f>IF(ISBLANK(A2090),"",_xlfn.XLOOKUP(A2090,'DISPATCH SHEET'!C$3:C$121,'DISPATCH SHEET'!#REF!,""))</f>
        <v/>
      </c>
    </row>
    <row r="2091" spans="2:3" x14ac:dyDescent="0.2">
      <c r="B2091" s="14" t="str">
        <f>IF(A2091="","",_xlfn.XLOOKUP(A2091,'DISPATCH SHEET'!B$3:B$121,'DISPATCH SHEET'!C$3:C$121,""))</f>
        <v/>
      </c>
      <c r="C2091" s="14" t="str">
        <f>IF(ISBLANK(A2091),"",_xlfn.XLOOKUP(A2091,'DISPATCH SHEET'!C$3:C$121,'DISPATCH SHEET'!#REF!,""))</f>
        <v/>
      </c>
    </row>
    <row r="2092" spans="2:3" x14ac:dyDescent="0.2">
      <c r="B2092" s="14" t="str">
        <f>IF(A2092="","",_xlfn.XLOOKUP(A2092,'DISPATCH SHEET'!B$3:B$121,'DISPATCH SHEET'!C$3:C$121,""))</f>
        <v/>
      </c>
      <c r="C2092" s="14" t="str">
        <f>IF(ISBLANK(A2092),"",_xlfn.XLOOKUP(A2092,'DISPATCH SHEET'!C$3:C$121,'DISPATCH SHEET'!#REF!,""))</f>
        <v/>
      </c>
    </row>
    <row r="2093" spans="2:3" x14ac:dyDescent="0.2">
      <c r="B2093" s="14" t="str">
        <f>IF(A2093="","",_xlfn.XLOOKUP(A2093,'DISPATCH SHEET'!B$3:B$121,'DISPATCH SHEET'!C$3:C$121,""))</f>
        <v/>
      </c>
      <c r="C2093" s="14" t="str">
        <f>IF(ISBLANK(A2093),"",_xlfn.XLOOKUP(A2093,'DISPATCH SHEET'!C$3:C$121,'DISPATCH SHEET'!#REF!,""))</f>
        <v/>
      </c>
    </row>
    <row r="2094" spans="2:3" x14ac:dyDescent="0.2">
      <c r="B2094" s="14" t="str">
        <f>IF(A2094="","",_xlfn.XLOOKUP(A2094,'DISPATCH SHEET'!B$3:B$121,'DISPATCH SHEET'!C$3:C$121,""))</f>
        <v/>
      </c>
      <c r="C2094" s="14" t="str">
        <f>IF(ISBLANK(A2094),"",_xlfn.XLOOKUP(A2094,'DISPATCH SHEET'!C$3:C$121,'DISPATCH SHEET'!#REF!,""))</f>
        <v/>
      </c>
    </row>
    <row r="2095" spans="2:3" x14ac:dyDescent="0.2">
      <c r="B2095" s="14" t="str">
        <f>IF(A2095="","",_xlfn.XLOOKUP(A2095,'DISPATCH SHEET'!B$3:B$121,'DISPATCH SHEET'!C$3:C$121,""))</f>
        <v/>
      </c>
      <c r="C2095" s="14" t="str">
        <f>IF(ISBLANK(A2095),"",_xlfn.XLOOKUP(A2095,'DISPATCH SHEET'!C$3:C$121,'DISPATCH SHEET'!#REF!,""))</f>
        <v/>
      </c>
    </row>
    <row r="2096" spans="2:3" x14ac:dyDescent="0.2">
      <c r="B2096" s="14" t="str">
        <f>IF(A2096="","",_xlfn.XLOOKUP(A2096,'DISPATCH SHEET'!B$3:B$121,'DISPATCH SHEET'!C$3:C$121,""))</f>
        <v/>
      </c>
      <c r="C2096" s="14" t="str">
        <f>IF(ISBLANK(A2096),"",_xlfn.XLOOKUP(A2096,'DISPATCH SHEET'!C$3:C$121,'DISPATCH SHEET'!#REF!,""))</f>
        <v/>
      </c>
    </row>
    <row r="2097" spans="2:3" x14ac:dyDescent="0.2">
      <c r="B2097" s="14" t="str">
        <f>IF(A2097="","",_xlfn.XLOOKUP(A2097,'DISPATCH SHEET'!B$3:B$121,'DISPATCH SHEET'!C$3:C$121,""))</f>
        <v/>
      </c>
      <c r="C2097" s="14" t="str">
        <f>IF(ISBLANK(A2097),"",_xlfn.XLOOKUP(A2097,'DISPATCH SHEET'!C$3:C$121,'DISPATCH SHEET'!#REF!,""))</f>
        <v/>
      </c>
    </row>
    <row r="2098" spans="2:3" x14ac:dyDescent="0.2">
      <c r="B2098" s="14" t="str">
        <f>IF(A2098="","",_xlfn.XLOOKUP(A2098,'DISPATCH SHEET'!B$3:B$121,'DISPATCH SHEET'!C$3:C$121,""))</f>
        <v/>
      </c>
      <c r="C2098" s="14" t="str">
        <f>IF(ISBLANK(A2098),"",_xlfn.XLOOKUP(A2098,'DISPATCH SHEET'!C$3:C$121,'DISPATCH SHEET'!#REF!,""))</f>
        <v/>
      </c>
    </row>
    <row r="2099" spans="2:3" x14ac:dyDescent="0.2">
      <c r="B2099" s="14" t="str">
        <f>IF(A2099="","",_xlfn.XLOOKUP(A2099,'DISPATCH SHEET'!B$3:B$121,'DISPATCH SHEET'!C$3:C$121,""))</f>
        <v/>
      </c>
      <c r="C2099" s="14" t="str">
        <f>IF(ISBLANK(A2099),"",_xlfn.XLOOKUP(A2099,'DISPATCH SHEET'!C$3:C$121,'DISPATCH SHEET'!#REF!,""))</f>
        <v/>
      </c>
    </row>
    <row r="2100" spans="2:3" x14ac:dyDescent="0.2">
      <c r="B2100" s="14" t="str">
        <f>IF(A2100="","",_xlfn.XLOOKUP(A2100,'DISPATCH SHEET'!B$3:B$121,'DISPATCH SHEET'!C$3:C$121,""))</f>
        <v/>
      </c>
      <c r="C2100" s="14" t="str">
        <f>IF(ISBLANK(A2100),"",_xlfn.XLOOKUP(A2100,'DISPATCH SHEET'!C$3:C$121,'DISPATCH SHEET'!#REF!,""))</f>
        <v/>
      </c>
    </row>
    <row r="2101" spans="2:3" x14ac:dyDescent="0.2">
      <c r="B2101" s="14" t="str">
        <f>IF(A2101="","",_xlfn.XLOOKUP(A2101,'DISPATCH SHEET'!B$3:B$121,'DISPATCH SHEET'!C$3:C$121,""))</f>
        <v/>
      </c>
      <c r="C2101" s="14" t="str">
        <f>IF(ISBLANK(A2101),"",_xlfn.XLOOKUP(A2101,'DISPATCH SHEET'!C$3:C$121,'DISPATCH SHEET'!#REF!,""))</f>
        <v/>
      </c>
    </row>
    <row r="2102" spans="2:3" x14ac:dyDescent="0.2">
      <c r="B2102" s="14" t="str">
        <f>IF(A2102="","",_xlfn.XLOOKUP(A2102,'DISPATCH SHEET'!B$3:B$121,'DISPATCH SHEET'!C$3:C$121,""))</f>
        <v/>
      </c>
      <c r="C2102" s="14" t="str">
        <f>IF(ISBLANK(A2102),"",_xlfn.XLOOKUP(A2102,'DISPATCH SHEET'!C$3:C$121,'DISPATCH SHEET'!#REF!,""))</f>
        <v/>
      </c>
    </row>
    <row r="2103" spans="2:3" x14ac:dyDescent="0.2">
      <c r="B2103" s="14" t="str">
        <f>IF(A2103="","",_xlfn.XLOOKUP(A2103,'DISPATCH SHEET'!B$3:B$121,'DISPATCH SHEET'!C$3:C$121,""))</f>
        <v/>
      </c>
      <c r="C2103" s="14" t="str">
        <f>IF(ISBLANK(A2103),"",_xlfn.XLOOKUP(A2103,'DISPATCH SHEET'!C$3:C$121,'DISPATCH SHEET'!#REF!,""))</f>
        <v/>
      </c>
    </row>
    <row r="2104" spans="2:3" x14ac:dyDescent="0.2">
      <c r="B2104" s="14" t="str">
        <f>IF(A2104="","",_xlfn.XLOOKUP(A2104,'DISPATCH SHEET'!B$3:B$121,'DISPATCH SHEET'!C$3:C$121,""))</f>
        <v/>
      </c>
      <c r="C2104" s="14" t="str">
        <f>IF(ISBLANK(A2104),"",_xlfn.XLOOKUP(A2104,'DISPATCH SHEET'!C$3:C$121,'DISPATCH SHEET'!#REF!,""))</f>
        <v/>
      </c>
    </row>
    <row r="2105" spans="2:3" x14ac:dyDescent="0.2">
      <c r="B2105" s="14" t="str">
        <f>IF(A2105="","",_xlfn.XLOOKUP(A2105,'DISPATCH SHEET'!B$3:B$121,'DISPATCH SHEET'!C$3:C$121,""))</f>
        <v/>
      </c>
      <c r="C2105" s="14" t="str">
        <f>IF(ISBLANK(A2105),"",_xlfn.XLOOKUP(A2105,'DISPATCH SHEET'!C$3:C$121,'DISPATCH SHEET'!#REF!,""))</f>
        <v/>
      </c>
    </row>
    <row r="2106" spans="2:3" x14ac:dyDescent="0.2">
      <c r="B2106" s="14" t="str">
        <f>IF(A2106="","",_xlfn.XLOOKUP(A2106,'DISPATCH SHEET'!B$3:B$121,'DISPATCH SHEET'!C$3:C$121,""))</f>
        <v/>
      </c>
      <c r="C2106" s="14" t="str">
        <f>IF(ISBLANK(A2106),"",_xlfn.XLOOKUP(A2106,'DISPATCH SHEET'!C$3:C$121,'DISPATCH SHEET'!#REF!,""))</f>
        <v/>
      </c>
    </row>
    <row r="2107" spans="2:3" x14ac:dyDescent="0.2">
      <c r="B2107" s="14" t="str">
        <f>IF(A2107="","",_xlfn.XLOOKUP(A2107,'DISPATCH SHEET'!B$3:B$121,'DISPATCH SHEET'!C$3:C$121,""))</f>
        <v/>
      </c>
      <c r="C2107" s="14" t="str">
        <f>IF(ISBLANK(A2107),"",_xlfn.XLOOKUP(A2107,'DISPATCH SHEET'!C$3:C$121,'DISPATCH SHEET'!#REF!,""))</f>
        <v/>
      </c>
    </row>
    <row r="2108" spans="2:3" x14ac:dyDescent="0.2">
      <c r="B2108" s="14" t="str">
        <f>IF(A2108="","",_xlfn.XLOOKUP(A2108,'DISPATCH SHEET'!B$3:B$121,'DISPATCH SHEET'!C$3:C$121,""))</f>
        <v/>
      </c>
      <c r="C2108" s="14" t="str">
        <f>IF(ISBLANK(A2108),"",_xlfn.XLOOKUP(A2108,'DISPATCH SHEET'!C$3:C$121,'DISPATCH SHEET'!#REF!,""))</f>
        <v/>
      </c>
    </row>
    <row r="2109" spans="2:3" x14ac:dyDescent="0.2">
      <c r="B2109" s="14" t="str">
        <f>IF(A2109="","",_xlfn.XLOOKUP(A2109,'DISPATCH SHEET'!B$3:B$121,'DISPATCH SHEET'!C$3:C$121,""))</f>
        <v/>
      </c>
      <c r="C2109" s="14" t="str">
        <f>IF(ISBLANK(A2109),"",_xlfn.XLOOKUP(A2109,'DISPATCH SHEET'!C$3:C$121,'DISPATCH SHEET'!#REF!,""))</f>
        <v/>
      </c>
    </row>
    <row r="2110" spans="2:3" x14ac:dyDescent="0.2">
      <c r="B2110" s="14" t="str">
        <f>IF(A2110="","",_xlfn.XLOOKUP(A2110,'DISPATCH SHEET'!B$3:B$121,'DISPATCH SHEET'!C$3:C$121,""))</f>
        <v/>
      </c>
      <c r="C2110" s="14" t="str">
        <f>IF(ISBLANK(A2110),"",_xlfn.XLOOKUP(A2110,'DISPATCH SHEET'!C$3:C$121,'DISPATCH SHEET'!#REF!,""))</f>
        <v/>
      </c>
    </row>
    <row r="2111" spans="2:3" x14ac:dyDescent="0.2">
      <c r="B2111" s="14" t="str">
        <f>IF(A2111="","",_xlfn.XLOOKUP(A2111,'DISPATCH SHEET'!B$3:B$121,'DISPATCH SHEET'!C$3:C$121,""))</f>
        <v/>
      </c>
      <c r="C2111" s="14" t="str">
        <f>IF(ISBLANK(A2111),"",_xlfn.XLOOKUP(A2111,'DISPATCH SHEET'!C$3:C$121,'DISPATCH SHEET'!#REF!,""))</f>
        <v/>
      </c>
    </row>
    <row r="2112" spans="2:3" x14ac:dyDescent="0.2">
      <c r="B2112" s="14" t="str">
        <f>IF(A2112="","",_xlfn.XLOOKUP(A2112,'DISPATCH SHEET'!B$3:B$121,'DISPATCH SHEET'!C$3:C$121,""))</f>
        <v/>
      </c>
      <c r="C2112" s="14" t="str">
        <f>IF(ISBLANK(A2112),"",_xlfn.XLOOKUP(A2112,'DISPATCH SHEET'!C$3:C$121,'DISPATCH SHEET'!#REF!,""))</f>
        <v/>
      </c>
    </row>
    <row r="2113" spans="2:3" x14ac:dyDescent="0.2">
      <c r="B2113" s="14" t="str">
        <f>IF(A2113="","",_xlfn.XLOOKUP(A2113,'DISPATCH SHEET'!B$3:B$121,'DISPATCH SHEET'!C$3:C$121,""))</f>
        <v/>
      </c>
      <c r="C2113" s="14" t="str">
        <f>IF(ISBLANK(A2113),"",_xlfn.XLOOKUP(A2113,'DISPATCH SHEET'!C$3:C$121,'DISPATCH SHEET'!#REF!,""))</f>
        <v/>
      </c>
    </row>
    <row r="2114" spans="2:3" x14ac:dyDescent="0.2">
      <c r="B2114" s="14" t="str">
        <f>IF(A2114="","",_xlfn.XLOOKUP(A2114,'DISPATCH SHEET'!B$3:B$121,'DISPATCH SHEET'!C$3:C$121,""))</f>
        <v/>
      </c>
      <c r="C2114" s="14" t="str">
        <f>IF(ISBLANK(A2114),"",_xlfn.XLOOKUP(A2114,'DISPATCH SHEET'!C$3:C$121,'DISPATCH SHEET'!#REF!,""))</f>
        <v/>
      </c>
    </row>
    <row r="2115" spans="2:3" x14ac:dyDescent="0.2">
      <c r="B2115" s="14" t="str">
        <f>IF(A2115="","",_xlfn.XLOOKUP(A2115,'DISPATCH SHEET'!B$3:B$121,'DISPATCH SHEET'!C$3:C$121,""))</f>
        <v/>
      </c>
      <c r="C2115" s="14" t="str">
        <f>IF(ISBLANK(A2115),"",_xlfn.XLOOKUP(A2115,'DISPATCH SHEET'!C$3:C$121,'DISPATCH SHEET'!#REF!,""))</f>
        <v/>
      </c>
    </row>
    <row r="2116" spans="2:3" x14ac:dyDescent="0.2">
      <c r="B2116" s="14" t="str">
        <f>IF(A2116="","",_xlfn.XLOOKUP(A2116,'DISPATCH SHEET'!B$3:B$121,'DISPATCH SHEET'!C$3:C$121,""))</f>
        <v/>
      </c>
      <c r="C2116" s="14" t="str">
        <f>IF(ISBLANK(A2116),"",_xlfn.XLOOKUP(A2116,'DISPATCH SHEET'!C$3:C$121,'DISPATCH SHEET'!#REF!,""))</f>
        <v/>
      </c>
    </row>
    <row r="2117" spans="2:3" x14ac:dyDescent="0.2">
      <c r="B2117" s="14" t="str">
        <f>IF(A2117="","",_xlfn.XLOOKUP(A2117,'DISPATCH SHEET'!B$3:B$121,'DISPATCH SHEET'!C$3:C$121,""))</f>
        <v/>
      </c>
      <c r="C2117" s="14" t="str">
        <f>IF(ISBLANK(A2117),"",_xlfn.XLOOKUP(A2117,'DISPATCH SHEET'!C$3:C$121,'DISPATCH SHEET'!#REF!,""))</f>
        <v/>
      </c>
    </row>
    <row r="2118" spans="2:3" x14ac:dyDescent="0.2">
      <c r="B2118" s="14" t="str">
        <f>IF(A2118="","",_xlfn.XLOOKUP(A2118,'DISPATCH SHEET'!B$3:B$121,'DISPATCH SHEET'!C$3:C$121,""))</f>
        <v/>
      </c>
      <c r="C2118" s="14" t="str">
        <f>IF(ISBLANK(A2118),"",_xlfn.XLOOKUP(A2118,'DISPATCH SHEET'!C$3:C$121,'DISPATCH SHEET'!#REF!,""))</f>
        <v/>
      </c>
    </row>
    <row r="2119" spans="2:3" x14ac:dyDescent="0.2">
      <c r="B2119" s="14" t="str">
        <f>IF(A2119="","",_xlfn.XLOOKUP(A2119,'DISPATCH SHEET'!B$3:B$121,'DISPATCH SHEET'!C$3:C$121,""))</f>
        <v/>
      </c>
      <c r="C2119" s="14" t="str">
        <f>IF(ISBLANK(A2119),"",_xlfn.XLOOKUP(A2119,'DISPATCH SHEET'!C$3:C$121,'DISPATCH SHEET'!#REF!,""))</f>
        <v/>
      </c>
    </row>
    <row r="2120" spans="2:3" x14ac:dyDescent="0.2">
      <c r="B2120" s="14" t="str">
        <f>IF(A2120="","",_xlfn.XLOOKUP(A2120,'DISPATCH SHEET'!B$3:B$121,'DISPATCH SHEET'!C$3:C$121,""))</f>
        <v/>
      </c>
      <c r="C2120" s="14" t="str">
        <f>IF(ISBLANK(A2120),"",_xlfn.XLOOKUP(A2120,'DISPATCH SHEET'!C$3:C$121,'DISPATCH SHEET'!#REF!,""))</f>
        <v/>
      </c>
    </row>
    <row r="2121" spans="2:3" x14ac:dyDescent="0.2">
      <c r="B2121" s="14" t="str">
        <f>IF(A2121="","",_xlfn.XLOOKUP(A2121,'DISPATCH SHEET'!B$3:B$121,'DISPATCH SHEET'!C$3:C$121,""))</f>
        <v/>
      </c>
      <c r="C2121" s="14" t="str">
        <f>IF(ISBLANK(A2121),"",_xlfn.XLOOKUP(A2121,'DISPATCH SHEET'!C$3:C$121,'DISPATCH SHEET'!#REF!,""))</f>
        <v/>
      </c>
    </row>
    <row r="2122" spans="2:3" x14ac:dyDescent="0.2">
      <c r="B2122" s="14" t="str">
        <f>IF(A2122="","",_xlfn.XLOOKUP(A2122,'DISPATCH SHEET'!B$3:B$121,'DISPATCH SHEET'!C$3:C$121,""))</f>
        <v/>
      </c>
      <c r="C2122" s="14" t="str">
        <f>IF(ISBLANK(A2122),"",_xlfn.XLOOKUP(A2122,'DISPATCH SHEET'!C$3:C$121,'DISPATCH SHEET'!#REF!,""))</f>
        <v/>
      </c>
    </row>
    <row r="2123" spans="2:3" x14ac:dyDescent="0.2">
      <c r="B2123" s="14" t="str">
        <f>IF(A2123="","",_xlfn.XLOOKUP(A2123,'DISPATCH SHEET'!B$3:B$121,'DISPATCH SHEET'!C$3:C$121,""))</f>
        <v/>
      </c>
      <c r="C2123" s="14" t="str">
        <f>IF(ISBLANK(A2123),"",_xlfn.XLOOKUP(A2123,'DISPATCH SHEET'!C$3:C$121,'DISPATCH SHEET'!#REF!,""))</f>
        <v/>
      </c>
    </row>
    <row r="2124" spans="2:3" x14ac:dyDescent="0.2">
      <c r="B2124" s="14" t="str">
        <f>IF(A2124="","",_xlfn.XLOOKUP(A2124,'DISPATCH SHEET'!B$3:B$121,'DISPATCH SHEET'!C$3:C$121,""))</f>
        <v/>
      </c>
      <c r="C2124" s="14" t="str">
        <f>IF(ISBLANK(A2124),"",_xlfn.XLOOKUP(A2124,'DISPATCH SHEET'!C$3:C$121,'DISPATCH SHEET'!#REF!,""))</f>
        <v/>
      </c>
    </row>
    <row r="2125" spans="2:3" x14ac:dyDescent="0.2">
      <c r="B2125" s="14" t="str">
        <f>IF(A2125="","",_xlfn.XLOOKUP(A2125,'DISPATCH SHEET'!B$3:B$121,'DISPATCH SHEET'!C$3:C$121,""))</f>
        <v/>
      </c>
      <c r="C2125" s="14" t="str">
        <f>IF(ISBLANK(A2125),"",_xlfn.XLOOKUP(A2125,'DISPATCH SHEET'!C$3:C$121,'DISPATCH SHEET'!#REF!,""))</f>
        <v/>
      </c>
    </row>
    <row r="2126" spans="2:3" x14ac:dyDescent="0.2">
      <c r="B2126" s="14" t="str">
        <f>IF(A2126="","",_xlfn.XLOOKUP(A2126,'DISPATCH SHEET'!B$3:B$121,'DISPATCH SHEET'!C$3:C$121,""))</f>
        <v/>
      </c>
      <c r="C2126" s="14" t="str">
        <f>IF(ISBLANK(A2126),"",_xlfn.XLOOKUP(A2126,'DISPATCH SHEET'!C$3:C$121,'DISPATCH SHEET'!#REF!,""))</f>
        <v/>
      </c>
    </row>
    <row r="2127" spans="2:3" x14ac:dyDescent="0.2">
      <c r="B2127" s="14" t="str">
        <f>IF(A2127="","",_xlfn.XLOOKUP(A2127,'DISPATCH SHEET'!B$3:B$121,'DISPATCH SHEET'!C$3:C$121,""))</f>
        <v/>
      </c>
      <c r="C2127" s="14" t="str">
        <f>IF(ISBLANK(A2127),"",_xlfn.XLOOKUP(A2127,'DISPATCH SHEET'!C$3:C$121,'DISPATCH SHEET'!#REF!,""))</f>
        <v/>
      </c>
    </row>
    <row r="2128" spans="2:3" x14ac:dyDescent="0.2">
      <c r="B2128" s="14" t="str">
        <f>IF(A2128="","",_xlfn.XLOOKUP(A2128,'DISPATCH SHEET'!B$3:B$121,'DISPATCH SHEET'!C$3:C$121,""))</f>
        <v/>
      </c>
      <c r="C2128" s="14" t="str">
        <f>IF(ISBLANK(A2128),"",_xlfn.XLOOKUP(A2128,'DISPATCH SHEET'!C$3:C$121,'DISPATCH SHEET'!#REF!,""))</f>
        <v/>
      </c>
    </row>
    <row r="2129" spans="2:3" x14ac:dyDescent="0.2">
      <c r="B2129" s="14" t="str">
        <f>IF(A2129="","",_xlfn.XLOOKUP(A2129,'DISPATCH SHEET'!B$3:B$121,'DISPATCH SHEET'!C$3:C$121,""))</f>
        <v/>
      </c>
      <c r="C2129" s="14" t="str">
        <f>IF(ISBLANK(A2129),"",_xlfn.XLOOKUP(A2129,'DISPATCH SHEET'!C$3:C$121,'DISPATCH SHEET'!#REF!,""))</f>
        <v/>
      </c>
    </row>
    <row r="2130" spans="2:3" x14ac:dyDescent="0.2">
      <c r="B2130" s="14" t="str">
        <f>IF(A2130="","",_xlfn.XLOOKUP(A2130,'DISPATCH SHEET'!B$3:B$121,'DISPATCH SHEET'!C$3:C$121,""))</f>
        <v/>
      </c>
      <c r="C2130" s="14" t="str">
        <f>IF(ISBLANK(A2130),"",_xlfn.XLOOKUP(A2130,'DISPATCH SHEET'!C$3:C$121,'DISPATCH SHEET'!#REF!,""))</f>
        <v/>
      </c>
    </row>
    <row r="2131" spans="2:3" x14ac:dyDescent="0.2">
      <c r="B2131" s="14" t="str">
        <f>IF(A2131="","",_xlfn.XLOOKUP(A2131,'DISPATCH SHEET'!B$3:B$121,'DISPATCH SHEET'!C$3:C$121,""))</f>
        <v/>
      </c>
      <c r="C2131" s="14" t="str">
        <f>IF(ISBLANK(A2131),"",_xlfn.XLOOKUP(A2131,'DISPATCH SHEET'!C$3:C$121,'DISPATCH SHEET'!#REF!,""))</f>
        <v/>
      </c>
    </row>
    <row r="2132" spans="2:3" x14ac:dyDescent="0.2">
      <c r="B2132" s="14" t="str">
        <f>IF(A2132="","",_xlfn.XLOOKUP(A2132,'DISPATCH SHEET'!B$3:B$121,'DISPATCH SHEET'!C$3:C$121,""))</f>
        <v/>
      </c>
      <c r="C2132" s="14" t="str">
        <f>IF(ISBLANK(A2132),"",_xlfn.XLOOKUP(A2132,'DISPATCH SHEET'!C$3:C$121,'DISPATCH SHEET'!#REF!,""))</f>
        <v/>
      </c>
    </row>
    <row r="2133" spans="2:3" x14ac:dyDescent="0.2">
      <c r="B2133" s="14" t="str">
        <f>IF(A2133="","",_xlfn.XLOOKUP(A2133,'DISPATCH SHEET'!B$3:B$121,'DISPATCH SHEET'!C$3:C$121,""))</f>
        <v/>
      </c>
      <c r="C2133" s="14" t="str">
        <f>IF(ISBLANK(A2133),"",_xlfn.XLOOKUP(A2133,'DISPATCH SHEET'!C$3:C$121,'DISPATCH SHEET'!#REF!,""))</f>
        <v/>
      </c>
    </row>
    <row r="2134" spans="2:3" x14ac:dyDescent="0.2">
      <c r="B2134" s="14" t="str">
        <f>IF(A2134="","",_xlfn.XLOOKUP(A2134,'DISPATCH SHEET'!B$3:B$121,'DISPATCH SHEET'!C$3:C$121,""))</f>
        <v/>
      </c>
      <c r="C2134" s="14" t="str">
        <f>IF(ISBLANK(A2134),"",_xlfn.XLOOKUP(A2134,'DISPATCH SHEET'!C$3:C$121,'DISPATCH SHEET'!#REF!,""))</f>
        <v/>
      </c>
    </row>
    <row r="2135" spans="2:3" x14ac:dyDescent="0.2">
      <c r="B2135" s="14" t="str">
        <f>IF(A2135="","",_xlfn.XLOOKUP(A2135,'DISPATCH SHEET'!B$3:B$121,'DISPATCH SHEET'!C$3:C$121,""))</f>
        <v/>
      </c>
      <c r="C2135" s="14" t="str">
        <f>IF(ISBLANK(A2135),"",_xlfn.XLOOKUP(A2135,'DISPATCH SHEET'!C$3:C$121,'DISPATCH SHEET'!#REF!,""))</f>
        <v/>
      </c>
    </row>
    <row r="2136" spans="2:3" x14ac:dyDescent="0.2">
      <c r="B2136" s="14" t="str">
        <f>IF(A2136="","",_xlfn.XLOOKUP(A2136,'DISPATCH SHEET'!B$3:B$121,'DISPATCH SHEET'!C$3:C$121,""))</f>
        <v/>
      </c>
      <c r="C2136" s="14" t="str">
        <f>IF(ISBLANK(A2136),"",_xlfn.XLOOKUP(A2136,'DISPATCH SHEET'!C$3:C$121,'DISPATCH SHEET'!#REF!,""))</f>
        <v/>
      </c>
    </row>
    <row r="2137" spans="2:3" x14ac:dyDescent="0.2">
      <c r="B2137" s="14" t="str">
        <f>IF(A2137="","",_xlfn.XLOOKUP(A2137,'DISPATCH SHEET'!B$3:B$121,'DISPATCH SHEET'!C$3:C$121,""))</f>
        <v/>
      </c>
      <c r="C2137" s="14" t="str">
        <f>IF(ISBLANK(A2137),"",_xlfn.XLOOKUP(A2137,'DISPATCH SHEET'!C$3:C$121,'DISPATCH SHEET'!#REF!,""))</f>
        <v/>
      </c>
    </row>
    <row r="2138" spans="2:3" x14ac:dyDescent="0.2">
      <c r="B2138" s="14" t="str">
        <f>IF(A2138="","",_xlfn.XLOOKUP(A2138,'DISPATCH SHEET'!B$3:B$121,'DISPATCH SHEET'!C$3:C$121,""))</f>
        <v/>
      </c>
      <c r="C2138" s="14" t="str">
        <f>IF(ISBLANK(A2138),"",_xlfn.XLOOKUP(A2138,'DISPATCH SHEET'!C$3:C$121,'DISPATCH SHEET'!#REF!,""))</f>
        <v/>
      </c>
    </row>
    <row r="2139" spans="2:3" x14ac:dyDescent="0.2">
      <c r="B2139" s="14" t="str">
        <f>IF(A2139="","",_xlfn.XLOOKUP(A2139,'DISPATCH SHEET'!B$3:B$121,'DISPATCH SHEET'!C$3:C$121,""))</f>
        <v/>
      </c>
      <c r="C2139" s="14" t="str">
        <f>IF(ISBLANK(A2139),"",_xlfn.XLOOKUP(A2139,'DISPATCH SHEET'!C$3:C$121,'DISPATCH SHEET'!#REF!,""))</f>
        <v/>
      </c>
    </row>
    <row r="2140" spans="2:3" x14ac:dyDescent="0.2">
      <c r="B2140" s="14" t="str">
        <f>IF(A2140="","",_xlfn.XLOOKUP(A2140,'DISPATCH SHEET'!B$3:B$121,'DISPATCH SHEET'!C$3:C$121,""))</f>
        <v/>
      </c>
      <c r="C2140" s="14" t="str">
        <f>IF(ISBLANK(A2140),"",_xlfn.XLOOKUP(A2140,'DISPATCH SHEET'!C$3:C$121,'DISPATCH SHEET'!#REF!,""))</f>
        <v/>
      </c>
    </row>
    <row r="2141" spans="2:3" x14ac:dyDescent="0.2">
      <c r="B2141" s="14" t="str">
        <f>IF(A2141="","",_xlfn.XLOOKUP(A2141,'DISPATCH SHEET'!B$3:B$121,'DISPATCH SHEET'!C$3:C$121,""))</f>
        <v/>
      </c>
      <c r="C2141" s="14" t="str">
        <f>IF(ISBLANK(A2141),"",_xlfn.XLOOKUP(A2141,'DISPATCH SHEET'!C$3:C$121,'DISPATCH SHEET'!#REF!,""))</f>
        <v/>
      </c>
    </row>
    <row r="2142" spans="2:3" x14ac:dyDescent="0.2">
      <c r="B2142" s="14" t="str">
        <f>IF(A2142="","",_xlfn.XLOOKUP(A2142,'DISPATCH SHEET'!B$3:B$121,'DISPATCH SHEET'!C$3:C$121,""))</f>
        <v/>
      </c>
      <c r="C2142" s="14" t="str">
        <f>IF(ISBLANK(A2142),"",_xlfn.XLOOKUP(A2142,'DISPATCH SHEET'!C$3:C$121,'DISPATCH SHEET'!#REF!,""))</f>
        <v/>
      </c>
    </row>
    <row r="2143" spans="2:3" x14ac:dyDescent="0.2">
      <c r="B2143" s="14" t="str">
        <f>IF(A2143="","",_xlfn.XLOOKUP(A2143,'DISPATCH SHEET'!B$3:B$121,'DISPATCH SHEET'!C$3:C$121,""))</f>
        <v/>
      </c>
      <c r="C2143" s="14" t="str">
        <f>IF(ISBLANK(A2143),"",_xlfn.XLOOKUP(A2143,'DISPATCH SHEET'!C$3:C$121,'DISPATCH SHEET'!#REF!,""))</f>
        <v/>
      </c>
    </row>
    <row r="2144" spans="2:3" x14ac:dyDescent="0.2">
      <c r="B2144" s="14" t="str">
        <f>IF(A2144="","",_xlfn.XLOOKUP(A2144,'DISPATCH SHEET'!B$3:B$121,'DISPATCH SHEET'!C$3:C$121,""))</f>
        <v/>
      </c>
      <c r="C2144" s="14" t="str">
        <f>IF(ISBLANK(A2144),"",_xlfn.XLOOKUP(A2144,'DISPATCH SHEET'!C$3:C$121,'DISPATCH SHEET'!#REF!,""))</f>
        <v/>
      </c>
    </row>
    <row r="2145" spans="2:3" x14ac:dyDescent="0.2">
      <c r="B2145" s="14" t="str">
        <f>IF(A2145="","",_xlfn.XLOOKUP(A2145,'DISPATCH SHEET'!B$3:B$121,'DISPATCH SHEET'!C$3:C$121,""))</f>
        <v/>
      </c>
      <c r="C2145" s="14" t="str">
        <f>IF(ISBLANK(A2145),"",_xlfn.XLOOKUP(A2145,'DISPATCH SHEET'!C$3:C$121,'DISPATCH SHEET'!#REF!,""))</f>
        <v/>
      </c>
    </row>
    <row r="2146" spans="2:3" x14ac:dyDescent="0.2">
      <c r="B2146" s="14" t="str">
        <f>IF(A2146="","",_xlfn.XLOOKUP(A2146,'DISPATCH SHEET'!B$3:B$121,'DISPATCH SHEET'!C$3:C$121,""))</f>
        <v/>
      </c>
      <c r="C2146" s="14" t="str">
        <f>IF(ISBLANK(A2146),"",_xlfn.XLOOKUP(A2146,'DISPATCH SHEET'!C$3:C$121,'DISPATCH SHEET'!#REF!,""))</f>
        <v/>
      </c>
    </row>
    <row r="2147" spans="2:3" x14ac:dyDescent="0.2">
      <c r="B2147" s="14" t="str">
        <f>IF(A2147="","",_xlfn.XLOOKUP(A2147,'DISPATCH SHEET'!B$3:B$121,'DISPATCH SHEET'!C$3:C$121,""))</f>
        <v/>
      </c>
      <c r="C2147" s="14" t="str">
        <f>IF(ISBLANK(A2147),"",_xlfn.XLOOKUP(A2147,'DISPATCH SHEET'!C$3:C$121,'DISPATCH SHEET'!#REF!,""))</f>
        <v/>
      </c>
    </row>
    <row r="2148" spans="2:3" x14ac:dyDescent="0.2">
      <c r="B2148" s="14" t="str">
        <f>IF(A2148="","",_xlfn.XLOOKUP(A2148,'DISPATCH SHEET'!B$3:B$121,'DISPATCH SHEET'!C$3:C$121,""))</f>
        <v/>
      </c>
      <c r="C2148" s="14" t="str">
        <f>IF(ISBLANK(A2148),"",_xlfn.XLOOKUP(A2148,'DISPATCH SHEET'!C$3:C$121,'DISPATCH SHEET'!#REF!,""))</f>
        <v/>
      </c>
    </row>
    <row r="2149" spans="2:3" x14ac:dyDescent="0.2">
      <c r="B2149" s="14" t="str">
        <f>IF(A2149="","",_xlfn.XLOOKUP(A2149,'DISPATCH SHEET'!B$3:B$121,'DISPATCH SHEET'!C$3:C$121,""))</f>
        <v/>
      </c>
      <c r="C2149" s="14" t="str">
        <f>IF(ISBLANK(A2149),"",_xlfn.XLOOKUP(A2149,'DISPATCH SHEET'!C$3:C$121,'DISPATCH SHEET'!#REF!,""))</f>
        <v/>
      </c>
    </row>
    <row r="2150" spans="2:3" x14ac:dyDescent="0.2">
      <c r="B2150" s="14" t="str">
        <f>IF(A2150="","",_xlfn.XLOOKUP(A2150,'DISPATCH SHEET'!B$3:B$121,'DISPATCH SHEET'!C$3:C$121,""))</f>
        <v/>
      </c>
      <c r="C2150" s="14" t="str">
        <f>IF(ISBLANK(A2150),"",_xlfn.XLOOKUP(A2150,'DISPATCH SHEET'!C$3:C$121,'DISPATCH SHEET'!#REF!,""))</f>
        <v/>
      </c>
    </row>
    <row r="2151" spans="2:3" x14ac:dyDescent="0.2">
      <c r="B2151" s="14" t="str">
        <f>IF(A2151="","",_xlfn.XLOOKUP(A2151,'DISPATCH SHEET'!B$3:B$121,'DISPATCH SHEET'!C$3:C$121,""))</f>
        <v/>
      </c>
      <c r="C2151" s="14" t="str">
        <f>IF(ISBLANK(A2151),"",_xlfn.XLOOKUP(A2151,'DISPATCH SHEET'!C$3:C$121,'DISPATCH SHEET'!#REF!,""))</f>
        <v/>
      </c>
    </row>
    <row r="2152" spans="2:3" x14ac:dyDescent="0.2">
      <c r="B2152" s="14" t="str">
        <f>IF(A2152="","",_xlfn.XLOOKUP(A2152,'DISPATCH SHEET'!B$3:B$121,'DISPATCH SHEET'!C$3:C$121,""))</f>
        <v/>
      </c>
      <c r="C2152" s="14" t="str">
        <f>IF(ISBLANK(A2152),"",_xlfn.XLOOKUP(A2152,'DISPATCH SHEET'!C$3:C$121,'DISPATCH SHEET'!#REF!,""))</f>
        <v/>
      </c>
    </row>
    <row r="2153" spans="2:3" x14ac:dyDescent="0.2">
      <c r="B2153" s="14" t="str">
        <f>IF(A2153="","",_xlfn.XLOOKUP(A2153,'DISPATCH SHEET'!B$3:B$121,'DISPATCH SHEET'!C$3:C$121,""))</f>
        <v/>
      </c>
      <c r="C2153" s="14" t="str">
        <f>IF(ISBLANK(A2153),"",_xlfn.XLOOKUP(A2153,'DISPATCH SHEET'!C$3:C$121,'DISPATCH SHEET'!#REF!,""))</f>
        <v/>
      </c>
    </row>
    <row r="2154" spans="2:3" x14ac:dyDescent="0.2">
      <c r="B2154" s="14" t="str">
        <f>IF(A2154="","",_xlfn.XLOOKUP(A2154,'DISPATCH SHEET'!B$3:B$121,'DISPATCH SHEET'!C$3:C$121,""))</f>
        <v/>
      </c>
      <c r="C2154" s="14" t="str">
        <f>IF(ISBLANK(A2154),"",_xlfn.XLOOKUP(A2154,'DISPATCH SHEET'!C$3:C$121,'DISPATCH SHEET'!#REF!,""))</f>
        <v/>
      </c>
    </row>
    <row r="2155" spans="2:3" x14ac:dyDescent="0.2">
      <c r="B2155" s="14" t="str">
        <f>IF(A2155="","",_xlfn.XLOOKUP(A2155,'DISPATCH SHEET'!B$3:B$121,'DISPATCH SHEET'!C$3:C$121,""))</f>
        <v/>
      </c>
      <c r="C2155" s="14" t="str">
        <f>IF(ISBLANK(A2155),"",_xlfn.XLOOKUP(A2155,'DISPATCH SHEET'!C$3:C$121,'DISPATCH SHEET'!#REF!,""))</f>
        <v/>
      </c>
    </row>
    <row r="2156" spans="2:3" x14ac:dyDescent="0.2">
      <c r="B2156" s="14" t="str">
        <f>IF(A2156="","",_xlfn.XLOOKUP(A2156,'DISPATCH SHEET'!B$3:B$121,'DISPATCH SHEET'!C$3:C$121,""))</f>
        <v/>
      </c>
      <c r="C2156" s="14" t="str">
        <f>IF(ISBLANK(A2156),"",_xlfn.XLOOKUP(A2156,'DISPATCH SHEET'!C$3:C$121,'DISPATCH SHEET'!#REF!,""))</f>
        <v/>
      </c>
    </row>
    <row r="2157" spans="2:3" x14ac:dyDescent="0.2">
      <c r="B2157" s="14" t="str">
        <f>IF(A2157="","",_xlfn.XLOOKUP(A2157,'DISPATCH SHEET'!B$3:B$121,'DISPATCH SHEET'!C$3:C$121,""))</f>
        <v/>
      </c>
      <c r="C2157" s="14" t="str">
        <f>IF(ISBLANK(A2157),"",_xlfn.XLOOKUP(A2157,'DISPATCH SHEET'!C$3:C$121,'DISPATCH SHEET'!#REF!,""))</f>
        <v/>
      </c>
    </row>
    <row r="2158" spans="2:3" x14ac:dyDescent="0.2">
      <c r="B2158" s="14" t="str">
        <f>IF(A2158="","",_xlfn.XLOOKUP(A2158,'DISPATCH SHEET'!B$3:B$121,'DISPATCH SHEET'!C$3:C$121,""))</f>
        <v/>
      </c>
      <c r="C2158" s="14" t="str">
        <f>IF(ISBLANK(A2158),"",_xlfn.XLOOKUP(A2158,'DISPATCH SHEET'!C$3:C$121,'DISPATCH SHEET'!#REF!,""))</f>
        <v/>
      </c>
    </row>
    <row r="2159" spans="2:3" x14ac:dyDescent="0.2">
      <c r="B2159" s="14" t="str">
        <f>IF(A2159="","",_xlfn.XLOOKUP(A2159,'DISPATCH SHEET'!B$3:B$121,'DISPATCH SHEET'!C$3:C$121,""))</f>
        <v/>
      </c>
      <c r="C2159" s="14" t="str">
        <f>IF(ISBLANK(A2159),"",_xlfn.XLOOKUP(A2159,'DISPATCH SHEET'!C$3:C$121,'DISPATCH SHEET'!#REF!,""))</f>
        <v/>
      </c>
    </row>
    <row r="2160" spans="2:3" x14ac:dyDescent="0.2">
      <c r="B2160" s="14" t="str">
        <f>IF(A2160="","",_xlfn.XLOOKUP(A2160,'DISPATCH SHEET'!B$3:B$121,'DISPATCH SHEET'!C$3:C$121,""))</f>
        <v/>
      </c>
      <c r="C2160" s="14" t="str">
        <f>IF(ISBLANK(A2160),"",_xlfn.XLOOKUP(A2160,'DISPATCH SHEET'!C$3:C$121,'DISPATCH SHEET'!#REF!,""))</f>
        <v/>
      </c>
    </row>
    <row r="2161" spans="2:3" x14ac:dyDescent="0.2">
      <c r="B2161" s="14" t="str">
        <f>IF(A2161="","",_xlfn.XLOOKUP(A2161,'DISPATCH SHEET'!B$3:B$121,'DISPATCH SHEET'!C$3:C$121,""))</f>
        <v/>
      </c>
      <c r="C2161" s="14" t="str">
        <f>IF(ISBLANK(A2161),"",_xlfn.XLOOKUP(A2161,'DISPATCH SHEET'!C$3:C$121,'DISPATCH SHEET'!#REF!,""))</f>
        <v/>
      </c>
    </row>
    <row r="2162" spans="2:3" x14ac:dyDescent="0.2">
      <c r="B2162" s="14" t="str">
        <f>IF(A2162="","",_xlfn.XLOOKUP(A2162,'DISPATCH SHEET'!B$3:B$121,'DISPATCH SHEET'!C$3:C$121,""))</f>
        <v/>
      </c>
      <c r="C2162" s="14" t="str">
        <f>IF(ISBLANK(A2162),"",_xlfn.XLOOKUP(A2162,'DISPATCH SHEET'!C$3:C$121,'DISPATCH SHEET'!#REF!,""))</f>
        <v/>
      </c>
    </row>
    <row r="2163" spans="2:3" x14ac:dyDescent="0.2">
      <c r="B2163" s="14" t="str">
        <f>IF(A2163="","",_xlfn.XLOOKUP(A2163,'DISPATCH SHEET'!B$3:B$121,'DISPATCH SHEET'!C$3:C$121,""))</f>
        <v/>
      </c>
      <c r="C2163" s="14" t="str">
        <f>IF(ISBLANK(A2163),"",_xlfn.XLOOKUP(A2163,'DISPATCH SHEET'!C$3:C$121,'DISPATCH SHEET'!#REF!,""))</f>
        <v/>
      </c>
    </row>
    <row r="2164" spans="2:3" x14ac:dyDescent="0.2">
      <c r="B2164" s="14" t="str">
        <f>IF(A2164="","",_xlfn.XLOOKUP(A2164,'DISPATCH SHEET'!B$3:B$121,'DISPATCH SHEET'!C$3:C$121,""))</f>
        <v/>
      </c>
      <c r="C2164" s="14" t="str">
        <f>IF(ISBLANK(A2164),"",_xlfn.XLOOKUP(A2164,'DISPATCH SHEET'!C$3:C$121,'DISPATCH SHEET'!#REF!,""))</f>
        <v/>
      </c>
    </row>
    <row r="2165" spans="2:3" x14ac:dyDescent="0.2">
      <c r="B2165" s="14" t="str">
        <f>IF(A2165="","",_xlfn.XLOOKUP(A2165,'DISPATCH SHEET'!B$3:B$121,'DISPATCH SHEET'!C$3:C$121,""))</f>
        <v/>
      </c>
      <c r="C2165" s="14" t="str">
        <f>IF(ISBLANK(A2165),"",_xlfn.XLOOKUP(A2165,'DISPATCH SHEET'!C$3:C$121,'DISPATCH SHEET'!#REF!,""))</f>
        <v/>
      </c>
    </row>
    <row r="2166" spans="2:3" x14ac:dyDescent="0.2">
      <c r="B2166" s="14" t="str">
        <f>IF(A2166="","",_xlfn.XLOOKUP(A2166,'DISPATCH SHEET'!B$3:B$121,'DISPATCH SHEET'!C$3:C$121,""))</f>
        <v/>
      </c>
      <c r="C2166" s="14" t="str">
        <f>IF(ISBLANK(A2166),"",_xlfn.XLOOKUP(A2166,'DISPATCH SHEET'!C$3:C$121,'DISPATCH SHEET'!#REF!,""))</f>
        <v/>
      </c>
    </row>
    <row r="2167" spans="2:3" x14ac:dyDescent="0.2">
      <c r="B2167" s="14" t="str">
        <f>IF(A2167="","",_xlfn.XLOOKUP(A2167,'DISPATCH SHEET'!B$3:B$121,'DISPATCH SHEET'!C$3:C$121,""))</f>
        <v/>
      </c>
      <c r="C2167" s="14" t="str">
        <f>IF(ISBLANK(A2167),"",_xlfn.XLOOKUP(A2167,'DISPATCH SHEET'!C$3:C$121,'DISPATCH SHEET'!#REF!,""))</f>
        <v/>
      </c>
    </row>
    <row r="2168" spans="2:3" x14ac:dyDescent="0.2">
      <c r="B2168" s="14" t="str">
        <f>IF(A2168="","",_xlfn.XLOOKUP(A2168,'DISPATCH SHEET'!B$3:B$121,'DISPATCH SHEET'!C$3:C$121,""))</f>
        <v/>
      </c>
      <c r="C2168" s="14" t="str">
        <f>IF(ISBLANK(A2168),"",_xlfn.XLOOKUP(A2168,'DISPATCH SHEET'!C$3:C$121,'DISPATCH SHEET'!#REF!,""))</f>
        <v/>
      </c>
    </row>
    <row r="2169" spans="2:3" x14ac:dyDescent="0.2">
      <c r="B2169" s="14" t="str">
        <f>IF(A2169="","",_xlfn.XLOOKUP(A2169,'DISPATCH SHEET'!B$3:B$121,'DISPATCH SHEET'!C$3:C$121,""))</f>
        <v/>
      </c>
      <c r="C2169" s="14" t="str">
        <f>IF(ISBLANK(A2169),"",_xlfn.XLOOKUP(A2169,'DISPATCH SHEET'!C$3:C$121,'DISPATCH SHEET'!#REF!,""))</f>
        <v/>
      </c>
    </row>
    <row r="2170" spans="2:3" x14ac:dyDescent="0.2">
      <c r="B2170" s="14" t="str">
        <f>IF(A2170="","",_xlfn.XLOOKUP(A2170,'DISPATCH SHEET'!B$3:B$121,'DISPATCH SHEET'!C$3:C$121,""))</f>
        <v/>
      </c>
      <c r="C2170" s="14" t="str">
        <f>IF(ISBLANK(A2170),"",_xlfn.XLOOKUP(A2170,'DISPATCH SHEET'!C$3:C$121,'DISPATCH SHEET'!#REF!,""))</f>
        <v/>
      </c>
    </row>
    <row r="2171" spans="2:3" x14ac:dyDescent="0.2">
      <c r="B2171" s="14" t="str">
        <f>IF(A2171="","",_xlfn.XLOOKUP(A2171,'DISPATCH SHEET'!B$3:B$121,'DISPATCH SHEET'!C$3:C$121,""))</f>
        <v/>
      </c>
      <c r="C2171" s="14" t="str">
        <f>IF(ISBLANK(A2171),"",_xlfn.XLOOKUP(A2171,'DISPATCH SHEET'!C$3:C$121,'DISPATCH SHEET'!#REF!,""))</f>
        <v/>
      </c>
    </row>
    <row r="2172" spans="2:3" x14ac:dyDescent="0.2">
      <c r="B2172" s="14" t="str">
        <f>IF(A2172="","",_xlfn.XLOOKUP(A2172,'DISPATCH SHEET'!B$3:B$121,'DISPATCH SHEET'!C$3:C$121,""))</f>
        <v/>
      </c>
      <c r="C2172" s="14" t="str">
        <f>IF(ISBLANK(A2172),"",_xlfn.XLOOKUP(A2172,'DISPATCH SHEET'!C$3:C$121,'DISPATCH SHEET'!#REF!,""))</f>
        <v/>
      </c>
    </row>
    <row r="2173" spans="2:3" x14ac:dyDescent="0.2">
      <c r="B2173" s="14" t="str">
        <f>IF(A2173="","",_xlfn.XLOOKUP(A2173,'DISPATCH SHEET'!B$3:B$121,'DISPATCH SHEET'!C$3:C$121,""))</f>
        <v/>
      </c>
      <c r="C2173" s="14" t="str">
        <f>IF(ISBLANK(A2173),"",_xlfn.XLOOKUP(A2173,'DISPATCH SHEET'!C$3:C$121,'DISPATCH SHEET'!#REF!,""))</f>
        <v/>
      </c>
    </row>
    <row r="2174" spans="2:3" x14ac:dyDescent="0.2">
      <c r="B2174" s="14" t="str">
        <f>IF(A2174="","",_xlfn.XLOOKUP(A2174,'DISPATCH SHEET'!B$3:B$121,'DISPATCH SHEET'!C$3:C$121,""))</f>
        <v/>
      </c>
      <c r="C2174" s="14" t="str">
        <f>IF(ISBLANK(A2174),"",_xlfn.XLOOKUP(A2174,'DISPATCH SHEET'!C$3:C$121,'DISPATCH SHEET'!#REF!,""))</f>
        <v/>
      </c>
    </row>
    <row r="2175" spans="2:3" x14ac:dyDescent="0.2">
      <c r="B2175" s="14" t="str">
        <f>IF(A2175="","",_xlfn.XLOOKUP(A2175,'DISPATCH SHEET'!B$3:B$121,'DISPATCH SHEET'!C$3:C$121,""))</f>
        <v/>
      </c>
      <c r="C2175" s="14" t="str">
        <f>IF(ISBLANK(A2175),"",_xlfn.XLOOKUP(A2175,'DISPATCH SHEET'!C$3:C$121,'DISPATCH SHEET'!#REF!,""))</f>
        <v/>
      </c>
    </row>
    <row r="2176" spans="2:3" x14ac:dyDescent="0.2">
      <c r="B2176" s="14" t="str">
        <f>IF(A2176="","",_xlfn.XLOOKUP(A2176,'DISPATCH SHEET'!B$3:B$121,'DISPATCH SHEET'!C$3:C$121,""))</f>
        <v/>
      </c>
      <c r="C2176" s="14" t="str">
        <f>IF(ISBLANK(A2176),"",_xlfn.XLOOKUP(A2176,'DISPATCH SHEET'!C$3:C$121,'DISPATCH SHEET'!#REF!,""))</f>
        <v/>
      </c>
    </row>
    <row r="2177" spans="2:3" x14ac:dyDescent="0.2">
      <c r="B2177" s="14" t="str">
        <f>IF(A2177="","",_xlfn.XLOOKUP(A2177,'DISPATCH SHEET'!B$3:B$121,'DISPATCH SHEET'!C$3:C$121,""))</f>
        <v/>
      </c>
      <c r="C2177" s="14" t="str">
        <f>IF(ISBLANK(A2177),"",_xlfn.XLOOKUP(A2177,'DISPATCH SHEET'!C$3:C$121,'DISPATCH SHEET'!#REF!,""))</f>
        <v/>
      </c>
    </row>
    <row r="2178" spans="2:3" x14ac:dyDescent="0.2">
      <c r="B2178" s="14" t="str">
        <f>IF(A2178="","",_xlfn.XLOOKUP(A2178,'DISPATCH SHEET'!B$3:B$121,'DISPATCH SHEET'!C$3:C$121,""))</f>
        <v/>
      </c>
      <c r="C2178" s="14" t="str">
        <f>IF(ISBLANK(A2178),"",_xlfn.XLOOKUP(A2178,'DISPATCH SHEET'!C$3:C$121,'DISPATCH SHEET'!#REF!,""))</f>
        <v/>
      </c>
    </row>
    <row r="2179" spans="2:3" x14ac:dyDescent="0.2">
      <c r="B2179" s="14" t="str">
        <f>IF(A2179="","",_xlfn.XLOOKUP(A2179,'DISPATCH SHEET'!B$3:B$121,'DISPATCH SHEET'!C$3:C$121,""))</f>
        <v/>
      </c>
      <c r="C2179" s="14" t="str">
        <f>IF(ISBLANK(A2179),"",_xlfn.XLOOKUP(A2179,'DISPATCH SHEET'!C$3:C$121,'DISPATCH SHEET'!#REF!,""))</f>
        <v/>
      </c>
    </row>
    <row r="2180" spans="2:3" x14ac:dyDescent="0.2">
      <c r="B2180" s="14" t="str">
        <f>IF(A2180="","",_xlfn.XLOOKUP(A2180,'DISPATCH SHEET'!B$3:B$121,'DISPATCH SHEET'!C$3:C$121,""))</f>
        <v/>
      </c>
      <c r="C2180" s="14" t="str">
        <f>IF(ISBLANK(A2180),"",_xlfn.XLOOKUP(A2180,'DISPATCH SHEET'!C$3:C$121,'DISPATCH SHEET'!#REF!,""))</f>
        <v/>
      </c>
    </row>
    <row r="2181" spans="2:3" x14ac:dyDescent="0.2">
      <c r="B2181" s="14" t="str">
        <f>IF(A2181="","",_xlfn.XLOOKUP(A2181,'DISPATCH SHEET'!B$3:B$121,'DISPATCH SHEET'!C$3:C$121,""))</f>
        <v/>
      </c>
      <c r="C2181" s="14" t="str">
        <f>IF(ISBLANK(A2181),"",_xlfn.XLOOKUP(A2181,'DISPATCH SHEET'!C$3:C$121,'DISPATCH SHEET'!#REF!,""))</f>
        <v/>
      </c>
    </row>
    <row r="2182" spans="2:3" x14ac:dyDescent="0.2">
      <c r="B2182" s="14" t="str">
        <f>IF(A2182="","",_xlfn.XLOOKUP(A2182,'DISPATCH SHEET'!B$3:B$121,'DISPATCH SHEET'!C$3:C$121,""))</f>
        <v/>
      </c>
      <c r="C2182" s="14" t="str">
        <f>IF(ISBLANK(A2182),"",_xlfn.XLOOKUP(A2182,'DISPATCH SHEET'!C$3:C$121,'DISPATCH SHEET'!#REF!,""))</f>
        <v/>
      </c>
    </row>
    <row r="2183" spans="2:3" x14ac:dyDescent="0.2">
      <c r="B2183" s="14" t="str">
        <f>IF(A2183="","",_xlfn.XLOOKUP(A2183,'DISPATCH SHEET'!B$3:B$121,'DISPATCH SHEET'!C$3:C$121,""))</f>
        <v/>
      </c>
      <c r="C2183" s="14" t="str">
        <f>IF(ISBLANK(A2183),"",_xlfn.XLOOKUP(A2183,'DISPATCH SHEET'!C$3:C$121,'DISPATCH SHEET'!#REF!,""))</f>
        <v/>
      </c>
    </row>
    <row r="2184" spans="2:3" x14ac:dyDescent="0.2">
      <c r="B2184" s="14" t="str">
        <f>IF(A2184="","",_xlfn.XLOOKUP(A2184,'DISPATCH SHEET'!B$3:B$121,'DISPATCH SHEET'!C$3:C$121,""))</f>
        <v/>
      </c>
      <c r="C2184" s="14" t="str">
        <f>IF(ISBLANK(A2184),"",_xlfn.XLOOKUP(A2184,'DISPATCH SHEET'!C$3:C$121,'DISPATCH SHEET'!#REF!,""))</f>
        <v/>
      </c>
    </row>
    <row r="2185" spans="2:3" x14ac:dyDescent="0.2">
      <c r="B2185" s="14" t="str">
        <f>IF(A2185="","",_xlfn.XLOOKUP(A2185,'DISPATCH SHEET'!B$3:B$121,'DISPATCH SHEET'!C$3:C$121,""))</f>
        <v/>
      </c>
      <c r="C2185" s="14" t="str">
        <f>IF(ISBLANK(A2185),"",_xlfn.XLOOKUP(A2185,'DISPATCH SHEET'!C$3:C$121,'DISPATCH SHEET'!#REF!,""))</f>
        <v/>
      </c>
    </row>
    <row r="2186" spans="2:3" x14ac:dyDescent="0.2">
      <c r="B2186" s="14" t="str">
        <f>IF(A2186="","",_xlfn.XLOOKUP(A2186,'DISPATCH SHEET'!B$3:B$121,'DISPATCH SHEET'!C$3:C$121,""))</f>
        <v/>
      </c>
      <c r="C2186" s="14" t="str">
        <f>IF(ISBLANK(A2186),"",_xlfn.XLOOKUP(A2186,'DISPATCH SHEET'!C$3:C$121,'DISPATCH SHEET'!#REF!,""))</f>
        <v/>
      </c>
    </row>
    <row r="2187" spans="2:3" x14ac:dyDescent="0.2">
      <c r="B2187" s="14" t="str">
        <f>IF(A2187="","",_xlfn.XLOOKUP(A2187,'DISPATCH SHEET'!B$3:B$121,'DISPATCH SHEET'!C$3:C$121,""))</f>
        <v/>
      </c>
      <c r="C2187" s="14" t="str">
        <f>IF(ISBLANK(A2187),"",_xlfn.XLOOKUP(A2187,'DISPATCH SHEET'!C$3:C$121,'DISPATCH SHEET'!#REF!,""))</f>
        <v/>
      </c>
    </row>
    <row r="2188" spans="2:3" x14ac:dyDescent="0.2">
      <c r="B2188" s="14" t="str">
        <f>IF(A2188="","",_xlfn.XLOOKUP(A2188,'DISPATCH SHEET'!B$3:B$121,'DISPATCH SHEET'!C$3:C$121,""))</f>
        <v/>
      </c>
      <c r="C2188" s="14" t="str">
        <f>IF(ISBLANK(A2188),"",_xlfn.XLOOKUP(A2188,'DISPATCH SHEET'!C$3:C$121,'DISPATCH SHEET'!#REF!,""))</f>
        <v/>
      </c>
    </row>
    <row r="2189" spans="2:3" x14ac:dyDescent="0.2">
      <c r="B2189" s="14" t="str">
        <f>IF(A2189="","",_xlfn.XLOOKUP(A2189,'DISPATCH SHEET'!B$3:B$121,'DISPATCH SHEET'!C$3:C$121,""))</f>
        <v/>
      </c>
      <c r="C2189" s="14" t="str">
        <f>IF(ISBLANK(A2189),"",_xlfn.XLOOKUP(A2189,'DISPATCH SHEET'!C$3:C$121,'DISPATCH SHEET'!#REF!,""))</f>
        <v/>
      </c>
    </row>
    <row r="2190" spans="2:3" x14ac:dyDescent="0.2">
      <c r="B2190" s="14" t="str">
        <f>IF(A2190="","",_xlfn.XLOOKUP(A2190,'DISPATCH SHEET'!B$3:B$121,'DISPATCH SHEET'!C$3:C$121,""))</f>
        <v/>
      </c>
      <c r="C2190" s="14" t="str">
        <f>IF(ISBLANK(A2190),"",_xlfn.XLOOKUP(A2190,'DISPATCH SHEET'!C$3:C$121,'DISPATCH SHEET'!#REF!,""))</f>
        <v/>
      </c>
    </row>
    <row r="2191" spans="2:3" x14ac:dyDescent="0.2">
      <c r="B2191" s="14" t="str">
        <f>IF(A2191="","",_xlfn.XLOOKUP(A2191,'DISPATCH SHEET'!B$3:B$121,'DISPATCH SHEET'!C$3:C$121,""))</f>
        <v/>
      </c>
      <c r="C2191" s="14" t="str">
        <f>IF(ISBLANK(A2191),"",_xlfn.XLOOKUP(A2191,'DISPATCH SHEET'!C$3:C$121,'DISPATCH SHEET'!#REF!,""))</f>
        <v/>
      </c>
    </row>
    <row r="2192" spans="2:3" x14ac:dyDescent="0.2">
      <c r="B2192" s="14" t="str">
        <f>IF(A2192="","",_xlfn.XLOOKUP(A2192,'DISPATCH SHEET'!B$3:B$121,'DISPATCH SHEET'!C$3:C$121,""))</f>
        <v/>
      </c>
      <c r="C2192" s="14" t="str">
        <f>IF(ISBLANK(A2192),"",_xlfn.XLOOKUP(A2192,'DISPATCH SHEET'!C$3:C$121,'DISPATCH SHEET'!#REF!,""))</f>
        <v/>
      </c>
    </row>
    <row r="2193" spans="2:3" x14ac:dyDescent="0.2">
      <c r="B2193" s="14" t="str">
        <f>IF(A2193="","",_xlfn.XLOOKUP(A2193,'DISPATCH SHEET'!B$3:B$121,'DISPATCH SHEET'!C$3:C$121,""))</f>
        <v/>
      </c>
      <c r="C2193" s="14" t="str">
        <f>IF(ISBLANK(A2193),"",_xlfn.XLOOKUP(A2193,'DISPATCH SHEET'!C$3:C$121,'DISPATCH SHEET'!#REF!,""))</f>
        <v/>
      </c>
    </row>
    <row r="2194" spans="2:3" x14ac:dyDescent="0.2">
      <c r="B2194" s="14" t="str">
        <f>IF(A2194="","",_xlfn.XLOOKUP(A2194,'DISPATCH SHEET'!B$3:B$121,'DISPATCH SHEET'!C$3:C$121,""))</f>
        <v/>
      </c>
      <c r="C2194" s="14" t="str">
        <f>IF(ISBLANK(A2194),"",_xlfn.XLOOKUP(A2194,'DISPATCH SHEET'!C$3:C$121,'DISPATCH SHEET'!#REF!,""))</f>
        <v/>
      </c>
    </row>
    <row r="2195" spans="2:3" x14ac:dyDescent="0.2">
      <c r="B2195" s="14" t="str">
        <f>IF(A2195="","",_xlfn.XLOOKUP(A2195,'DISPATCH SHEET'!B$3:B$121,'DISPATCH SHEET'!C$3:C$121,""))</f>
        <v/>
      </c>
      <c r="C2195" s="14" t="str">
        <f>IF(ISBLANK(A2195),"",_xlfn.XLOOKUP(A2195,'DISPATCH SHEET'!C$3:C$121,'DISPATCH SHEET'!#REF!,""))</f>
        <v/>
      </c>
    </row>
    <row r="2196" spans="2:3" x14ac:dyDescent="0.2">
      <c r="B2196" s="14" t="str">
        <f>IF(A2196="","",_xlfn.XLOOKUP(A2196,'DISPATCH SHEET'!B$3:B$121,'DISPATCH SHEET'!C$3:C$121,""))</f>
        <v/>
      </c>
      <c r="C2196" s="14" t="str">
        <f>IF(ISBLANK(A2196),"",_xlfn.XLOOKUP(A2196,'DISPATCH SHEET'!C$3:C$121,'DISPATCH SHEET'!#REF!,""))</f>
        <v/>
      </c>
    </row>
    <row r="2197" spans="2:3" x14ac:dyDescent="0.2">
      <c r="B2197" s="14" t="str">
        <f>IF(A2197="","",_xlfn.XLOOKUP(A2197,'DISPATCH SHEET'!B$3:B$121,'DISPATCH SHEET'!C$3:C$121,""))</f>
        <v/>
      </c>
      <c r="C2197" s="14" t="str">
        <f>IF(ISBLANK(A2197),"",_xlfn.XLOOKUP(A2197,'DISPATCH SHEET'!C$3:C$121,'DISPATCH SHEET'!#REF!,""))</f>
        <v/>
      </c>
    </row>
    <row r="2198" spans="2:3" x14ac:dyDescent="0.2">
      <c r="B2198" s="14" t="str">
        <f>IF(A2198="","",_xlfn.XLOOKUP(A2198,'DISPATCH SHEET'!B$3:B$121,'DISPATCH SHEET'!C$3:C$121,""))</f>
        <v/>
      </c>
      <c r="C2198" s="14" t="str">
        <f>IF(ISBLANK(A2198),"",_xlfn.XLOOKUP(A2198,'DISPATCH SHEET'!C$3:C$121,'DISPATCH SHEET'!#REF!,""))</f>
        <v/>
      </c>
    </row>
    <row r="2199" spans="2:3" x14ac:dyDescent="0.2">
      <c r="B2199" s="14" t="str">
        <f>IF(A2199="","",_xlfn.XLOOKUP(A2199,'DISPATCH SHEET'!B$3:B$121,'DISPATCH SHEET'!C$3:C$121,""))</f>
        <v/>
      </c>
      <c r="C2199" s="14" t="str">
        <f>IF(ISBLANK(A2199),"",_xlfn.XLOOKUP(A2199,'DISPATCH SHEET'!C$3:C$121,'DISPATCH SHEET'!#REF!,""))</f>
        <v/>
      </c>
    </row>
    <row r="2200" spans="2:3" x14ac:dyDescent="0.2">
      <c r="B2200" s="14" t="str">
        <f>IF(A2200="","",_xlfn.XLOOKUP(A2200,'DISPATCH SHEET'!B$3:B$121,'DISPATCH SHEET'!C$3:C$121,""))</f>
        <v/>
      </c>
      <c r="C2200" s="14" t="str">
        <f>IF(ISBLANK(A2200),"",_xlfn.XLOOKUP(A2200,'DISPATCH SHEET'!C$3:C$121,'DISPATCH SHEET'!#REF!,""))</f>
        <v/>
      </c>
    </row>
    <row r="2201" spans="2:3" x14ac:dyDescent="0.2">
      <c r="B2201" s="14" t="str">
        <f>IF(A2201="","",_xlfn.XLOOKUP(A2201,'DISPATCH SHEET'!B$3:B$121,'DISPATCH SHEET'!C$3:C$121,""))</f>
        <v/>
      </c>
      <c r="C2201" s="14" t="str">
        <f>IF(ISBLANK(A2201),"",_xlfn.XLOOKUP(A2201,'DISPATCH SHEET'!C$3:C$121,'DISPATCH SHEET'!#REF!,""))</f>
        <v/>
      </c>
    </row>
    <row r="2202" spans="2:3" x14ac:dyDescent="0.2">
      <c r="B2202" s="14" t="str">
        <f>IF(A2202="","",_xlfn.XLOOKUP(A2202,'DISPATCH SHEET'!B$3:B$121,'DISPATCH SHEET'!C$3:C$121,""))</f>
        <v/>
      </c>
      <c r="C2202" s="14" t="str">
        <f>IF(ISBLANK(A2202),"",_xlfn.XLOOKUP(A2202,'DISPATCH SHEET'!C$3:C$121,'DISPATCH SHEET'!#REF!,""))</f>
        <v/>
      </c>
    </row>
    <row r="2203" spans="2:3" x14ac:dyDescent="0.2">
      <c r="B2203" s="14" t="str">
        <f>IF(A2203="","",_xlfn.XLOOKUP(A2203,'DISPATCH SHEET'!B$3:B$121,'DISPATCH SHEET'!C$3:C$121,""))</f>
        <v/>
      </c>
      <c r="C2203" s="14" t="str">
        <f>IF(ISBLANK(A2203),"",_xlfn.XLOOKUP(A2203,'DISPATCH SHEET'!C$3:C$121,'DISPATCH SHEET'!#REF!,""))</f>
        <v/>
      </c>
    </row>
    <row r="2204" spans="2:3" x14ac:dyDescent="0.2">
      <c r="B2204" s="14" t="str">
        <f>IF(A2204="","",_xlfn.XLOOKUP(A2204,'DISPATCH SHEET'!B$3:B$121,'DISPATCH SHEET'!C$3:C$121,""))</f>
        <v/>
      </c>
      <c r="C2204" s="14" t="str">
        <f>IF(ISBLANK(A2204),"",_xlfn.XLOOKUP(A2204,'DISPATCH SHEET'!C$3:C$121,'DISPATCH SHEET'!#REF!,""))</f>
        <v/>
      </c>
    </row>
    <row r="2205" spans="2:3" x14ac:dyDescent="0.2">
      <c r="B2205" s="14" t="str">
        <f>IF(A2205="","",_xlfn.XLOOKUP(A2205,'DISPATCH SHEET'!B$3:B$121,'DISPATCH SHEET'!C$3:C$121,""))</f>
        <v/>
      </c>
      <c r="C2205" s="14" t="str">
        <f>IF(ISBLANK(A2205),"",_xlfn.XLOOKUP(A2205,'DISPATCH SHEET'!C$3:C$121,'DISPATCH SHEET'!#REF!,""))</f>
        <v/>
      </c>
    </row>
    <row r="2206" spans="2:3" x14ac:dyDescent="0.2">
      <c r="B2206" s="14" t="str">
        <f>IF(A2206="","",_xlfn.XLOOKUP(A2206,'DISPATCH SHEET'!B$3:B$121,'DISPATCH SHEET'!C$3:C$121,""))</f>
        <v/>
      </c>
      <c r="C2206" s="14" t="str">
        <f>IF(ISBLANK(A2206),"",_xlfn.XLOOKUP(A2206,'DISPATCH SHEET'!C$3:C$121,'DISPATCH SHEET'!#REF!,""))</f>
        <v/>
      </c>
    </row>
    <row r="2207" spans="2:3" x14ac:dyDescent="0.2">
      <c r="B2207" s="14" t="str">
        <f>IF(A2207="","",_xlfn.XLOOKUP(A2207,'DISPATCH SHEET'!B$3:B$121,'DISPATCH SHEET'!C$3:C$121,""))</f>
        <v/>
      </c>
      <c r="C2207" s="14" t="str">
        <f>IF(ISBLANK(A2207),"",_xlfn.XLOOKUP(A2207,'DISPATCH SHEET'!C$3:C$121,'DISPATCH SHEET'!#REF!,""))</f>
        <v/>
      </c>
    </row>
    <row r="2208" spans="2:3" x14ac:dyDescent="0.2">
      <c r="B2208" s="14" t="str">
        <f>IF(A2208="","",_xlfn.XLOOKUP(A2208,'DISPATCH SHEET'!B$3:B$121,'DISPATCH SHEET'!C$3:C$121,""))</f>
        <v/>
      </c>
      <c r="C2208" s="14" t="str">
        <f>IF(ISBLANK(A2208),"",_xlfn.XLOOKUP(A2208,'DISPATCH SHEET'!C$3:C$121,'DISPATCH SHEET'!#REF!,""))</f>
        <v/>
      </c>
    </row>
    <row r="2209" spans="2:3" x14ac:dyDescent="0.2">
      <c r="B2209" s="14" t="str">
        <f>IF(A2209="","",_xlfn.XLOOKUP(A2209,'DISPATCH SHEET'!B$3:B$121,'DISPATCH SHEET'!C$3:C$121,""))</f>
        <v/>
      </c>
      <c r="C2209" s="14" t="str">
        <f>IF(ISBLANK(A2209),"",_xlfn.XLOOKUP(A2209,'DISPATCH SHEET'!C$3:C$121,'DISPATCH SHEET'!#REF!,""))</f>
        <v/>
      </c>
    </row>
    <row r="2210" spans="2:3" x14ac:dyDescent="0.2">
      <c r="B2210" s="14" t="str">
        <f>IF(A2210="","",_xlfn.XLOOKUP(A2210,'DISPATCH SHEET'!B$3:B$121,'DISPATCH SHEET'!C$3:C$121,""))</f>
        <v/>
      </c>
      <c r="C2210" s="14" t="str">
        <f>IF(ISBLANK(A2210),"",_xlfn.XLOOKUP(A2210,'DISPATCH SHEET'!C$3:C$121,'DISPATCH SHEET'!#REF!,""))</f>
        <v/>
      </c>
    </row>
    <row r="2211" spans="2:3" x14ac:dyDescent="0.2">
      <c r="B2211" s="14" t="str">
        <f>IF(A2211="","",_xlfn.XLOOKUP(A2211,'DISPATCH SHEET'!B$3:B$121,'DISPATCH SHEET'!C$3:C$121,""))</f>
        <v/>
      </c>
      <c r="C2211" s="14" t="str">
        <f>IF(ISBLANK(A2211),"",_xlfn.XLOOKUP(A2211,'DISPATCH SHEET'!C$3:C$121,'DISPATCH SHEET'!#REF!,""))</f>
        <v/>
      </c>
    </row>
    <row r="2212" spans="2:3" x14ac:dyDescent="0.2">
      <c r="B2212" s="14" t="str">
        <f>IF(A2212="","",_xlfn.XLOOKUP(A2212,'DISPATCH SHEET'!B$3:B$121,'DISPATCH SHEET'!C$3:C$121,""))</f>
        <v/>
      </c>
      <c r="C2212" s="14" t="str">
        <f>IF(ISBLANK(A2212),"",_xlfn.XLOOKUP(A2212,'DISPATCH SHEET'!C$3:C$121,'DISPATCH SHEET'!#REF!,""))</f>
        <v/>
      </c>
    </row>
    <row r="2213" spans="2:3" x14ac:dyDescent="0.2">
      <c r="B2213" s="14" t="str">
        <f>IF(A2213="","",_xlfn.XLOOKUP(A2213,'DISPATCH SHEET'!B$3:B$121,'DISPATCH SHEET'!C$3:C$121,""))</f>
        <v/>
      </c>
      <c r="C2213" s="14" t="str">
        <f>IF(ISBLANK(A2213),"",_xlfn.XLOOKUP(A2213,'DISPATCH SHEET'!C$3:C$121,'DISPATCH SHEET'!#REF!,""))</f>
        <v/>
      </c>
    </row>
    <row r="2214" spans="2:3" x14ac:dyDescent="0.2">
      <c r="B2214" s="14" t="str">
        <f>IF(A2214="","",_xlfn.XLOOKUP(A2214,'DISPATCH SHEET'!B$3:B$121,'DISPATCH SHEET'!C$3:C$121,""))</f>
        <v/>
      </c>
      <c r="C2214" s="14" t="str">
        <f>IF(ISBLANK(A2214),"",_xlfn.XLOOKUP(A2214,'DISPATCH SHEET'!C$3:C$121,'DISPATCH SHEET'!#REF!,""))</f>
        <v/>
      </c>
    </row>
    <row r="2215" spans="2:3" x14ac:dyDescent="0.2">
      <c r="B2215" s="14" t="str">
        <f>IF(A2215="","",_xlfn.XLOOKUP(A2215,'DISPATCH SHEET'!B$3:B$121,'DISPATCH SHEET'!C$3:C$121,""))</f>
        <v/>
      </c>
      <c r="C2215" s="14" t="str">
        <f>IF(ISBLANK(A2215),"",_xlfn.XLOOKUP(A2215,'DISPATCH SHEET'!C$3:C$121,'DISPATCH SHEET'!#REF!,""))</f>
        <v/>
      </c>
    </row>
    <row r="2216" spans="2:3" x14ac:dyDescent="0.2">
      <c r="B2216" s="14" t="str">
        <f>IF(A2216="","",_xlfn.XLOOKUP(A2216,'DISPATCH SHEET'!B$3:B$121,'DISPATCH SHEET'!C$3:C$121,""))</f>
        <v/>
      </c>
      <c r="C2216" s="14" t="str">
        <f>IF(ISBLANK(A2216),"",_xlfn.XLOOKUP(A2216,'DISPATCH SHEET'!C$3:C$121,'DISPATCH SHEET'!#REF!,""))</f>
        <v/>
      </c>
    </row>
    <row r="2217" spans="2:3" x14ac:dyDescent="0.2">
      <c r="B2217" s="14" t="str">
        <f>IF(A2217="","",_xlfn.XLOOKUP(A2217,'DISPATCH SHEET'!B$3:B$121,'DISPATCH SHEET'!C$3:C$121,""))</f>
        <v/>
      </c>
      <c r="C2217" s="14" t="str">
        <f>IF(ISBLANK(A2217),"",_xlfn.XLOOKUP(A2217,'DISPATCH SHEET'!C$3:C$121,'DISPATCH SHEET'!#REF!,""))</f>
        <v/>
      </c>
    </row>
    <row r="2218" spans="2:3" x14ac:dyDescent="0.2">
      <c r="B2218" s="14" t="str">
        <f>IF(A2218="","",_xlfn.XLOOKUP(A2218,'DISPATCH SHEET'!B$3:B$121,'DISPATCH SHEET'!C$3:C$121,""))</f>
        <v/>
      </c>
      <c r="C2218" s="14" t="str">
        <f>IF(ISBLANK(A2218),"",_xlfn.XLOOKUP(A2218,'DISPATCH SHEET'!C$3:C$121,'DISPATCH SHEET'!#REF!,""))</f>
        <v/>
      </c>
    </row>
    <row r="2219" spans="2:3" x14ac:dyDescent="0.2">
      <c r="B2219" s="14" t="str">
        <f>IF(A2219="","",_xlfn.XLOOKUP(A2219,'DISPATCH SHEET'!B$3:B$121,'DISPATCH SHEET'!C$3:C$121,""))</f>
        <v/>
      </c>
      <c r="C2219" s="14" t="str">
        <f>IF(ISBLANK(A2219),"",_xlfn.XLOOKUP(A2219,'DISPATCH SHEET'!C$3:C$121,'DISPATCH SHEET'!#REF!,""))</f>
        <v/>
      </c>
    </row>
    <row r="2220" spans="2:3" x14ac:dyDescent="0.2">
      <c r="B2220" s="14" t="str">
        <f>IF(A2220="","",_xlfn.XLOOKUP(A2220,'DISPATCH SHEET'!B$3:B$121,'DISPATCH SHEET'!C$3:C$121,""))</f>
        <v/>
      </c>
      <c r="C2220" s="14" t="str">
        <f>IF(ISBLANK(A2220),"",_xlfn.XLOOKUP(A2220,'DISPATCH SHEET'!C$3:C$121,'DISPATCH SHEET'!#REF!,""))</f>
        <v/>
      </c>
    </row>
    <row r="2221" spans="2:3" x14ac:dyDescent="0.2">
      <c r="B2221" s="14" t="str">
        <f>IF(A2221="","",_xlfn.XLOOKUP(A2221,'DISPATCH SHEET'!B$3:B$121,'DISPATCH SHEET'!C$3:C$121,""))</f>
        <v/>
      </c>
      <c r="C2221" s="14" t="str">
        <f>IF(ISBLANK(A2221),"",_xlfn.XLOOKUP(A2221,'DISPATCH SHEET'!C$3:C$121,'DISPATCH SHEET'!#REF!,""))</f>
        <v/>
      </c>
    </row>
    <row r="2222" spans="2:3" x14ac:dyDescent="0.2">
      <c r="B2222" s="14" t="str">
        <f>IF(A2222="","",_xlfn.XLOOKUP(A2222,'DISPATCH SHEET'!B$3:B$121,'DISPATCH SHEET'!C$3:C$121,""))</f>
        <v/>
      </c>
      <c r="C2222" s="14" t="str">
        <f>IF(ISBLANK(A2222),"",_xlfn.XLOOKUP(A2222,'DISPATCH SHEET'!C$3:C$121,'DISPATCH SHEET'!#REF!,""))</f>
        <v/>
      </c>
    </row>
    <row r="2223" spans="2:3" x14ac:dyDescent="0.2">
      <c r="B2223" s="14" t="str">
        <f>IF(A2223="","",_xlfn.XLOOKUP(A2223,'DISPATCH SHEET'!B$3:B$121,'DISPATCH SHEET'!C$3:C$121,""))</f>
        <v/>
      </c>
      <c r="C2223" s="14" t="str">
        <f>IF(ISBLANK(A2223),"",_xlfn.XLOOKUP(A2223,'DISPATCH SHEET'!C$3:C$121,'DISPATCH SHEET'!#REF!,""))</f>
        <v/>
      </c>
    </row>
    <row r="2224" spans="2:3" x14ac:dyDescent="0.2">
      <c r="B2224" s="14" t="str">
        <f>IF(A2224="","",_xlfn.XLOOKUP(A2224,'DISPATCH SHEET'!B$3:B$121,'DISPATCH SHEET'!C$3:C$121,""))</f>
        <v/>
      </c>
      <c r="C2224" s="14" t="str">
        <f>IF(ISBLANK(A2224),"",_xlfn.XLOOKUP(A2224,'DISPATCH SHEET'!C$3:C$121,'DISPATCH SHEET'!#REF!,""))</f>
        <v/>
      </c>
    </row>
    <row r="2225" spans="2:3" x14ac:dyDescent="0.2">
      <c r="B2225" s="14" t="str">
        <f>IF(A2225="","",_xlfn.XLOOKUP(A2225,'DISPATCH SHEET'!B$3:B$121,'DISPATCH SHEET'!C$3:C$121,""))</f>
        <v/>
      </c>
      <c r="C2225" s="14" t="str">
        <f>IF(ISBLANK(A2225),"",_xlfn.XLOOKUP(A2225,'DISPATCH SHEET'!C$3:C$121,'DISPATCH SHEET'!#REF!,""))</f>
        <v/>
      </c>
    </row>
    <row r="2226" spans="2:3" x14ac:dyDescent="0.2">
      <c r="B2226" s="14" t="str">
        <f>IF(A2226="","",_xlfn.XLOOKUP(A2226,'DISPATCH SHEET'!B$3:B$121,'DISPATCH SHEET'!C$3:C$121,""))</f>
        <v/>
      </c>
      <c r="C2226" s="14" t="str">
        <f>IF(ISBLANK(A2226),"",_xlfn.XLOOKUP(A2226,'DISPATCH SHEET'!C$3:C$121,'DISPATCH SHEET'!#REF!,""))</f>
        <v/>
      </c>
    </row>
    <row r="2227" spans="2:3" x14ac:dyDescent="0.2">
      <c r="B2227" s="14" t="str">
        <f>IF(A2227="","",_xlfn.XLOOKUP(A2227,'DISPATCH SHEET'!B$3:B$121,'DISPATCH SHEET'!C$3:C$121,""))</f>
        <v/>
      </c>
      <c r="C2227" s="14" t="str">
        <f>IF(ISBLANK(A2227),"",_xlfn.XLOOKUP(A2227,'DISPATCH SHEET'!C$3:C$121,'DISPATCH SHEET'!#REF!,""))</f>
        <v/>
      </c>
    </row>
    <row r="2228" spans="2:3" x14ac:dyDescent="0.2">
      <c r="B2228" s="14" t="str">
        <f>IF(A2228="","",_xlfn.XLOOKUP(A2228,'DISPATCH SHEET'!B$3:B$121,'DISPATCH SHEET'!C$3:C$121,""))</f>
        <v/>
      </c>
      <c r="C2228" s="14" t="str">
        <f>IF(ISBLANK(A2228),"",_xlfn.XLOOKUP(A2228,'DISPATCH SHEET'!C$3:C$121,'DISPATCH SHEET'!#REF!,""))</f>
        <v/>
      </c>
    </row>
    <row r="2229" spans="2:3" x14ac:dyDescent="0.2">
      <c r="B2229" s="14" t="str">
        <f>IF(A2229="","",_xlfn.XLOOKUP(A2229,'DISPATCH SHEET'!B$3:B$121,'DISPATCH SHEET'!C$3:C$121,""))</f>
        <v/>
      </c>
      <c r="C2229" s="14" t="str">
        <f>IF(ISBLANK(A2229),"",_xlfn.XLOOKUP(A2229,'DISPATCH SHEET'!C$3:C$121,'DISPATCH SHEET'!#REF!,""))</f>
        <v/>
      </c>
    </row>
    <row r="2230" spans="2:3" x14ac:dyDescent="0.2">
      <c r="B2230" s="14" t="str">
        <f>IF(A2230="","",_xlfn.XLOOKUP(A2230,'DISPATCH SHEET'!B$3:B$121,'DISPATCH SHEET'!C$3:C$121,""))</f>
        <v/>
      </c>
      <c r="C2230" s="14" t="str">
        <f>IF(ISBLANK(A2230),"",_xlfn.XLOOKUP(A2230,'DISPATCH SHEET'!C$3:C$121,'DISPATCH SHEET'!#REF!,""))</f>
        <v/>
      </c>
    </row>
    <row r="2231" spans="2:3" x14ac:dyDescent="0.2">
      <c r="B2231" s="14" t="str">
        <f>IF(A2231="","",_xlfn.XLOOKUP(A2231,'DISPATCH SHEET'!B$3:B$121,'DISPATCH SHEET'!C$3:C$121,""))</f>
        <v/>
      </c>
      <c r="C2231" s="14" t="str">
        <f>IF(ISBLANK(A2231),"",_xlfn.XLOOKUP(A2231,'DISPATCH SHEET'!C$3:C$121,'DISPATCH SHEET'!#REF!,""))</f>
        <v/>
      </c>
    </row>
    <row r="2232" spans="2:3" x14ac:dyDescent="0.2">
      <c r="B2232" s="14" t="str">
        <f>IF(A2232="","",_xlfn.XLOOKUP(A2232,'DISPATCH SHEET'!B$3:B$121,'DISPATCH SHEET'!C$3:C$121,""))</f>
        <v/>
      </c>
      <c r="C2232" s="14" t="str">
        <f>IF(ISBLANK(A2232),"",_xlfn.XLOOKUP(A2232,'DISPATCH SHEET'!C$3:C$121,'DISPATCH SHEET'!#REF!,""))</f>
        <v/>
      </c>
    </row>
    <row r="2233" spans="2:3" x14ac:dyDescent="0.2">
      <c r="B2233" s="14" t="str">
        <f>IF(A2233="","",_xlfn.XLOOKUP(A2233,'DISPATCH SHEET'!B$3:B$121,'DISPATCH SHEET'!C$3:C$121,""))</f>
        <v/>
      </c>
      <c r="C2233" s="14" t="str">
        <f>IF(ISBLANK(A2233),"",_xlfn.XLOOKUP(A2233,'DISPATCH SHEET'!C$3:C$121,'DISPATCH SHEET'!#REF!,""))</f>
        <v/>
      </c>
    </row>
    <row r="2234" spans="2:3" x14ac:dyDescent="0.2">
      <c r="B2234" s="14" t="str">
        <f>IF(A2234="","",_xlfn.XLOOKUP(A2234,'DISPATCH SHEET'!B$3:B$121,'DISPATCH SHEET'!C$3:C$121,""))</f>
        <v/>
      </c>
      <c r="C2234" s="14" t="str">
        <f>IF(ISBLANK(A2234),"",_xlfn.XLOOKUP(A2234,'DISPATCH SHEET'!C$3:C$121,'DISPATCH SHEET'!#REF!,""))</f>
        <v/>
      </c>
    </row>
    <row r="2235" spans="2:3" x14ac:dyDescent="0.2">
      <c r="B2235" s="14" t="str">
        <f>IF(A2235="","",_xlfn.XLOOKUP(A2235,'DISPATCH SHEET'!B$3:B$121,'DISPATCH SHEET'!C$3:C$121,""))</f>
        <v/>
      </c>
      <c r="C2235" s="14" t="str">
        <f>IF(ISBLANK(A2235),"",_xlfn.XLOOKUP(A2235,'DISPATCH SHEET'!C$3:C$121,'DISPATCH SHEET'!#REF!,""))</f>
        <v/>
      </c>
    </row>
    <row r="2236" spans="2:3" x14ac:dyDescent="0.2">
      <c r="B2236" s="14" t="str">
        <f>IF(A2236="","",_xlfn.XLOOKUP(A2236,'DISPATCH SHEET'!B$3:B$121,'DISPATCH SHEET'!C$3:C$121,""))</f>
        <v/>
      </c>
      <c r="C2236" s="14" t="str">
        <f>IF(ISBLANK(A2236),"",_xlfn.XLOOKUP(A2236,'DISPATCH SHEET'!C$3:C$121,'DISPATCH SHEET'!#REF!,""))</f>
        <v/>
      </c>
    </row>
    <row r="2237" spans="2:3" x14ac:dyDescent="0.2">
      <c r="B2237" s="14" t="str">
        <f>IF(A2237="","",_xlfn.XLOOKUP(A2237,'DISPATCH SHEET'!B$3:B$121,'DISPATCH SHEET'!C$3:C$121,""))</f>
        <v/>
      </c>
      <c r="C2237" s="14" t="str">
        <f>IF(ISBLANK(A2237),"",_xlfn.XLOOKUP(A2237,'DISPATCH SHEET'!C$3:C$121,'DISPATCH SHEET'!#REF!,""))</f>
        <v/>
      </c>
    </row>
    <row r="2238" spans="2:3" x14ac:dyDescent="0.2">
      <c r="B2238" s="14" t="str">
        <f>IF(A2238="","",_xlfn.XLOOKUP(A2238,'DISPATCH SHEET'!B$3:B$121,'DISPATCH SHEET'!C$3:C$121,""))</f>
        <v/>
      </c>
      <c r="C2238" s="14" t="str">
        <f>IF(ISBLANK(A2238),"",_xlfn.XLOOKUP(A2238,'DISPATCH SHEET'!C$3:C$121,'DISPATCH SHEET'!#REF!,""))</f>
        <v/>
      </c>
    </row>
    <row r="2239" spans="2:3" x14ac:dyDescent="0.2">
      <c r="B2239" s="14" t="str">
        <f>IF(A2239="","",_xlfn.XLOOKUP(A2239,'DISPATCH SHEET'!B$3:B$121,'DISPATCH SHEET'!C$3:C$121,""))</f>
        <v/>
      </c>
      <c r="C2239" s="14" t="str">
        <f>IF(ISBLANK(A2239),"",_xlfn.XLOOKUP(A2239,'DISPATCH SHEET'!C$3:C$121,'DISPATCH SHEET'!#REF!,""))</f>
        <v/>
      </c>
    </row>
    <row r="2240" spans="2:3" x14ac:dyDescent="0.2">
      <c r="B2240" s="14" t="str">
        <f>IF(A2240="","",_xlfn.XLOOKUP(A2240,'DISPATCH SHEET'!B$3:B$121,'DISPATCH SHEET'!C$3:C$121,""))</f>
        <v/>
      </c>
      <c r="C2240" s="14" t="str">
        <f>IF(ISBLANK(A2240),"",_xlfn.XLOOKUP(A2240,'DISPATCH SHEET'!C$3:C$121,'DISPATCH SHEET'!#REF!,""))</f>
        <v/>
      </c>
    </row>
    <row r="2241" spans="2:3" x14ac:dyDescent="0.2">
      <c r="B2241" s="14" t="str">
        <f>IF(A2241="","",_xlfn.XLOOKUP(A2241,'DISPATCH SHEET'!B$3:B$121,'DISPATCH SHEET'!C$3:C$121,""))</f>
        <v/>
      </c>
      <c r="C2241" s="14" t="str">
        <f>IF(ISBLANK(A2241),"",_xlfn.XLOOKUP(A2241,'DISPATCH SHEET'!C$3:C$121,'DISPATCH SHEET'!#REF!,""))</f>
        <v/>
      </c>
    </row>
    <row r="2242" spans="2:3" x14ac:dyDescent="0.2">
      <c r="B2242" s="14" t="str">
        <f>IF(A2242="","",_xlfn.XLOOKUP(A2242,'DISPATCH SHEET'!B$3:B$121,'DISPATCH SHEET'!C$3:C$121,""))</f>
        <v/>
      </c>
      <c r="C2242" s="14" t="str">
        <f>IF(ISBLANK(A2242),"",_xlfn.XLOOKUP(A2242,'DISPATCH SHEET'!C$3:C$121,'DISPATCH SHEET'!#REF!,""))</f>
        <v/>
      </c>
    </row>
    <row r="2243" spans="2:3" x14ac:dyDescent="0.2">
      <c r="B2243" s="14" t="str">
        <f>IF(A2243="","",_xlfn.XLOOKUP(A2243,'DISPATCH SHEET'!B$3:B$121,'DISPATCH SHEET'!C$3:C$121,""))</f>
        <v/>
      </c>
      <c r="C2243" s="14" t="str">
        <f>IF(ISBLANK(A2243),"",_xlfn.XLOOKUP(A2243,'DISPATCH SHEET'!C$3:C$121,'DISPATCH SHEET'!#REF!,""))</f>
        <v/>
      </c>
    </row>
    <row r="2244" spans="2:3" x14ac:dyDescent="0.2">
      <c r="B2244" s="14" t="str">
        <f>IF(A2244="","",_xlfn.XLOOKUP(A2244,'DISPATCH SHEET'!B$3:B$121,'DISPATCH SHEET'!C$3:C$121,""))</f>
        <v/>
      </c>
      <c r="C2244" s="14" t="str">
        <f>IF(ISBLANK(A2244),"",_xlfn.XLOOKUP(A2244,'DISPATCH SHEET'!C$3:C$121,'DISPATCH SHEET'!#REF!,""))</f>
        <v/>
      </c>
    </row>
    <row r="2245" spans="2:3" x14ac:dyDescent="0.2">
      <c r="B2245" s="14" t="str">
        <f>IF(A2245="","",_xlfn.XLOOKUP(A2245,'DISPATCH SHEET'!B$3:B$121,'DISPATCH SHEET'!C$3:C$121,""))</f>
        <v/>
      </c>
      <c r="C2245" s="14" t="str">
        <f>IF(ISBLANK(A2245),"",_xlfn.XLOOKUP(A2245,'DISPATCH SHEET'!C$3:C$121,'DISPATCH SHEET'!#REF!,""))</f>
        <v/>
      </c>
    </row>
    <row r="2246" spans="2:3" x14ac:dyDescent="0.2">
      <c r="B2246" s="14" t="str">
        <f>IF(A2246="","",_xlfn.XLOOKUP(A2246,'DISPATCH SHEET'!B$3:B$121,'DISPATCH SHEET'!C$3:C$121,""))</f>
        <v/>
      </c>
      <c r="C2246" s="14" t="str">
        <f>IF(ISBLANK(A2246),"",_xlfn.XLOOKUP(A2246,'DISPATCH SHEET'!C$3:C$121,'DISPATCH SHEET'!#REF!,""))</f>
        <v/>
      </c>
    </row>
    <row r="2247" spans="2:3" x14ac:dyDescent="0.2">
      <c r="B2247" s="14" t="str">
        <f>IF(A2247="","",_xlfn.XLOOKUP(A2247,'DISPATCH SHEET'!B$3:B$121,'DISPATCH SHEET'!C$3:C$121,""))</f>
        <v/>
      </c>
      <c r="C2247" s="14" t="str">
        <f>IF(ISBLANK(A2247),"",_xlfn.XLOOKUP(A2247,'DISPATCH SHEET'!C$3:C$121,'DISPATCH SHEET'!#REF!,""))</f>
        <v/>
      </c>
    </row>
    <row r="2248" spans="2:3" x14ac:dyDescent="0.2">
      <c r="B2248" s="14" t="str">
        <f>IF(A2248="","",_xlfn.XLOOKUP(A2248,'DISPATCH SHEET'!B$3:B$121,'DISPATCH SHEET'!C$3:C$121,""))</f>
        <v/>
      </c>
      <c r="C2248" s="14" t="str">
        <f>IF(ISBLANK(A2248),"",_xlfn.XLOOKUP(A2248,'DISPATCH SHEET'!C$3:C$121,'DISPATCH SHEET'!#REF!,""))</f>
        <v/>
      </c>
    </row>
    <row r="2249" spans="2:3" x14ac:dyDescent="0.2">
      <c r="B2249" s="14" t="str">
        <f>IF(A2249="","",_xlfn.XLOOKUP(A2249,'DISPATCH SHEET'!B$3:B$121,'DISPATCH SHEET'!C$3:C$121,""))</f>
        <v/>
      </c>
      <c r="C2249" s="14" t="str">
        <f>IF(ISBLANK(A2249),"",_xlfn.XLOOKUP(A2249,'DISPATCH SHEET'!C$3:C$121,'DISPATCH SHEET'!#REF!,""))</f>
        <v/>
      </c>
    </row>
    <row r="2250" spans="2:3" x14ac:dyDescent="0.2">
      <c r="B2250" s="14" t="str">
        <f>IF(A2250="","",_xlfn.XLOOKUP(A2250,'DISPATCH SHEET'!B$3:B$121,'DISPATCH SHEET'!C$3:C$121,""))</f>
        <v/>
      </c>
      <c r="C2250" s="14" t="str">
        <f>IF(ISBLANK(A2250),"",_xlfn.XLOOKUP(A2250,'DISPATCH SHEET'!C$3:C$121,'DISPATCH SHEET'!#REF!,""))</f>
        <v/>
      </c>
    </row>
    <row r="2251" spans="2:3" x14ac:dyDescent="0.2">
      <c r="B2251" s="14" t="str">
        <f>IF(A2251="","",_xlfn.XLOOKUP(A2251,'DISPATCH SHEET'!B$3:B$121,'DISPATCH SHEET'!C$3:C$121,""))</f>
        <v/>
      </c>
      <c r="C2251" s="14" t="str">
        <f>IF(ISBLANK(A2251),"",_xlfn.XLOOKUP(A2251,'DISPATCH SHEET'!C$3:C$121,'DISPATCH SHEET'!#REF!,""))</f>
        <v/>
      </c>
    </row>
    <row r="2252" spans="2:3" x14ac:dyDescent="0.2">
      <c r="B2252" s="14" t="str">
        <f>IF(A2252="","",_xlfn.XLOOKUP(A2252,'DISPATCH SHEET'!B$3:B$121,'DISPATCH SHEET'!C$3:C$121,""))</f>
        <v/>
      </c>
      <c r="C2252" s="14" t="str">
        <f>IF(ISBLANK(A2252),"",_xlfn.XLOOKUP(A2252,'DISPATCH SHEET'!C$3:C$121,'DISPATCH SHEET'!#REF!,""))</f>
        <v/>
      </c>
    </row>
    <row r="2253" spans="2:3" x14ac:dyDescent="0.2">
      <c r="B2253" s="14" t="str">
        <f>IF(A2253="","",_xlfn.XLOOKUP(A2253,'DISPATCH SHEET'!B$3:B$121,'DISPATCH SHEET'!C$3:C$121,""))</f>
        <v/>
      </c>
      <c r="C2253" s="14" t="str">
        <f>IF(ISBLANK(A2253),"",_xlfn.XLOOKUP(A2253,'DISPATCH SHEET'!C$3:C$121,'DISPATCH SHEET'!#REF!,""))</f>
        <v/>
      </c>
    </row>
    <row r="2254" spans="2:3" x14ac:dyDescent="0.2">
      <c r="B2254" s="14" t="str">
        <f>IF(A2254="","",_xlfn.XLOOKUP(A2254,'DISPATCH SHEET'!B$3:B$121,'DISPATCH SHEET'!C$3:C$121,""))</f>
        <v/>
      </c>
      <c r="C2254" s="14" t="str">
        <f>IF(ISBLANK(A2254),"",_xlfn.XLOOKUP(A2254,'DISPATCH SHEET'!C$3:C$121,'DISPATCH SHEET'!#REF!,""))</f>
        <v/>
      </c>
    </row>
    <row r="2255" spans="2:3" x14ac:dyDescent="0.2">
      <c r="B2255" s="14" t="str">
        <f>IF(A2255="","",_xlfn.XLOOKUP(A2255,'DISPATCH SHEET'!B$3:B$121,'DISPATCH SHEET'!C$3:C$121,""))</f>
        <v/>
      </c>
      <c r="C2255" s="14" t="str">
        <f>IF(ISBLANK(A2255),"",_xlfn.XLOOKUP(A2255,'DISPATCH SHEET'!C$3:C$121,'DISPATCH SHEET'!#REF!,""))</f>
        <v/>
      </c>
    </row>
    <row r="2256" spans="2:3" x14ac:dyDescent="0.2">
      <c r="B2256" s="14" t="str">
        <f>IF(A2256="","",_xlfn.XLOOKUP(A2256,'DISPATCH SHEET'!B$3:B$121,'DISPATCH SHEET'!C$3:C$121,""))</f>
        <v/>
      </c>
      <c r="C2256" s="14" t="str">
        <f>IF(ISBLANK(A2256),"",_xlfn.XLOOKUP(A2256,'DISPATCH SHEET'!C$3:C$121,'DISPATCH SHEET'!#REF!,""))</f>
        <v/>
      </c>
    </row>
    <row r="2257" spans="2:3" x14ac:dyDescent="0.2">
      <c r="B2257" s="14" t="str">
        <f>IF(A2257="","",_xlfn.XLOOKUP(A2257,'DISPATCH SHEET'!B$3:B$121,'DISPATCH SHEET'!C$3:C$121,""))</f>
        <v/>
      </c>
      <c r="C2257" s="14" t="str">
        <f>IF(ISBLANK(A2257),"",_xlfn.XLOOKUP(A2257,'DISPATCH SHEET'!C$3:C$121,'DISPATCH SHEET'!#REF!,""))</f>
        <v/>
      </c>
    </row>
    <row r="2258" spans="2:3" x14ac:dyDescent="0.2">
      <c r="B2258" s="14" t="str">
        <f>IF(A2258="","",_xlfn.XLOOKUP(A2258,'DISPATCH SHEET'!B$3:B$121,'DISPATCH SHEET'!C$3:C$121,""))</f>
        <v/>
      </c>
      <c r="C2258" s="14" t="str">
        <f>IF(ISBLANK(A2258),"",_xlfn.XLOOKUP(A2258,'DISPATCH SHEET'!C$3:C$121,'DISPATCH SHEET'!#REF!,""))</f>
        <v/>
      </c>
    </row>
    <row r="2259" spans="2:3" x14ac:dyDescent="0.2">
      <c r="B2259" s="14" t="str">
        <f>IF(A2259="","",_xlfn.XLOOKUP(A2259,'DISPATCH SHEET'!B$3:B$121,'DISPATCH SHEET'!C$3:C$121,""))</f>
        <v/>
      </c>
      <c r="C2259" s="14" t="str">
        <f>IF(ISBLANK(A2259),"",_xlfn.XLOOKUP(A2259,'DISPATCH SHEET'!C$3:C$121,'DISPATCH SHEET'!#REF!,""))</f>
        <v/>
      </c>
    </row>
    <row r="2260" spans="2:3" x14ac:dyDescent="0.2">
      <c r="B2260" s="14" t="str">
        <f>IF(A2260="","",_xlfn.XLOOKUP(A2260,'DISPATCH SHEET'!B$3:B$121,'DISPATCH SHEET'!C$3:C$121,""))</f>
        <v/>
      </c>
      <c r="C2260" s="14" t="str">
        <f>IF(ISBLANK(A2260),"",_xlfn.XLOOKUP(A2260,'DISPATCH SHEET'!C$3:C$121,'DISPATCH SHEET'!#REF!,""))</f>
        <v/>
      </c>
    </row>
    <row r="2261" spans="2:3" x14ac:dyDescent="0.2">
      <c r="B2261" s="14" t="str">
        <f>IF(A2261="","",_xlfn.XLOOKUP(A2261,'DISPATCH SHEET'!B$3:B$121,'DISPATCH SHEET'!C$3:C$121,""))</f>
        <v/>
      </c>
      <c r="C2261" s="14" t="str">
        <f>IF(ISBLANK(A2261),"",_xlfn.XLOOKUP(A2261,'DISPATCH SHEET'!C$3:C$121,'DISPATCH SHEET'!#REF!,""))</f>
        <v/>
      </c>
    </row>
    <row r="2262" spans="2:3" x14ac:dyDescent="0.2">
      <c r="B2262" s="14" t="str">
        <f>IF(A2262="","",_xlfn.XLOOKUP(A2262,'DISPATCH SHEET'!B$3:B$121,'DISPATCH SHEET'!C$3:C$121,""))</f>
        <v/>
      </c>
      <c r="C2262" s="14" t="str">
        <f>IF(ISBLANK(A2262),"",_xlfn.XLOOKUP(A2262,'DISPATCH SHEET'!C$3:C$121,'DISPATCH SHEET'!#REF!,""))</f>
        <v/>
      </c>
    </row>
    <row r="2263" spans="2:3" x14ac:dyDescent="0.2">
      <c r="B2263" s="14" t="str">
        <f>IF(A2263="","",_xlfn.XLOOKUP(A2263,'DISPATCH SHEET'!B$3:B$121,'DISPATCH SHEET'!C$3:C$121,""))</f>
        <v/>
      </c>
      <c r="C2263" s="14" t="str">
        <f>IF(ISBLANK(A2263),"",_xlfn.XLOOKUP(A2263,'DISPATCH SHEET'!C$3:C$121,'DISPATCH SHEET'!#REF!,""))</f>
        <v/>
      </c>
    </row>
    <row r="2264" spans="2:3" x14ac:dyDescent="0.2">
      <c r="B2264" s="14" t="str">
        <f>IF(A2264="","",_xlfn.XLOOKUP(A2264,'DISPATCH SHEET'!B$3:B$121,'DISPATCH SHEET'!C$3:C$121,""))</f>
        <v/>
      </c>
      <c r="C2264" s="14" t="str">
        <f>IF(ISBLANK(A2264),"",_xlfn.XLOOKUP(A2264,'DISPATCH SHEET'!C$3:C$121,'DISPATCH SHEET'!#REF!,""))</f>
        <v/>
      </c>
    </row>
    <row r="2265" spans="2:3" x14ac:dyDescent="0.2">
      <c r="B2265" s="14" t="str">
        <f>IF(A2265="","",_xlfn.XLOOKUP(A2265,'DISPATCH SHEET'!B$3:B$121,'DISPATCH SHEET'!C$3:C$121,""))</f>
        <v/>
      </c>
      <c r="C2265" s="14" t="str">
        <f>IF(ISBLANK(A2265),"",_xlfn.XLOOKUP(A2265,'DISPATCH SHEET'!C$3:C$121,'DISPATCH SHEET'!#REF!,""))</f>
        <v/>
      </c>
    </row>
    <row r="2266" spans="2:3" x14ac:dyDescent="0.2">
      <c r="B2266" s="14" t="str">
        <f>IF(A2266="","",_xlfn.XLOOKUP(A2266,'DISPATCH SHEET'!B$3:B$121,'DISPATCH SHEET'!C$3:C$121,""))</f>
        <v/>
      </c>
      <c r="C2266" s="14" t="str">
        <f>IF(ISBLANK(A2266),"",_xlfn.XLOOKUP(A2266,'DISPATCH SHEET'!C$3:C$121,'DISPATCH SHEET'!#REF!,""))</f>
        <v/>
      </c>
    </row>
    <row r="2267" spans="2:3" x14ac:dyDescent="0.2">
      <c r="B2267" s="14" t="str">
        <f>IF(A2267="","",_xlfn.XLOOKUP(A2267,'DISPATCH SHEET'!B$3:B$121,'DISPATCH SHEET'!C$3:C$121,""))</f>
        <v/>
      </c>
      <c r="C2267" s="14" t="str">
        <f>IF(ISBLANK(A2267),"",_xlfn.XLOOKUP(A2267,'DISPATCH SHEET'!C$3:C$121,'DISPATCH SHEET'!#REF!,""))</f>
        <v/>
      </c>
    </row>
    <row r="2268" spans="2:3" x14ac:dyDescent="0.2">
      <c r="B2268" s="14" t="str">
        <f>IF(A2268="","",_xlfn.XLOOKUP(A2268,'DISPATCH SHEET'!B$3:B$121,'DISPATCH SHEET'!C$3:C$121,""))</f>
        <v/>
      </c>
      <c r="C2268" s="14" t="str">
        <f>IF(ISBLANK(A2268),"",_xlfn.XLOOKUP(A2268,'DISPATCH SHEET'!C$3:C$121,'DISPATCH SHEET'!#REF!,""))</f>
        <v/>
      </c>
    </row>
    <row r="2269" spans="2:3" x14ac:dyDescent="0.2">
      <c r="B2269" s="14" t="str">
        <f>IF(A2269="","",_xlfn.XLOOKUP(A2269,'DISPATCH SHEET'!B$3:B$121,'DISPATCH SHEET'!C$3:C$121,""))</f>
        <v/>
      </c>
      <c r="C2269" s="14" t="str">
        <f>IF(ISBLANK(A2269),"",_xlfn.XLOOKUP(A2269,'DISPATCH SHEET'!C$3:C$121,'DISPATCH SHEET'!#REF!,""))</f>
        <v/>
      </c>
    </row>
    <row r="2270" spans="2:3" x14ac:dyDescent="0.2">
      <c r="B2270" s="14" t="str">
        <f>IF(A2270="","",_xlfn.XLOOKUP(A2270,'DISPATCH SHEET'!B$3:B$121,'DISPATCH SHEET'!C$3:C$121,""))</f>
        <v/>
      </c>
      <c r="C2270" s="14" t="str">
        <f>IF(ISBLANK(A2270),"",_xlfn.XLOOKUP(A2270,'DISPATCH SHEET'!C$3:C$121,'DISPATCH SHEET'!#REF!,""))</f>
        <v/>
      </c>
    </row>
    <row r="2271" spans="2:3" x14ac:dyDescent="0.2">
      <c r="B2271" s="14" t="str">
        <f>IF(A2271="","",_xlfn.XLOOKUP(A2271,'DISPATCH SHEET'!B$3:B$121,'DISPATCH SHEET'!C$3:C$121,""))</f>
        <v/>
      </c>
      <c r="C2271" s="14" t="str">
        <f>IF(ISBLANK(A2271),"",_xlfn.XLOOKUP(A2271,'DISPATCH SHEET'!C$3:C$121,'DISPATCH SHEET'!#REF!,""))</f>
        <v/>
      </c>
    </row>
    <row r="2272" spans="2:3" x14ac:dyDescent="0.2">
      <c r="B2272" s="14" t="str">
        <f>IF(A2272="","",_xlfn.XLOOKUP(A2272,'DISPATCH SHEET'!B$3:B$121,'DISPATCH SHEET'!C$3:C$121,""))</f>
        <v/>
      </c>
      <c r="C2272" s="14" t="str">
        <f>IF(ISBLANK(A2272),"",_xlfn.XLOOKUP(A2272,'DISPATCH SHEET'!C$3:C$121,'DISPATCH SHEET'!#REF!,""))</f>
        <v/>
      </c>
    </row>
    <row r="2273" spans="2:3" x14ac:dyDescent="0.2">
      <c r="B2273" s="14" t="str">
        <f>IF(A2273="","",_xlfn.XLOOKUP(A2273,'DISPATCH SHEET'!B$3:B$121,'DISPATCH SHEET'!C$3:C$121,""))</f>
        <v/>
      </c>
      <c r="C2273" s="14" t="str">
        <f>IF(ISBLANK(A2273),"",_xlfn.XLOOKUP(A2273,'DISPATCH SHEET'!C$3:C$121,'DISPATCH SHEET'!#REF!,""))</f>
        <v/>
      </c>
    </row>
    <row r="2274" spans="2:3" x14ac:dyDescent="0.2">
      <c r="B2274" s="14" t="str">
        <f>IF(A2274="","",_xlfn.XLOOKUP(A2274,'DISPATCH SHEET'!B$3:B$121,'DISPATCH SHEET'!C$3:C$121,""))</f>
        <v/>
      </c>
      <c r="C2274" s="14" t="str">
        <f>IF(ISBLANK(A2274),"",_xlfn.XLOOKUP(A2274,'DISPATCH SHEET'!C$3:C$121,'DISPATCH SHEET'!#REF!,""))</f>
        <v/>
      </c>
    </row>
    <row r="2275" spans="2:3" x14ac:dyDescent="0.2">
      <c r="B2275" s="14" t="str">
        <f>IF(A2275="","",_xlfn.XLOOKUP(A2275,'DISPATCH SHEET'!B$3:B$121,'DISPATCH SHEET'!C$3:C$121,""))</f>
        <v/>
      </c>
      <c r="C2275" s="14" t="str">
        <f>IF(ISBLANK(A2275),"",_xlfn.XLOOKUP(A2275,'DISPATCH SHEET'!C$3:C$121,'DISPATCH SHEET'!#REF!,""))</f>
        <v/>
      </c>
    </row>
    <row r="2276" spans="2:3" x14ac:dyDescent="0.2">
      <c r="B2276" s="14" t="str">
        <f>IF(A2276="","",_xlfn.XLOOKUP(A2276,'DISPATCH SHEET'!B$3:B$121,'DISPATCH SHEET'!C$3:C$121,""))</f>
        <v/>
      </c>
      <c r="C2276" s="14" t="str">
        <f>IF(ISBLANK(A2276),"",_xlfn.XLOOKUP(A2276,'DISPATCH SHEET'!C$3:C$121,'DISPATCH SHEET'!#REF!,""))</f>
        <v/>
      </c>
    </row>
    <row r="2277" spans="2:3" x14ac:dyDescent="0.2">
      <c r="B2277" s="14" t="str">
        <f>IF(A2277="","",_xlfn.XLOOKUP(A2277,'DISPATCH SHEET'!B$3:B$121,'DISPATCH SHEET'!C$3:C$121,""))</f>
        <v/>
      </c>
      <c r="C2277" s="14" t="str">
        <f>IF(ISBLANK(A2277),"",_xlfn.XLOOKUP(A2277,'DISPATCH SHEET'!C$3:C$121,'DISPATCH SHEET'!#REF!,""))</f>
        <v/>
      </c>
    </row>
    <row r="2278" spans="2:3" x14ac:dyDescent="0.2">
      <c r="B2278" s="14" t="str">
        <f>IF(A2278="","",_xlfn.XLOOKUP(A2278,'DISPATCH SHEET'!B$3:B$121,'DISPATCH SHEET'!C$3:C$121,""))</f>
        <v/>
      </c>
      <c r="C2278" s="14" t="str">
        <f>IF(ISBLANK(A2278),"",_xlfn.XLOOKUP(A2278,'DISPATCH SHEET'!C$3:C$121,'DISPATCH SHEET'!#REF!,""))</f>
        <v/>
      </c>
    </row>
    <row r="2279" spans="2:3" x14ac:dyDescent="0.2">
      <c r="B2279" s="14" t="str">
        <f>IF(A2279="","",_xlfn.XLOOKUP(A2279,'DISPATCH SHEET'!B$3:B$121,'DISPATCH SHEET'!C$3:C$121,""))</f>
        <v/>
      </c>
      <c r="C2279" s="14" t="str">
        <f>IF(ISBLANK(A2279),"",_xlfn.XLOOKUP(A2279,'DISPATCH SHEET'!C$3:C$121,'DISPATCH SHEET'!#REF!,""))</f>
        <v/>
      </c>
    </row>
    <row r="2280" spans="2:3" x14ac:dyDescent="0.2">
      <c r="B2280" s="14" t="str">
        <f>IF(A2280="","",_xlfn.XLOOKUP(A2280,'DISPATCH SHEET'!B$3:B$121,'DISPATCH SHEET'!C$3:C$121,""))</f>
        <v/>
      </c>
      <c r="C2280" s="14" t="str">
        <f>IF(ISBLANK(A2280),"",_xlfn.XLOOKUP(A2280,'DISPATCH SHEET'!C$3:C$121,'DISPATCH SHEET'!#REF!,""))</f>
        <v/>
      </c>
    </row>
    <row r="2281" spans="2:3" x14ac:dyDescent="0.2">
      <c r="B2281" s="14" t="str">
        <f>IF(A2281="","",_xlfn.XLOOKUP(A2281,'DISPATCH SHEET'!B$3:B$121,'DISPATCH SHEET'!C$3:C$121,""))</f>
        <v/>
      </c>
      <c r="C2281" s="14" t="str">
        <f>IF(ISBLANK(A2281),"",_xlfn.XLOOKUP(A2281,'DISPATCH SHEET'!C$3:C$121,'DISPATCH SHEET'!#REF!,""))</f>
        <v/>
      </c>
    </row>
    <row r="2282" spans="2:3" x14ac:dyDescent="0.2">
      <c r="B2282" s="14" t="str">
        <f>IF(A2282="","",_xlfn.XLOOKUP(A2282,'DISPATCH SHEET'!B$3:B$121,'DISPATCH SHEET'!C$3:C$121,""))</f>
        <v/>
      </c>
      <c r="C2282" s="14" t="str">
        <f>IF(ISBLANK(A2282),"",_xlfn.XLOOKUP(A2282,'DISPATCH SHEET'!C$3:C$121,'DISPATCH SHEET'!#REF!,""))</f>
        <v/>
      </c>
    </row>
    <row r="2283" spans="2:3" x14ac:dyDescent="0.2">
      <c r="B2283" s="14" t="str">
        <f>IF(A2283="","",_xlfn.XLOOKUP(A2283,'DISPATCH SHEET'!B$3:B$121,'DISPATCH SHEET'!C$3:C$121,""))</f>
        <v/>
      </c>
      <c r="C2283" s="14" t="str">
        <f>IF(ISBLANK(A2283),"",_xlfn.XLOOKUP(A2283,'DISPATCH SHEET'!C$3:C$121,'DISPATCH SHEET'!#REF!,""))</f>
        <v/>
      </c>
    </row>
    <row r="2284" spans="2:3" x14ac:dyDescent="0.2">
      <c r="B2284" s="14" t="str">
        <f>IF(A2284="","",_xlfn.XLOOKUP(A2284,'DISPATCH SHEET'!B$3:B$121,'DISPATCH SHEET'!C$3:C$121,""))</f>
        <v/>
      </c>
      <c r="C2284" s="14" t="str">
        <f>IF(ISBLANK(A2284),"",_xlfn.XLOOKUP(A2284,'DISPATCH SHEET'!C$3:C$121,'DISPATCH SHEET'!#REF!,""))</f>
        <v/>
      </c>
    </row>
    <row r="2285" spans="2:3" x14ac:dyDescent="0.2">
      <c r="B2285" s="14" t="str">
        <f>IF(A2285="","",_xlfn.XLOOKUP(A2285,'DISPATCH SHEET'!B$3:B$121,'DISPATCH SHEET'!C$3:C$121,""))</f>
        <v/>
      </c>
      <c r="C2285" s="14" t="str">
        <f>IF(ISBLANK(A2285),"",_xlfn.XLOOKUP(A2285,'DISPATCH SHEET'!C$3:C$121,'DISPATCH SHEET'!#REF!,""))</f>
        <v/>
      </c>
    </row>
    <row r="2286" spans="2:3" x14ac:dyDescent="0.2">
      <c r="B2286" s="14" t="str">
        <f>IF(A2286="","",_xlfn.XLOOKUP(A2286,'DISPATCH SHEET'!B$3:B$121,'DISPATCH SHEET'!C$3:C$121,""))</f>
        <v/>
      </c>
      <c r="C2286" s="14" t="str">
        <f>IF(ISBLANK(A2286),"",_xlfn.XLOOKUP(A2286,'DISPATCH SHEET'!C$3:C$121,'DISPATCH SHEET'!#REF!,""))</f>
        <v/>
      </c>
    </row>
    <row r="2287" spans="2:3" x14ac:dyDescent="0.2">
      <c r="B2287" s="14" t="str">
        <f>IF(A2287="","",_xlfn.XLOOKUP(A2287,'DISPATCH SHEET'!B$3:B$121,'DISPATCH SHEET'!C$3:C$121,""))</f>
        <v/>
      </c>
      <c r="C2287" s="14" t="str">
        <f>IF(ISBLANK(A2287),"",_xlfn.XLOOKUP(A2287,'DISPATCH SHEET'!C$3:C$121,'DISPATCH SHEET'!#REF!,""))</f>
        <v/>
      </c>
    </row>
    <row r="2288" spans="2:3" x14ac:dyDescent="0.2">
      <c r="B2288" s="14" t="str">
        <f>IF(A2288="","",_xlfn.XLOOKUP(A2288,'DISPATCH SHEET'!B$3:B$121,'DISPATCH SHEET'!C$3:C$121,""))</f>
        <v/>
      </c>
      <c r="C2288" s="14" t="str">
        <f>IF(ISBLANK(A2288),"",_xlfn.XLOOKUP(A2288,'DISPATCH SHEET'!C$3:C$121,'DISPATCH SHEET'!#REF!,""))</f>
        <v/>
      </c>
    </row>
    <row r="2289" spans="2:3" x14ac:dyDescent="0.2">
      <c r="B2289" s="14" t="str">
        <f>IF(A2289="","",_xlfn.XLOOKUP(A2289,'DISPATCH SHEET'!B$3:B$121,'DISPATCH SHEET'!C$3:C$121,""))</f>
        <v/>
      </c>
      <c r="C2289" s="14" t="str">
        <f>IF(ISBLANK(A2289),"",_xlfn.XLOOKUP(A2289,'DISPATCH SHEET'!C$3:C$121,'DISPATCH SHEET'!#REF!,""))</f>
        <v/>
      </c>
    </row>
    <row r="2290" spans="2:3" x14ac:dyDescent="0.2">
      <c r="B2290" s="14" t="str">
        <f>IF(A2290="","",_xlfn.XLOOKUP(A2290,'DISPATCH SHEET'!B$3:B$121,'DISPATCH SHEET'!C$3:C$121,""))</f>
        <v/>
      </c>
      <c r="C2290" s="14" t="str">
        <f>IF(ISBLANK(A2290),"",_xlfn.XLOOKUP(A2290,'DISPATCH SHEET'!C$3:C$121,'DISPATCH SHEET'!#REF!,""))</f>
        <v/>
      </c>
    </row>
    <row r="2291" spans="2:3" x14ac:dyDescent="0.2">
      <c r="B2291" s="14" t="str">
        <f>IF(A2291="","",_xlfn.XLOOKUP(A2291,'DISPATCH SHEET'!B$3:B$121,'DISPATCH SHEET'!C$3:C$121,""))</f>
        <v/>
      </c>
      <c r="C2291" s="14" t="str">
        <f>IF(ISBLANK(A2291),"",_xlfn.XLOOKUP(A2291,'DISPATCH SHEET'!C$3:C$121,'DISPATCH SHEET'!#REF!,""))</f>
        <v/>
      </c>
    </row>
    <row r="2292" spans="2:3" x14ac:dyDescent="0.2">
      <c r="B2292" s="14" t="str">
        <f>IF(A2292="","",_xlfn.XLOOKUP(A2292,'DISPATCH SHEET'!B$3:B$121,'DISPATCH SHEET'!C$3:C$121,""))</f>
        <v/>
      </c>
      <c r="C2292" s="14" t="str">
        <f>IF(ISBLANK(A2292),"",_xlfn.XLOOKUP(A2292,'DISPATCH SHEET'!C$3:C$121,'DISPATCH SHEET'!#REF!,""))</f>
        <v/>
      </c>
    </row>
    <row r="2293" spans="2:3" x14ac:dyDescent="0.2">
      <c r="B2293" s="14" t="str">
        <f>IF(A2293="","",_xlfn.XLOOKUP(A2293,'DISPATCH SHEET'!B$3:B$121,'DISPATCH SHEET'!C$3:C$121,""))</f>
        <v/>
      </c>
      <c r="C2293" s="14" t="str">
        <f>IF(ISBLANK(A2293),"",_xlfn.XLOOKUP(A2293,'DISPATCH SHEET'!C$3:C$121,'DISPATCH SHEET'!#REF!,""))</f>
        <v/>
      </c>
    </row>
    <row r="2294" spans="2:3" x14ac:dyDescent="0.2">
      <c r="B2294" s="14" t="str">
        <f>IF(A2294="","",_xlfn.XLOOKUP(A2294,'DISPATCH SHEET'!B$3:B$121,'DISPATCH SHEET'!C$3:C$121,""))</f>
        <v/>
      </c>
      <c r="C2294" s="14" t="str">
        <f>IF(ISBLANK(A2294),"",_xlfn.XLOOKUP(A2294,'DISPATCH SHEET'!C$3:C$121,'DISPATCH SHEET'!#REF!,""))</f>
        <v/>
      </c>
    </row>
    <row r="2295" spans="2:3" x14ac:dyDescent="0.2">
      <c r="B2295" s="14" t="str">
        <f>IF(A2295="","",_xlfn.XLOOKUP(A2295,'DISPATCH SHEET'!B$3:B$121,'DISPATCH SHEET'!C$3:C$121,""))</f>
        <v/>
      </c>
      <c r="C2295" s="14" t="str">
        <f>IF(ISBLANK(A2295),"",_xlfn.XLOOKUP(A2295,'DISPATCH SHEET'!C$3:C$121,'DISPATCH SHEET'!#REF!,""))</f>
        <v/>
      </c>
    </row>
    <row r="2296" spans="2:3" x14ac:dyDescent="0.2">
      <c r="B2296" s="14" t="str">
        <f>IF(A2296="","",_xlfn.XLOOKUP(A2296,'DISPATCH SHEET'!B$3:B$121,'DISPATCH SHEET'!C$3:C$121,""))</f>
        <v/>
      </c>
      <c r="C2296" s="14" t="str">
        <f>IF(ISBLANK(A2296),"",_xlfn.XLOOKUP(A2296,'DISPATCH SHEET'!C$3:C$121,'DISPATCH SHEET'!#REF!,""))</f>
        <v/>
      </c>
    </row>
    <row r="2297" spans="2:3" x14ac:dyDescent="0.2">
      <c r="B2297" s="14" t="str">
        <f>IF(A2297="","",_xlfn.XLOOKUP(A2297,'DISPATCH SHEET'!B$3:B$121,'DISPATCH SHEET'!C$3:C$121,""))</f>
        <v/>
      </c>
      <c r="C2297" s="14" t="str">
        <f>IF(ISBLANK(A2297),"",_xlfn.XLOOKUP(A2297,'DISPATCH SHEET'!C$3:C$121,'DISPATCH SHEET'!#REF!,""))</f>
        <v/>
      </c>
    </row>
    <row r="2298" spans="2:3" x14ac:dyDescent="0.2">
      <c r="B2298" s="14" t="str">
        <f>IF(A2298="","",_xlfn.XLOOKUP(A2298,'DISPATCH SHEET'!B$3:B$121,'DISPATCH SHEET'!C$3:C$121,""))</f>
        <v/>
      </c>
      <c r="C2298" s="14" t="str">
        <f>IF(ISBLANK(A2298),"",_xlfn.XLOOKUP(A2298,'DISPATCH SHEET'!C$3:C$121,'DISPATCH SHEET'!#REF!,""))</f>
        <v/>
      </c>
    </row>
    <row r="2299" spans="2:3" x14ac:dyDescent="0.2">
      <c r="B2299" s="14" t="str">
        <f>IF(A2299="","",_xlfn.XLOOKUP(A2299,'DISPATCH SHEET'!B$3:B$121,'DISPATCH SHEET'!C$3:C$121,""))</f>
        <v/>
      </c>
      <c r="C2299" s="14" t="str">
        <f>IF(ISBLANK(A2299),"",_xlfn.XLOOKUP(A2299,'DISPATCH SHEET'!C$3:C$121,'DISPATCH SHEET'!#REF!,""))</f>
        <v/>
      </c>
    </row>
    <row r="2300" spans="2:3" x14ac:dyDescent="0.2">
      <c r="B2300" s="14" t="str">
        <f>IF(A2300="","",_xlfn.XLOOKUP(A2300,'DISPATCH SHEET'!B$3:B$121,'DISPATCH SHEET'!C$3:C$121,""))</f>
        <v/>
      </c>
      <c r="C2300" s="14" t="str">
        <f>IF(ISBLANK(A2300),"",_xlfn.XLOOKUP(A2300,'DISPATCH SHEET'!C$3:C$121,'DISPATCH SHEET'!#REF!,""))</f>
        <v/>
      </c>
    </row>
    <row r="2301" spans="2:3" x14ac:dyDescent="0.2">
      <c r="B2301" s="14" t="str">
        <f>IF(A2301="","",_xlfn.XLOOKUP(A2301,'DISPATCH SHEET'!B$3:B$121,'DISPATCH SHEET'!C$3:C$121,""))</f>
        <v/>
      </c>
      <c r="C2301" s="14" t="str">
        <f>IF(ISBLANK(A2301),"",_xlfn.XLOOKUP(A2301,'DISPATCH SHEET'!C$3:C$121,'DISPATCH SHEET'!#REF!,""))</f>
        <v/>
      </c>
    </row>
    <row r="2302" spans="2:3" x14ac:dyDescent="0.2">
      <c r="B2302" s="14" t="str">
        <f>IF(A2302="","",_xlfn.XLOOKUP(A2302,'DISPATCH SHEET'!B$3:B$121,'DISPATCH SHEET'!C$3:C$121,""))</f>
        <v/>
      </c>
      <c r="C2302" s="14" t="str">
        <f>IF(ISBLANK(A2302),"",_xlfn.XLOOKUP(A2302,'DISPATCH SHEET'!C$3:C$121,'DISPATCH SHEET'!#REF!,""))</f>
        <v/>
      </c>
    </row>
    <row r="2303" spans="2:3" x14ac:dyDescent="0.2">
      <c r="B2303" s="14" t="str">
        <f>IF(A2303="","",_xlfn.XLOOKUP(A2303,'DISPATCH SHEET'!B$3:B$121,'DISPATCH SHEET'!C$3:C$121,""))</f>
        <v/>
      </c>
      <c r="C2303" s="14" t="str">
        <f>IF(ISBLANK(A2303),"",_xlfn.XLOOKUP(A2303,'DISPATCH SHEET'!C$3:C$121,'DISPATCH SHEET'!#REF!,""))</f>
        <v/>
      </c>
    </row>
    <row r="2304" spans="2:3" x14ac:dyDescent="0.2">
      <c r="B2304" s="14" t="str">
        <f>IF(A2304="","",_xlfn.XLOOKUP(A2304,'DISPATCH SHEET'!B$3:B$121,'DISPATCH SHEET'!C$3:C$121,""))</f>
        <v/>
      </c>
      <c r="C2304" s="14" t="str">
        <f>IF(ISBLANK(A2304),"",_xlfn.XLOOKUP(A2304,'DISPATCH SHEET'!C$3:C$121,'DISPATCH SHEET'!#REF!,""))</f>
        <v/>
      </c>
    </row>
    <row r="2305" spans="2:3" x14ac:dyDescent="0.2">
      <c r="B2305" s="14" t="str">
        <f>IF(A2305="","",_xlfn.XLOOKUP(A2305,'DISPATCH SHEET'!B$3:B$121,'DISPATCH SHEET'!C$3:C$121,""))</f>
        <v/>
      </c>
      <c r="C2305" s="14" t="str">
        <f>IF(ISBLANK(A2305),"",_xlfn.XLOOKUP(A2305,'DISPATCH SHEET'!C$3:C$121,'DISPATCH SHEET'!#REF!,""))</f>
        <v/>
      </c>
    </row>
    <row r="2306" spans="2:3" x14ac:dyDescent="0.2">
      <c r="B2306" s="14" t="str">
        <f>IF(A2306="","",_xlfn.XLOOKUP(A2306,'DISPATCH SHEET'!B$3:B$121,'DISPATCH SHEET'!C$3:C$121,""))</f>
        <v/>
      </c>
      <c r="C2306" s="14" t="str">
        <f>IF(ISBLANK(A2306),"",_xlfn.XLOOKUP(A2306,'DISPATCH SHEET'!C$3:C$121,'DISPATCH SHEET'!#REF!,""))</f>
        <v/>
      </c>
    </row>
    <row r="2307" spans="2:3" x14ac:dyDescent="0.2">
      <c r="B2307" s="14" t="str">
        <f>IF(A2307="","",_xlfn.XLOOKUP(A2307,'DISPATCH SHEET'!B$3:B$121,'DISPATCH SHEET'!C$3:C$121,""))</f>
        <v/>
      </c>
      <c r="C2307" s="14" t="str">
        <f>IF(ISBLANK(A2307),"",_xlfn.XLOOKUP(A2307,'DISPATCH SHEET'!C$3:C$121,'DISPATCH SHEET'!#REF!,""))</f>
        <v/>
      </c>
    </row>
    <row r="2308" spans="2:3" x14ac:dyDescent="0.2">
      <c r="B2308" s="14" t="str">
        <f>IF(A2308="","",_xlfn.XLOOKUP(A2308,'DISPATCH SHEET'!B$3:B$121,'DISPATCH SHEET'!C$3:C$121,""))</f>
        <v/>
      </c>
      <c r="C2308" s="14" t="str">
        <f>IF(ISBLANK(A2308),"",_xlfn.XLOOKUP(A2308,'DISPATCH SHEET'!C$3:C$121,'DISPATCH SHEET'!#REF!,""))</f>
        <v/>
      </c>
    </row>
    <row r="2309" spans="2:3" x14ac:dyDescent="0.2">
      <c r="B2309" s="14" t="str">
        <f>IF(A2309="","",_xlfn.XLOOKUP(A2309,'DISPATCH SHEET'!B$3:B$121,'DISPATCH SHEET'!C$3:C$121,""))</f>
        <v/>
      </c>
      <c r="C2309" s="14" t="str">
        <f>IF(ISBLANK(A2309),"",_xlfn.XLOOKUP(A2309,'DISPATCH SHEET'!C$3:C$121,'DISPATCH SHEET'!#REF!,""))</f>
        <v/>
      </c>
    </row>
    <row r="2310" spans="2:3" x14ac:dyDescent="0.2">
      <c r="B2310" s="14" t="str">
        <f>IF(A2310="","",_xlfn.XLOOKUP(A2310,'DISPATCH SHEET'!B$3:B$121,'DISPATCH SHEET'!C$3:C$121,""))</f>
        <v/>
      </c>
      <c r="C2310" s="14" t="str">
        <f>IF(ISBLANK(A2310),"",_xlfn.XLOOKUP(A2310,'DISPATCH SHEET'!C$3:C$121,'DISPATCH SHEET'!#REF!,""))</f>
        <v/>
      </c>
    </row>
    <row r="2311" spans="2:3" x14ac:dyDescent="0.2">
      <c r="B2311" s="14" t="str">
        <f>IF(A2311="","",_xlfn.XLOOKUP(A2311,'DISPATCH SHEET'!B$3:B$121,'DISPATCH SHEET'!C$3:C$121,""))</f>
        <v/>
      </c>
      <c r="C2311" s="14" t="str">
        <f>IF(ISBLANK(A2311),"",_xlfn.XLOOKUP(A2311,'DISPATCH SHEET'!C$3:C$121,'DISPATCH SHEET'!#REF!,""))</f>
        <v/>
      </c>
    </row>
    <row r="2312" spans="2:3" x14ac:dyDescent="0.2">
      <c r="B2312" s="14" t="str">
        <f>IF(A2312="","",_xlfn.XLOOKUP(A2312,'DISPATCH SHEET'!B$3:B$121,'DISPATCH SHEET'!C$3:C$121,""))</f>
        <v/>
      </c>
      <c r="C2312" s="14" t="str">
        <f>IF(ISBLANK(A2312),"",_xlfn.XLOOKUP(A2312,'DISPATCH SHEET'!C$3:C$121,'DISPATCH SHEET'!#REF!,""))</f>
        <v/>
      </c>
    </row>
    <row r="2313" spans="2:3" x14ac:dyDescent="0.2">
      <c r="B2313" s="14" t="str">
        <f>IF(A2313="","",_xlfn.XLOOKUP(A2313,'DISPATCH SHEET'!B$3:B$121,'DISPATCH SHEET'!C$3:C$121,""))</f>
        <v/>
      </c>
      <c r="C2313" s="14" t="str">
        <f>IF(ISBLANK(A2313),"",_xlfn.XLOOKUP(A2313,'DISPATCH SHEET'!C$3:C$121,'DISPATCH SHEET'!#REF!,""))</f>
        <v/>
      </c>
    </row>
    <row r="2314" spans="2:3" x14ac:dyDescent="0.2">
      <c r="B2314" s="14" t="str">
        <f>IF(A2314="","",_xlfn.XLOOKUP(A2314,'DISPATCH SHEET'!B$3:B$121,'DISPATCH SHEET'!C$3:C$121,""))</f>
        <v/>
      </c>
      <c r="C2314" s="14" t="str">
        <f>IF(ISBLANK(A2314),"",_xlfn.XLOOKUP(A2314,'DISPATCH SHEET'!C$3:C$121,'DISPATCH SHEET'!#REF!,""))</f>
        <v/>
      </c>
    </row>
    <row r="2315" spans="2:3" x14ac:dyDescent="0.2">
      <c r="B2315" s="14" t="str">
        <f>IF(A2315="","",_xlfn.XLOOKUP(A2315,'DISPATCH SHEET'!B$3:B$121,'DISPATCH SHEET'!C$3:C$121,""))</f>
        <v/>
      </c>
      <c r="C2315" s="14" t="str">
        <f>IF(ISBLANK(A2315),"",_xlfn.XLOOKUP(A2315,'DISPATCH SHEET'!C$3:C$121,'DISPATCH SHEET'!#REF!,""))</f>
        <v/>
      </c>
    </row>
    <row r="2316" spans="2:3" x14ac:dyDescent="0.2">
      <c r="B2316" s="14" t="str">
        <f>IF(A2316="","",_xlfn.XLOOKUP(A2316,'DISPATCH SHEET'!B$3:B$121,'DISPATCH SHEET'!C$3:C$121,""))</f>
        <v/>
      </c>
      <c r="C2316" s="14" t="str">
        <f>IF(ISBLANK(A2316),"",_xlfn.XLOOKUP(A2316,'DISPATCH SHEET'!C$3:C$121,'DISPATCH SHEET'!#REF!,""))</f>
        <v/>
      </c>
    </row>
    <row r="2317" spans="2:3" x14ac:dyDescent="0.2">
      <c r="B2317" s="14" t="str">
        <f>IF(A2317="","",_xlfn.XLOOKUP(A2317,'DISPATCH SHEET'!B$3:B$121,'DISPATCH SHEET'!C$3:C$121,""))</f>
        <v/>
      </c>
      <c r="C2317" s="14" t="str">
        <f>IF(ISBLANK(A2317),"",_xlfn.XLOOKUP(A2317,'DISPATCH SHEET'!C$3:C$121,'DISPATCH SHEET'!#REF!,""))</f>
        <v/>
      </c>
    </row>
    <row r="2318" spans="2:3" x14ac:dyDescent="0.2">
      <c r="B2318" s="14" t="str">
        <f>IF(A2318="","",_xlfn.XLOOKUP(A2318,'DISPATCH SHEET'!B$3:B$121,'DISPATCH SHEET'!C$3:C$121,""))</f>
        <v/>
      </c>
      <c r="C2318" s="14" t="str">
        <f>IF(ISBLANK(A2318),"",_xlfn.XLOOKUP(A2318,'DISPATCH SHEET'!C$3:C$121,'DISPATCH SHEET'!#REF!,""))</f>
        <v/>
      </c>
    </row>
    <row r="2319" spans="2:3" x14ac:dyDescent="0.2">
      <c r="B2319" s="14" t="str">
        <f>IF(A2319="","",_xlfn.XLOOKUP(A2319,'DISPATCH SHEET'!B$3:B$121,'DISPATCH SHEET'!C$3:C$121,""))</f>
        <v/>
      </c>
      <c r="C2319" s="14" t="str">
        <f>IF(ISBLANK(A2319),"",_xlfn.XLOOKUP(A2319,'DISPATCH SHEET'!C$3:C$121,'DISPATCH SHEET'!#REF!,""))</f>
        <v/>
      </c>
    </row>
    <row r="2320" spans="2:3" x14ac:dyDescent="0.2">
      <c r="B2320" s="14" t="str">
        <f>IF(A2320="","",_xlfn.XLOOKUP(A2320,'DISPATCH SHEET'!B$3:B$121,'DISPATCH SHEET'!C$3:C$121,""))</f>
        <v/>
      </c>
      <c r="C2320" s="14" t="str">
        <f>IF(ISBLANK(A2320),"",_xlfn.XLOOKUP(A2320,'DISPATCH SHEET'!C$3:C$121,'DISPATCH SHEET'!#REF!,""))</f>
        <v/>
      </c>
    </row>
    <row r="2321" spans="2:3" x14ac:dyDescent="0.2">
      <c r="B2321" s="14" t="str">
        <f>IF(A2321="","",_xlfn.XLOOKUP(A2321,'DISPATCH SHEET'!B$3:B$121,'DISPATCH SHEET'!C$3:C$121,""))</f>
        <v/>
      </c>
      <c r="C2321" s="14" t="str">
        <f>IF(ISBLANK(A2321),"",_xlfn.XLOOKUP(A2321,'DISPATCH SHEET'!C$3:C$121,'DISPATCH SHEET'!#REF!,""))</f>
        <v/>
      </c>
    </row>
    <row r="2322" spans="2:3" x14ac:dyDescent="0.2">
      <c r="B2322" s="14" t="str">
        <f>IF(A2322="","",_xlfn.XLOOKUP(A2322,'DISPATCH SHEET'!B$3:B$121,'DISPATCH SHEET'!C$3:C$121,""))</f>
        <v/>
      </c>
      <c r="C2322" s="14" t="str">
        <f>IF(ISBLANK(A2322),"",_xlfn.XLOOKUP(A2322,'DISPATCH SHEET'!C$3:C$121,'DISPATCH SHEET'!#REF!,""))</f>
        <v/>
      </c>
    </row>
    <row r="2323" spans="2:3" x14ac:dyDescent="0.2">
      <c r="B2323" s="14" t="str">
        <f>IF(A2323="","",_xlfn.XLOOKUP(A2323,'DISPATCH SHEET'!B$3:B$121,'DISPATCH SHEET'!C$3:C$121,""))</f>
        <v/>
      </c>
      <c r="C2323" s="14" t="str">
        <f>IF(ISBLANK(A2323),"",_xlfn.XLOOKUP(A2323,'DISPATCH SHEET'!C$3:C$121,'DISPATCH SHEET'!#REF!,""))</f>
        <v/>
      </c>
    </row>
    <row r="2324" spans="2:3" x14ac:dyDescent="0.2">
      <c r="B2324" s="14" t="str">
        <f>IF(A2324="","",_xlfn.XLOOKUP(A2324,'DISPATCH SHEET'!B$3:B$121,'DISPATCH SHEET'!C$3:C$121,""))</f>
        <v/>
      </c>
      <c r="C2324" s="14" t="str">
        <f>IF(ISBLANK(A2324),"",_xlfn.XLOOKUP(A2324,'DISPATCH SHEET'!C$3:C$121,'DISPATCH SHEET'!#REF!,""))</f>
        <v/>
      </c>
    </row>
    <row r="2325" spans="2:3" x14ac:dyDescent="0.2">
      <c r="B2325" s="14" t="str">
        <f>IF(A2325="","",_xlfn.XLOOKUP(A2325,'DISPATCH SHEET'!B$3:B$121,'DISPATCH SHEET'!C$3:C$121,""))</f>
        <v/>
      </c>
      <c r="C2325" s="14" t="str">
        <f>IF(ISBLANK(A2325),"",_xlfn.XLOOKUP(A2325,'DISPATCH SHEET'!C$3:C$121,'DISPATCH SHEET'!#REF!,""))</f>
        <v/>
      </c>
    </row>
    <row r="2326" spans="2:3" x14ac:dyDescent="0.2">
      <c r="B2326" s="14" t="str">
        <f>IF(A2326="","",_xlfn.XLOOKUP(A2326,'DISPATCH SHEET'!B$3:B$121,'DISPATCH SHEET'!C$3:C$121,""))</f>
        <v/>
      </c>
      <c r="C2326" s="14" t="str">
        <f>IF(ISBLANK(A2326),"",_xlfn.XLOOKUP(A2326,'DISPATCH SHEET'!C$3:C$121,'DISPATCH SHEET'!#REF!,""))</f>
        <v/>
      </c>
    </row>
    <row r="2327" spans="2:3" x14ac:dyDescent="0.2">
      <c r="B2327" s="14" t="str">
        <f>IF(A2327="","",_xlfn.XLOOKUP(A2327,'DISPATCH SHEET'!B$3:B$121,'DISPATCH SHEET'!C$3:C$121,""))</f>
        <v/>
      </c>
      <c r="C2327" s="14" t="str">
        <f>IF(ISBLANK(A2327),"",_xlfn.XLOOKUP(A2327,'DISPATCH SHEET'!C$3:C$121,'DISPATCH SHEET'!#REF!,""))</f>
        <v/>
      </c>
    </row>
    <row r="2328" spans="2:3" x14ac:dyDescent="0.2">
      <c r="B2328" s="14" t="str">
        <f>IF(A2328="","",_xlfn.XLOOKUP(A2328,'DISPATCH SHEET'!B$3:B$121,'DISPATCH SHEET'!C$3:C$121,""))</f>
        <v/>
      </c>
      <c r="C2328" s="14" t="str">
        <f>IF(ISBLANK(A2328),"",_xlfn.XLOOKUP(A2328,'DISPATCH SHEET'!C$3:C$121,'DISPATCH SHEET'!#REF!,""))</f>
        <v/>
      </c>
    </row>
    <row r="2329" spans="2:3" x14ac:dyDescent="0.2">
      <c r="B2329" s="14" t="str">
        <f>IF(A2329="","",_xlfn.XLOOKUP(A2329,'DISPATCH SHEET'!B$3:B$121,'DISPATCH SHEET'!C$3:C$121,""))</f>
        <v/>
      </c>
      <c r="C2329" s="14" t="str">
        <f>IF(ISBLANK(A2329),"",_xlfn.XLOOKUP(A2329,'DISPATCH SHEET'!C$3:C$121,'DISPATCH SHEET'!#REF!,""))</f>
        <v/>
      </c>
    </row>
    <row r="2330" spans="2:3" x14ac:dyDescent="0.2">
      <c r="B2330" s="14" t="str">
        <f>IF(A2330="","",_xlfn.XLOOKUP(A2330,'DISPATCH SHEET'!B$3:B$121,'DISPATCH SHEET'!C$3:C$121,""))</f>
        <v/>
      </c>
      <c r="C2330" s="14" t="str">
        <f>IF(ISBLANK(A2330),"",_xlfn.XLOOKUP(A2330,'DISPATCH SHEET'!C$3:C$121,'DISPATCH SHEET'!#REF!,""))</f>
        <v/>
      </c>
    </row>
    <row r="2331" spans="2:3" x14ac:dyDescent="0.2">
      <c r="B2331" s="14" t="str">
        <f>IF(A2331="","",_xlfn.XLOOKUP(A2331,'DISPATCH SHEET'!B$3:B$121,'DISPATCH SHEET'!C$3:C$121,""))</f>
        <v/>
      </c>
      <c r="C2331" s="14" t="str">
        <f>IF(ISBLANK(A2331),"",_xlfn.XLOOKUP(A2331,'DISPATCH SHEET'!C$3:C$121,'DISPATCH SHEET'!#REF!,""))</f>
        <v/>
      </c>
    </row>
    <row r="2332" spans="2:3" x14ac:dyDescent="0.2">
      <c r="B2332" s="14" t="str">
        <f>IF(A2332="","",_xlfn.XLOOKUP(A2332,'DISPATCH SHEET'!B$3:B$121,'DISPATCH SHEET'!C$3:C$121,""))</f>
        <v/>
      </c>
      <c r="C2332" s="14" t="str">
        <f>IF(ISBLANK(A2332),"",_xlfn.XLOOKUP(A2332,'DISPATCH SHEET'!C$3:C$121,'DISPATCH SHEET'!#REF!,""))</f>
        <v/>
      </c>
    </row>
    <row r="2333" spans="2:3" x14ac:dyDescent="0.2">
      <c r="B2333" s="14" t="str">
        <f>IF(A2333="","",_xlfn.XLOOKUP(A2333,'DISPATCH SHEET'!B$3:B$121,'DISPATCH SHEET'!C$3:C$121,""))</f>
        <v/>
      </c>
      <c r="C2333" s="14" t="str">
        <f>IF(ISBLANK(A2333),"",_xlfn.XLOOKUP(A2333,'DISPATCH SHEET'!C$3:C$121,'DISPATCH SHEET'!#REF!,""))</f>
        <v/>
      </c>
    </row>
    <row r="2334" spans="2:3" x14ac:dyDescent="0.2">
      <c r="B2334" s="14" t="str">
        <f>IF(A2334="","",_xlfn.XLOOKUP(A2334,'DISPATCH SHEET'!B$3:B$121,'DISPATCH SHEET'!C$3:C$121,""))</f>
        <v/>
      </c>
      <c r="C2334" s="14" t="str">
        <f>IF(ISBLANK(A2334),"",_xlfn.XLOOKUP(A2334,'DISPATCH SHEET'!C$3:C$121,'DISPATCH SHEET'!#REF!,""))</f>
        <v/>
      </c>
    </row>
    <row r="2335" spans="2:3" x14ac:dyDescent="0.2">
      <c r="B2335" s="14" t="str">
        <f>IF(A2335="","",_xlfn.XLOOKUP(A2335,'DISPATCH SHEET'!B$3:B$121,'DISPATCH SHEET'!C$3:C$121,""))</f>
        <v/>
      </c>
      <c r="C2335" s="14" t="str">
        <f>IF(ISBLANK(A2335),"",_xlfn.XLOOKUP(A2335,'DISPATCH SHEET'!C$3:C$121,'DISPATCH SHEET'!#REF!,""))</f>
        <v/>
      </c>
    </row>
    <row r="2336" spans="2:3" x14ac:dyDescent="0.2">
      <c r="B2336" s="14" t="str">
        <f>IF(A2336="","",_xlfn.XLOOKUP(A2336,'DISPATCH SHEET'!B$3:B$121,'DISPATCH SHEET'!C$3:C$121,""))</f>
        <v/>
      </c>
      <c r="C2336" s="14" t="str">
        <f>IF(ISBLANK(A2336),"",_xlfn.XLOOKUP(A2336,'DISPATCH SHEET'!C$3:C$121,'DISPATCH SHEET'!#REF!,""))</f>
        <v/>
      </c>
    </row>
    <row r="2337" spans="2:3" x14ac:dyDescent="0.2">
      <c r="B2337" s="14" t="str">
        <f>IF(A2337="","",_xlfn.XLOOKUP(A2337,'DISPATCH SHEET'!B$3:B$121,'DISPATCH SHEET'!C$3:C$121,""))</f>
        <v/>
      </c>
      <c r="C2337" s="14" t="str">
        <f>IF(ISBLANK(A2337),"",_xlfn.XLOOKUP(A2337,'DISPATCH SHEET'!C$3:C$121,'DISPATCH SHEET'!#REF!,""))</f>
        <v/>
      </c>
    </row>
    <row r="2338" spans="2:3" x14ac:dyDescent="0.2">
      <c r="B2338" s="14" t="str">
        <f>IF(A2338="","",_xlfn.XLOOKUP(A2338,'DISPATCH SHEET'!B$3:B$121,'DISPATCH SHEET'!C$3:C$121,""))</f>
        <v/>
      </c>
      <c r="C2338" s="14" t="str">
        <f>IF(ISBLANK(A2338),"",_xlfn.XLOOKUP(A2338,'DISPATCH SHEET'!C$3:C$121,'DISPATCH SHEET'!#REF!,""))</f>
        <v/>
      </c>
    </row>
    <row r="2339" spans="2:3" x14ac:dyDescent="0.2">
      <c r="B2339" s="14" t="str">
        <f>IF(A2339="","",_xlfn.XLOOKUP(A2339,'DISPATCH SHEET'!B$3:B$121,'DISPATCH SHEET'!C$3:C$121,""))</f>
        <v/>
      </c>
      <c r="C2339" s="14" t="str">
        <f>IF(ISBLANK(A2339),"",_xlfn.XLOOKUP(A2339,'DISPATCH SHEET'!C$3:C$121,'DISPATCH SHEET'!#REF!,""))</f>
        <v/>
      </c>
    </row>
    <row r="2340" spans="2:3" x14ac:dyDescent="0.2">
      <c r="B2340" s="14" t="str">
        <f>IF(A2340="","",_xlfn.XLOOKUP(A2340,'DISPATCH SHEET'!B$3:B$121,'DISPATCH SHEET'!C$3:C$121,""))</f>
        <v/>
      </c>
      <c r="C2340" s="14" t="str">
        <f>IF(ISBLANK(A2340),"",_xlfn.XLOOKUP(A2340,'DISPATCH SHEET'!C$3:C$121,'DISPATCH SHEET'!#REF!,""))</f>
        <v/>
      </c>
    </row>
    <row r="2341" spans="2:3" x14ac:dyDescent="0.2">
      <c r="B2341" s="14" t="str">
        <f>IF(A2341="","",_xlfn.XLOOKUP(A2341,'DISPATCH SHEET'!B$3:B$121,'DISPATCH SHEET'!C$3:C$121,""))</f>
        <v/>
      </c>
      <c r="C2341" s="14" t="str">
        <f>IF(ISBLANK(A2341),"",_xlfn.XLOOKUP(A2341,'DISPATCH SHEET'!C$3:C$121,'DISPATCH SHEET'!#REF!,""))</f>
        <v/>
      </c>
    </row>
    <row r="2342" spans="2:3" x14ac:dyDescent="0.2">
      <c r="B2342" s="14" t="str">
        <f>IF(A2342="","",_xlfn.XLOOKUP(A2342,'DISPATCH SHEET'!B$3:B$121,'DISPATCH SHEET'!C$3:C$121,""))</f>
        <v/>
      </c>
      <c r="C2342" s="14" t="str">
        <f>IF(ISBLANK(A2342),"",_xlfn.XLOOKUP(A2342,'DISPATCH SHEET'!C$3:C$121,'DISPATCH SHEET'!#REF!,""))</f>
        <v/>
      </c>
    </row>
    <row r="2343" spans="2:3" x14ac:dyDescent="0.2">
      <c r="B2343" s="14" t="str">
        <f>IF(A2343="","",_xlfn.XLOOKUP(A2343,'DISPATCH SHEET'!B$3:B$121,'DISPATCH SHEET'!C$3:C$121,""))</f>
        <v/>
      </c>
      <c r="C2343" s="14" t="str">
        <f>IF(ISBLANK(A2343),"",_xlfn.XLOOKUP(A2343,'DISPATCH SHEET'!C$3:C$121,'DISPATCH SHEET'!#REF!,""))</f>
        <v/>
      </c>
    </row>
    <row r="2344" spans="2:3" x14ac:dyDescent="0.2">
      <c r="B2344" s="14" t="str">
        <f>IF(A2344="","",_xlfn.XLOOKUP(A2344,'DISPATCH SHEET'!B$3:B$121,'DISPATCH SHEET'!C$3:C$121,""))</f>
        <v/>
      </c>
      <c r="C2344" s="14" t="str">
        <f>IF(ISBLANK(A2344),"",_xlfn.XLOOKUP(A2344,'DISPATCH SHEET'!C$3:C$121,'DISPATCH SHEET'!#REF!,""))</f>
        <v/>
      </c>
    </row>
    <row r="2345" spans="2:3" x14ac:dyDescent="0.2">
      <c r="B2345" s="14" t="str">
        <f>IF(A2345="","",_xlfn.XLOOKUP(A2345,'DISPATCH SHEET'!B$3:B$121,'DISPATCH SHEET'!C$3:C$121,""))</f>
        <v/>
      </c>
      <c r="C2345" s="14" t="str">
        <f>IF(ISBLANK(A2345),"",_xlfn.XLOOKUP(A2345,'DISPATCH SHEET'!C$3:C$121,'DISPATCH SHEET'!#REF!,""))</f>
        <v/>
      </c>
    </row>
    <row r="2346" spans="2:3" x14ac:dyDescent="0.2">
      <c r="B2346" s="14" t="str">
        <f>IF(A2346="","",_xlfn.XLOOKUP(A2346,'DISPATCH SHEET'!B$3:B$121,'DISPATCH SHEET'!C$3:C$121,""))</f>
        <v/>
      </c>
      <c r="C2346" s="14" t="str">
        <f>IF(ISBLANK(A2346),"",_xlfn.XLOOKUP(A2346,'DISPATCH SHEET'!C$3:C$121,'DISPATCH SHEET'!#REF!,""))</f>
        <v/>
      </c>
    </row>
    <row r="2347" spans="2:3" x14ac:dyDescent="0.2">
      <c r="B2347" s="14" t="str">
        <f>IF(A2347="","",_xlfn.XLOOKUP(A2347,'DISPATCH SHEET'!B$3:B$121,'DISPATCH SHEET'!C$3:C$121,""))</f>
        <v/>
      </c>
      <c r="C2347" s="14" t="str">
        <f>IF(ISBLANK(A2347),"",_xlfn.XLOOKUP(A2347,'DISPATCH SHEET'!C$3:C$121,'DISPATCH SHEET'!#REF!,""))</f>
        <v/>
      </c>
    </row>
    <row r="2348" spans="2:3" x14ac:dyDescent="0.2">
      <c r="B2348" s="14" t="str">
        <f>IF(A2348="","",_xlfn.XLOOKUP(A2348,'DISPATCH SHEET'!B$3:B$121,'DISPATCH SHEET'!C$3:C$121,""))</f>
        <v/>
      </c>
      <c r="C2348" s="14" t="str">
        <f>IF(ISBLANK(A2348),"",_xlfn.XLOOKUP(A2348,'DISPATCH SHEET'!C$3:C$121,'DISPATCH SHEET'!#REF!,""))</f>
        <v/>
      </c>
    </row>
    <row r="2349" spans="2:3" x14ac:dyDescent="0.2">
      <c r="B2349" s="14" t="str">
        <f>IF(A2349="","",_xlfn.XLOOKUP(A2349,'DISPATCH SHEET'!B$3:B$121,'DISPATCH SHEET'!C$3:C$121,""))</f>
        <v/>
      </c>
      <c r="C2349" s="14" t="str">
        <f>IF(ISBLANK(A2349),"",_xlfn.XLOOKUP(A2349,'DISPATCH SHEET'!C$3:C$121,'DISPATCH SHEET'!#REF!,""))</f>
        <v/>
      </c>
    </row>
    <row r="2350" spans="2:3" x14ac:dyDescent="0.2">
      <c r="B2350" s="14" t="str">
        <f>IF(A2350="","",_xlfn.XLOOKUP(A2350,'DISPATCH SHEET'!B$3:B$121,'DISPATCH SHEET'!C$3:C$121,""))</f>
        <v/>
      </c>
      <c r="C2350" s="14" t="str">
        <f>IF(ISBLANK(A2350),"",_xlfn.XLOOKUP(A2350,'DISPATCH SHEET'!C$3:C$121,'DISPATCH SHEET'!#REF!,""))</f>
        <v/>
      </c>
    </row>
    <row r="2351" spans="2:3" x14ac:dyDescent="0.2">
      <c r="B2351" s="14" t="str">
        <f>IF(A2351="","",_xlfn.XLOOKUP(A2351,'DISPATCH SHEET'!B$3:B$121,'DISPATCH SHEET'!C$3:C$121,""))</f>
        <v/>
      </c>
      <c r="C2351" s="14" t="str">
        <f>IF(ISBLANK(A2351),"",_xlfn.XLOOKUP(A2351,'DISPATCH SHEET'!C$3:C$121,'DISPATCH SHEET'!#REF!,""))</f>
        <v/>
      </c>
    </row>
    <row r="2352" spans="2:3" x14ac:dyDescent="0.2">
      <c r="B2352" s="14" t="str">
        <f>IF(A2352="","",_xlfn.XLOOKUP(A2352,'DISPATCH SHEET'!B$3:B$121,'DISPATCH SHEET'!C$3:C$121,""))</f>
        <v/>
      </c>
      <c r="C2352" s="14" t="str">
        <f>IF(ISBLANK(A2352),"",_xlfn.XLOOKUP(A2352,'DISPATCH SHEET'!C$3:C$121,'DISPATCH SHEET'!#REF!,""))</f>
        <v/>
      </c>
    </row>
    <row r="2353" spans="2:3" x14ac:dyDescent="0.2">
      <c r="B2353" s="14" t="str">
        <f>IF(A2353="","",_xlfn.XLOOKUP(A2353,'DISPATCH SHEET'!B$3:B$121,'DISPATCH SHEET'!C$3:C$121,""))</f>
        <v/>
      </c>
      <c r="C2353" s="14" t="str">
        <f>IF(ISBLANK(A2353),"",_xlfn.XLOOKUP(A2353,'DISPATCH SHEET'!C$3:C$121,'DISPATCH SHEET'!#REF!,""))</f>
        <v/>
      </c>
    </row>
    <row r="2354" spans="2:3" x14ac:dyDescent="0.2">
      <c r="B2354" s="14" t="str">
        <f>IF(A2354="","",_xlfn.XLOOKUP(A2354,'DISPATCH SHEET'!B$3:B$121,'DISPATCH SHEET'!C$3:C$121,""))</f>
        <v/>
      </c>
      <c r="C2354" s="14" t="str">
        <f>IF(ISBLANK(A2354),"",_xlfn.XLOOKUP(A2354,'DISPATCH SHEET'!C$3:C$121,'DISPATCH SHEET'!#REF!,""))</f>
        <v/>
      </c>
    </row>
    <row r="2355" spans="2:3" x14ac:dyDescent="0.2">
      <c r="B2355" s="14" t="str">
        <f>IF(A2355="","",_xlfn.XLOOKUP(A2355,'DISPATCH SHEET'!B$3:B$121,'DISPATCH SHEET'!C$3:C$121,""))</f>
        <v/>
      </c>
      <c r="C2355" s="14" t="str">
        <f>IF(ISBLANK(A2355),"",_xlfn.XLOOKUP(A2355,'DISPATCH SHEET'!C$3:C$121,'DISPATCH SHEET'!#REF!,""))</f>
        <v/>
      </c>
    </row>
    <row r="2356" spans="2:3" x14ac:dyDescent="0.2">
      <c r="B2356" s="14" t="str">
        <f>IF(A2356="","",_xlfn.XLOOKUP(A2356,'DISPATCH SHEET'!B$3:B$121,'DISPATCH SHEET'!C$3:C$121,""))</f>
        <v/>
      </c>
      <c r="C2356" s="14" t="str">
        <f>IF(ISBLANK(A2356),"",_xlfn.XLOOKUP(A2356,'DISPATCH SHEET'!C$3:C$121,'DISPATCH SHEET'!#REF!,""))</f>
        <v/>
      </c>
    </row>
    <row r="2357" spans="2:3" x14ac:dyDescent="0.2">
      <c r="B2357" s="14" t="str">
        <f>IF(A2357="","",_xlfn.XLOOKUP(A2357,'DISPATCH SHEET'!B$3:B$121,'DISPATCH SHEET'!C$3:C$121,""))</f>
        <v/>
      </c>
      <c r="C2357" s="14" t="str">
        <f>IF(ISBLANK(A2357),"",_xlfn.XLOOKUP(A2357,'DISPATCH SHEET'!C$3:C$121,'DISPATCH SHEET'!#REF!,""))</f>
        <v/>
      </c>
    </row>
    <row r="2358" spans="2:3" x14ac:dyDescent="0.2">
      <c r="B2358" s="14" t="str">
        <f>IF(A2358="","",_xlfn.XLOOKUP(A2358,'DISPATCH SHEET'!B$3:B$121,'DISPATCH SHEET'!C$3:C$121,""))</f>
        <v/>
      </c>
      <c r="C2358" s="14" t="str">
        <f>IF(ISBLANK(A2358),"",_xlfn.XLOOKUP(A2358,'DISPATCH SHEET'!C$3:C$121,'DISPATCH SHEET'!#REF!,""))</f>
        <v/>
      </c>
    </row>
    <row r="2359" spans="2:3" x14ac:dyDescent="0.2">
      <c r="B2359" s="14" t="str">
        <f>IF(A2359="","",_xlfn.XLOOKUP(A2359,'DISPATCH SHEET'!B$3:B$121,'DISPATCH SHEET'!C$3:C$121,""))</f>
        <v/>
      </c>
      <c r="C2359" s="14" t="str">
        <f>IF(ISBLANK(A2359),"",_xlfn.XLOOKUP(A2359,'DISPATCH SHEET'!C$3:C$121,'DISPATCH SHEET'!#REF!,""))</f>
        <v/>
      </c>
    </row>
    <row r="2360" spans="2:3" x14ac:dyDescent="0.2">
      <c r="B2360" s="14" t="str">
        <f>IF(A2360="","",_xlfn.XLOOKUP(A2360,'DISPATCH SHEET'!B$3:B$121,'DISPATCH SHEET'!C$3:C$121,""))</f>
        <v/>
      </c>
      <c r="C2360" s="14" t="str">
        <f>IF(ISBLANK(A2360),"",_xlfn.XLOOKUP(A2360,'DISPATCH SHEET'!C$3:C$121,'DISPATCH SHEET'!#REF!,""))</f>
        <v/>
      </c>
    </row>
    <row r="2361" spans="2:3" x14ac:dyDescent="0.2">
      <c r="B2361" s="14" t="str">
        <f>IF(A2361="","",_xlfn.XLOOKUP(A2361,'DISPATCH SHEET'!B$3:B$121,'DISPATCH SHEET'!C$3:C$121,""))</f>
        <v/>
      </c>
      <c r="C2361" s="14" t="str">
        <f>IF(ISBLANK(A2361),"",_xlfn.XLOOKUP(A2361,'DISPATCH SHEET'!C$3:C$121,'DISPATCH SHEET'!#REF!,""))</f>
        <v/>
      </c>
    </row>
    <row r="2362" spans="2:3" x14ac:dyDescent="0.2">
      <c r="B2362" s="14" t="str">
        <f>IF(A2362="","",_xlfn.XLOOKUP(A2362,'DISPATCH SHEET'!B$3:B$121,'DISPATCH SHEET'!C$3:C$121,""))</f>
        <v/>
      </c>
      <c r="C2362" s="14" t="str">
        <f>IF(ISBLANK(A2362),"",_xlfn.XLOOKUP(A2362,'DISPATCH SHEET'!C$3:C$121,'DISPATCH SHEET'!#REF!,""))</f>
        <v/>
      </c>
    </row>
    <row r="2363" spans="2:3" x14ac:dyDescent="0.2">
      <c r="B2363" s="14" t="str">
        <f>IF(A2363="","",_xlfn.XLOOKUP(A2363,'DISPATCH SHEET'!B$3:B$121,'DISPATCH SHEET'!C$3:C$121,""))</f>
        <v/>
      </c>
      <c r="C2363" s="14" t="str">
        <f>IF(ISBLANK(A2363),"",_xlfn.XLOOKUP(A2363,'DISPATCH SHEET'!C$3:C$121,'DISPATCH SHEET'!#REF!,""))</f>
        <v/>
      </c>
    </row>
    <row r="2364" spans="2:3" x14ac:dyDescent="0.2">
      <c r="B2364" s="14" t="str">
        <f>IF(A2364="","",_xlfn.XLOOKUP(A2364,'DISPATCH SHEET'!B$3:B$121,'DISPATCH SHEET'!C$3:C$121,""))</f>
        <v/>
      </c>
      <c r="C2364" s="14" t="str">
        <f>IF(ISBLANK(A2364),"",_xlfn.XLOOKUP(A2364,'DISPATCH SHEET'!C$3:C$121,'DISPATCH SHEET'!#REF!,""))</f>
        <v/>
      </c>
    </row>
    <row r="2365" spans="2:3" x14ac:dyDescent="0.2">
      <c r="B2365" s="14" t="str">
        <f>IF(A2365="","",_xlfn.XLOOKUP(A2365,'DISPATCH SHEET'!B$3:B$121,'DISPATCH SHEET'!C$3:C$121,""))</f>
        <v/>
      </c>
      <c r="C2365" s="14" t="str">
        <f>IF(ISBLANK(A2365),"",_xlfn.XLOOKUP(A2365,'DISPATCH SHEET'!C$3:C$121,'DISPATCH SHEET'!#REF!,""))</f>
        <v/>
      </c>
    </row>
    <row r="2366" spans="2:3" x14ac:dyDescent="0.2">
      <c r="B2366" s="14" t="str">
        <f>IF(A2366="","",_xlfn.XLOOKUP(A2366,'DISPATCH SHEET'!B$3:B$121,'DISPATCH SHEET'!C$3:C$121,""))</f>
        <v/>
      </c>
      <c r="C2366" s="14" t="str">
        <f>IF(ISBLANK(A2366),"",_xlfn.XLOOKUP(A2366,'DISPATCH SHEET'!C$3:C$121,'DISPATCH SHEET'!#REF!,""))</f>
        <v/>
      </c>
    </row>
    <row r="2367" spans="2:3" x14ac:dyDescent="0.2">
      <c r="B2367" s="14" t="str">
        <f>IF(A2367="","",_xlfn.XLOOKUP(A2367,'DISPATCH SHEET'!B$3:B$121,'DISPATCH SHEET'!C$3:C$121,""))</f>
        <v/>
      </c>
      <c r="C2367" s="14" t="str">
        <f>IF(ISBLANK(A2367),"",_xlfn.XLOOKUP(A2367,'DISPATCH SHEET'!C$3:C$121,'DISPATCH SHEET'!#REF!,""))</f>
        <v/>
      </c>
    </row>
    <row r="2368" spans="2:3" x14ac:dyDescent="0.2">
      <c r="B2368" s="14" t="str">
        <f>IF(A2368="","",_xlfn.XLOOKUP(A2368,'DISPATCH SHEET'!B$3:B$121,'DISPATCH SHEET'!C$3:C$121,""))</f>
        <v/>
      </c>
      <c r="C2368" s="14" t="str">
        <f>IF(ISBLANK(A2368),"",_xlfn.XLOOKUP(A2368,'DISPATCH SHEET'!C$3:C$121,'DISPATCH SHEET'!#REF!,""))</f>
        <v/>
      </c>
    </row>
    <row r="2369" spans="2:3" x14ac:dyDescent="0.2">
      <c r="B2369" s="14" t="str">
        <f>IF(A2369="","",_xlfn.XLOOKUP(A2369,'DISPATCH SHEET'!B$3:B$121,'DISPATCH SHEET'!C$3:C$121,""))</f>
        <v/>
      </c>
      <c r="C2369" s="14" t="str">
        <f>IF(ISBLANK(A2369),"",_xlfn.XLOOKUP(A2369,'DISPATCH SHEET'!C$3:C$121,'DISPATCH SHEET'!#REF!,""))</f>
        <v/>
      </c>
    </row>
    <row r="2370" spans="2:3" x14ac:dyDescent="0.2">
      <c r="B2370" s="14" t="str">
        <f>IF(A2370="","",_xlfn.XLOOKUP(A2370,'DISPATCH SHEET'!B$3:B$121,'DISPATCH SHEET'!C$3:C$121,""))</f>
        <v/>
      </c>
      <c r="C2370" s="14" t="str">
        <f>IF(ISBLANK(A2370),"",_xlfn.XLOOKUP(A2370,'DISPATCH SHEET'!C$3:C$121,'DISPATCH SHEET'!#REF!,""))</f>
        <v/>
      </c>
    </row>
    <row r="2371" spans="2:3" x14ac:dyDescent="0.2">
      <c r="B2371" s="14" t="str">
        <f>IF(A2371="","",_xlfn.XLOOKUP(A2371,'DISPATCH SHEET'!B$3:B$121,'DISPATCH SHEET'!C$3:C$121,""))</f>
        <v/>
      </c>
      <c r="C2371" s="14" t="str">
        <f>IF(ISBLANK(A2371),"",_xlfn.XLOOKUP(A2371,'DISPATCH SHEET'!C$3:C$121,'DISPATCH SHEET'!#REF!,""))</f>
        <v/>
      </c>
    </row>
    <row r="2372" spans="2:3" x14ac:dyDescent="0.2">
      <c r="B2372" s="14" t="str">
        <f>IF(A2372="","",_xlfn.XLOOKUP(A2372,'DISPATCH SHEET'!B$3:B$121,'DISPATCH SHEET'!C$3:C$121,""))</f>
        <v/>
      </c>
      <c r="C2372" s="14" t="str">
        <f>IF(ISBLANK(A2372),"",_xlfn.XLOOKUP(A2372,'DISPATCH SHEET'!C$3:C$121,'DISPATCH SHEET'!#REF!,""))</f>
        <v/>
      </c>
    </row>
    <row r="2373" spans="2:3" x14ac:dyDescent="0.2">
      <c r="B2373" s="14" t="str">
        <f>IF(A2373="","",_xlfn.XLOOKUP(A2373,'DISPATCH SHEET'!B$3:B$121,'DISPATCH SHEET'!C$3:C$121,""))</f>
        <v/>
      </c>
      <c r="C2373" s="14" t="str">
        <f>IF(ISBLANK(A2373),"",_xlfn.XLOOKUP(A2373,'DISPATCH SHEET'!C$3:C$121,'DISPATCH SHEET'!#REF!,""))</f>
        <v/>
      </c>
    </row>
    <row r="2374" spans="2:3" x14ac:dyDescent="0.2">
      <c r="B2374" s="14" t="str">
        <f>IF(A2374="","",_xlfn.XLOOKUP(A2374,'DISPATCH SHEET'!B$3:B$121,'DISPATCH SHEET'!C$3:C$121,""))</f>
        <v/>
      </c>
      <c r="C2374" s="14" t="str">
        <f>IF(ISBLANK(A2374),"",_xlfn.XLOOKUP(A2374,'DISPATCH SHEET'!C$3:C$121,'DISPATCH SHEET'!#REF!,""))</f>
        <v/>
      </c>
    </row>
    <row r="2375" spans="2:3" x14ac:dyDescent="0.2">
      <c r="B2375" s="14" t="str">
        <f>IF(A2375="","",_xlfn.XLOOKUP(A2375,'DISPATCH SHEET'!B$3:B$121,'DISPATCH SHEET'!C$3:C$121,""))</f>
        <v/>
      </c>
      <c r="C2375" s="14" t="str">
        <f>IF(ISBLANK(A2375),"",_xlfn.XLOOKUP(A2375,'DISPATCH SHEET'!C$3:C$121,'DISPATCH SHEET'!#REF!,""))</f>
        <v/>
      </c>
    </row>
    <row r="2376" spans="2:3" x14ac:dyDescent="0.2">
      <c r="B2376" s="14" t="str">
        <f>IF(A2376="","",_xlfn.XLOOKUP(A2376,'DISPATCH SHEET'!B$3:B$121,'DISPATCH SHEET'!C$3:C$121,""))</f>
        <v/>
      </c>
      <c r="C2376" s="14" t="str">
        <f>IF(ISBLANK(A2376),"",_xlfn.XLOOKUP(A2376,'DISPATCH SHEET'!C$3:C$121,'DISPATCH SHEET'!#REF!,""))</f>
        <v/>
      </c>
    </row>
    <row r="2377" spans="2:3" x14ac:dyDescent="0.2">
      <c r="B2377" s="14" t="str">
        <f>IF(A2377="","",_xlfn.XLOOKUP(A2377,'DISPATCH SHEET'!B$3:B$121,'DISPATCH SHEET'!C$3:C$121,""))</f>
        <v/>
      </c>
      <c r="C2377" s="14" t="str">
        <f>IF(ISBLANK(A2377),"",_xlfn.XLOOKUP(A2377,'DISPATCH SHEET'!C$3:C$121,'DISPATCH SHEET'!#REF!,""))</f>
        <v/>
      </c>
    </row>
    <row r="2378" spans="2:3" x14ac:dyDescent="0.2">
      <c r="B2378" s="14" t="str">
        <f>IF(A2378="","",_xlfn.XLOOKUP(A2378,'DISPATCH SHEET'!B$3:B$121,'DISPATCH SHEET'!C$3:C$121,""))</f>
        <v/>
      </c>
      <c r="C2378" s="14" t="str">
        <f>IF(ISBLANK(A2378),"",_xlfn.XLOOKUP(A2378,'DISPATCH SHEET'!C$3:C$121,'DISPATCH SHEET'!#REF!,""))</f>
        <v/>
      </c>
    </row>
    <row r="2379" spans="2:3" x14ac:dyDescent="0.2">
      <c r="B2379" s="14" t="str">
        <f>IF(A2379="","",_xlfn.XLOOKUP(A2379,'DISPATCH SHEET'!B$3:B$121,'DISPATCH SHEET'!C$3:C$121,""))</f>
        <v/>
      </c>
      <c r="C2379" s="14" t="str">
        <f>IF(ISBLANK(A2379),"",_xlfn.XLOOKUP(A2379,'DISPATCH SHEET'!C$3:C$121,'DISPATCH SHEET'!#REF!,""))</f>
        <v/>
      </c>
    </row>
    <row r="2380" spans="2:3" x14ac:dyDescent="0.2">
      <c r="B2380" s="14" t="str">
        <f>IF(A2380="","",_xlfn.XLOOKUP(A2380,'DISPATCH SHEET'!B$3:B$121,'DISPATCH SHEET'!C$3:C$121,""))</f>
        <v/>
      </c>
      <c r="C2380" s="14" t="str">
        <f>IF(ISBLANK(A2380),"",_xlfn.XLOOKUP(A2380,'DISPATCH SHEET'!C$3:C$121,'DISPATCH SHEET'!#REF!,""))</f>
        <v/>
      </c>
    </row>
    <row r="2381" spans="2:3" x14ac:dyDescent="0.2">
      <c r="B2381" s="14" t="str">
        <f>IF(A2381="","",_xlfn.XLOOKUP(A2381,'DISPATCH SHEET'!B$3:B$121,'DISPATCH SHEET'!C$3:C$121,""))</f>
        <v/>
      </c>
      <c r="C2381" s="14" t="str">
        <f>IF(ISBLANK(A2381),"",_xlfn.XLOOKUP(A2381,'DISPATCH SHEET'!C$3:C$121,'DISPATCH SHEET'!#REF!,""))</f>
        <v/>
      </c>
    </row>
    <row r="2382" spans="2:3" x14ac:dyDescent="0.2">
      <c r="B2382" s="14" t="str">
        <f>IF(A2382="","",_xlfn.XLOOKUP(A2382,'DISPATCH SHEET'!B$3:B$121,'DISPATCH SHEET'!C$3:C$121,""))</f>
        <v/>
      </c>
      <c r="C2382" s="14" t="str">
        <f>IF(ISBLANK(A2382),"",_xlfn.XLOOKUP(A2382,'DISPATCH SHEET'!C$3:C$121,'DISPATCH SHEET'!#REF!,""))</f>
        <v/>
      </c>
    </row>
    <row r="2383" spans="2:3" x14ac:dyDescent="0.2">
      <c r="B2383" s="14" t="str">
        <f>IF(A2383="","",_xlfn.XLOOKUP(A2383,'DISPATCH SHEET'!B$3:B$121,'DISPATCH SHEET'!C$3:C$121,""))</f>
        <v/>
      </c>
      <c r="C2383" s="14" t="str">
        <f>IF(ISBLANK(A2383),"",_xlfn.XLOOKUP(A2383,'DISPATCH SHEET'!C$3:C$121,'DISPATCH SHEET'!#REF!,""))</f>
        <v/>
      </c>
    </row>
    <row r="2384" spans="2:3" x14ac:dyDescent="0.2">
      <c r="B2384" s="14" t="str">
        <f>IF(A2384="","",_xlfn.XLOOKUP(A2384,'DISPATCH SHEET'!B$3:B$121,'DISPATCH SHEET'!C$3:C$121,""))</f>
        <v/>
      </c>
      <c r="C2384" s="14" t="str">
        <f>IF(ISBLANK(A2384),"",_xlfn.XLOOKUP(A2384,'DISPATCH SHEET'!C$3:C$121,'DISPATCH SHEET'!#REF!,""))</f>
        <v/>
      </c>
    </row>
    <row r="2385" spans="2:3" x14ac:dyDescent="0.2">
      <c r="B2385" s="14" t="str">
        <f>IF(A2385="","",_xlfn.XLOOKUP(A2385,'DISPATCH SHEET'!B$3:B$121,'DISPATCH SHEET'!C$3:C$121,""))</f>
        <v/>
      </c>
      <c r="C2385" s="14" t="str">
        <f>IF(ISBLANK(A2385),"",_xlfn.XLOOKUP(A2385,'DISPATCH SHEET'!C$3:C$121,'DISPATCH SHEET'!#REF!,""))</f>
        <v/>
      </c>
    </row>
    <row r="2386" spans="2:3" x14ac:dyDescent="0.2">
      <c r="B2386" s="14" t="str">
        <f>IF(A2386="","",_xlfn.XLOOKUP(A2386,'DISPATCH SHEET'!B$3:B$121,'DISPATCH SHEET'!C$3:C$121,""))</f>
        <v/>
      </c>
      <c r="C2386" s="14" t="str">
        <f>IF(ISBLANK(A2386),"",_xlfn.XLOOKUP(A2386,'DISPATCH SHEET'!C$3:C$121,'DISPATCH SHEET'!#REF!,""))</f>
        <v/>
      </c>
    </row>
    <row r="2387" spans="2:3" x14ac:dyDescent="0.2">
      <c r="B2387" s="14" t="str">
        <f>IF(A2387="","",_xlfn.XLOOKUP(A2387,'DISPATCH SHEET'!B$3:B$121,'DISPATCH SHEET'!C$3:C$121,""))</f>
        <v/>
      </c>
      <c r="C2387" s="14" t="str">
        <f>IF(ISBLANK(A2387),"",_xlfn.XLOOKUP(A2387,'DISPATCH SHEET'!C$3:C$121,'DISPATCH SHEET'!#REF!,""))</f>
        <v/>
      </c>
    </row>
    <row r="2388" spans="2:3" x14ac:dyDescent="0.2">
      <c r="B2388" s="14" t="str">
        <f>IF(A2388="","",_xlfn.XLOOKUP(A2388,'DISPATCH SHEET'!B$3:B$121,'DISPATCH SHEET'!C$3:C$121,""))</f>
        <v/>
      </c>
      <c r="C2388" s="14" t="str">
        <f>IF(ISBLANK(A2388),"",_xlfn.XLOOKUP(A2388,'DISPATCH SHEET'!C$3:C$121,'DISPATCH SHEET'!#REF!,""))</f>
        <v/>
      </c>
    </row>
    <row r="2389" spans="2:3" x14ac:dyDescent="0.2">
      <c r="B2389" s="14" t="str">
        <f>IF(A2389="","",_xlfn.XLOOKUP(A2389,'DISPATCH SHEET'!B$3:B$121,'DISPATCH SHEET'!C$3:C$121,""))</f>
        <v/>
      </c>
      <c r="C2389" s="14" t="str">
        <f>IF(ISBLANK(A2389),"",_xlfn.XLOOKUP(A2389,'DISPATCH SHEET'!C$3:C$121,'DISPATCH SHEET'!#REF!,""))</f>
        <v/>
      </c>
    </row>
    <row r="2390" spans="2:3" x14ac:dyDescent="0.2">
      <c r="B2390" s="14" t="str">
        <f>IF(A2390="","",_xlfn.XLOOKUP(A2390,'DISPATCH SHEET'!B$3:B$121,'DISPATCH SHEET'!C$3:C$121,""))</f>
        <v/>
      </c>
      <c r="C2390" s="14" t="str">
        <f>IF(ISBLANK(A2390),"",_xlfn.XLOOKUP(A2390,'DISPATCH SHEET'!C$3:C$121,'DISPATCH SHEET'!#REF!,""))</f>
        <v/>
      </c>
    </row>
    <row r="2391" spans="2:3" x14ac:dyDescent="0.2">
      <c r="B2391" s="14" t="str">
        <f>IF(A2391="","",_xlfn.XLOOKUP(A2391,'DISPATCH SHEET'!B$3:B$121,'DISPATCH SHEET'!C$3:C$121,""))</f>
        <v/>
      </c>
      <c r="C2391" s="14" t="str">
        <f>IF(ISBLANK(A2391),"",_xlfn.XLOOKUP(A2391,'DISPATCH SHEET'!C$3:C$121,'DISPATCH SHEET'!#REF!,""))</f>
        <v/>
      </c>
    </row>
    <row r="2392" spans="2:3" x14ac:dyDescent="0.2">
      <c r="B2392" s="14" t="str">
        <f>IF(A2392="","",_xlfn.XLOOKUP(A2392,'DISPATCH SHEET'!B$3:B$121,'DISPATCH SHEET'!C$3:C$121,""))</f>
        <v/>
      </c>
      <c r="C2392" s="14" t="str">
        <f>IF(ISBLANK(A2392),"",_xlfn.XLOOKUP(A2392,'DISPATCH SHEET'!C$3:C$121,'DISPATCH SHEET'!#REF!,""))</f>
        <v/>
      </c>
    </row>
    <row r="2393" spans="2:3" x14ac:dyDescent="0.2">
      <c r="B2393" s="14" t="str">
        <f>IF(A2393="","",_xlfn.XLOOKUP(A2393,'DISPATCH SHEET'!B$3:B$121,'DISPATCH SHEET'!C$3:C$121,""))</f>
        <v/>
      </c>
      <c r="C2393" s="14" t="str">
        <f>IF(ISBLANK(A2393),"",_xlfn.XLOOKUP(A2393,'DISPATCH SHEET'!C$3:C$121,'DISPATCH SHEET'!#REF!,""))</f>
        <v/>
      </c>
    </row>
    <row r="2394" spans="2:3" x14ac:dyDescent="0.2">
      <c r="B2394" s="14" t="str">
        <f>IF(A2394="","",_xlfn.XLOOKUP(A2394,'DISPATCH SHEET'!B$3:B$121,'DISPATCH SHEET'!C$3:C$121,""))</f>
        <v/>
      </c>
      <c r="C2394" s="14" t="str">
        <f>IF(ISBLANK(A2394),"",_xlfn.XLOOKUP(A2394,'DISPATCH SHEET'!C$3:C$121,'DISPATCH SHEET'!#REF!,""))</f>
        <v/>
      </c>
    </row>
    <row r="2395" spans="2:3" x14ac:dyDescent="0.2">
      <c r="B2395" s="14" t="str">
        <f>IF(A2395="","",_xlfn.XLOOKUP(A2395,'DISPATCH SHEET'!B$3:B$121,'DISPATCH SHEET'!C$3:C$121,""))</f>
        <v/>
      </c>
      <c r="C2395" s="14" t="str">
        <f>IF(ISBLANK(A2395),"",_xlfn.XLOOKUP(A2395,'DISPATCH SHEET'!C$3:C$121,'DISPATCH SHEET'!#REF!,""))</f>
        <v/>
      </c>
    </row>
    <row r="2396" spans="2:3" x14ac:dyDescent="0.2">
      <c r="B2396" s="14" t="str">
        <f>IF(A2396="","",_xlfn.XLOOKUP(A2396,'DISPATCH SHEET'!B$3:B$121,'DISPATCH SHEET'!C$3:C$121,""))</f>
        <v/>
      </c>
      <c r="C2396" s="14" t="str">
        <f>IF(ISBLANK(A2396),"",_xlfn.XLOOKUP(A2396,'DISPATCH SHEET'!C$3:C$121,'DISPATCH SHEET'!#REF!,""))</f>
        <v/>
      </c>
    </row>
    <row r="2397" spans="2:3" x14ac:dyDescent="0.2">
      <c r="B2397" s="14" t="str">
        <f>IF(A2397="","",_xlfn.XLOOKUP(A2397,'DISPATCH SHEET'!B$3:B$121,'DISPATCH SHEET'!C$3:C$121,""))</f>
        <v/>
      </c>
      <c r="C2397" s="14" t="str">
        <f>IF(ISBLANK(A2397),"",_xlfn.XLOOKUP(A2397,'DISPATCH SHEET'!C$3:C$121,'DISPATCH SHEET'!#REF!,""))</f>
        <v/>
      </c>
    </row>
    <row r="2398" spans="2:3" x14ac:dyDescent="0.2">
      <c r="B2398" s="14" t="str">
        <f>IF(A2398="","",_xlfn.XLOOKUP(A2398,'DISPATCH SHEET'!B$3:B$121,'DISPATCH SHEET'!C$3:C$121,""))</f>
        <v/>
      </c>
      <c r="C2398" s="14" t="str">
        <f>IF(ISBLANK(A2398),"",_xlfn.XLOOKUP(A2398,'DISPATCH SHEET'!C$3:C$121,'DISPATCH SHEET'!#REF!,""))</f>
        <v/>
      </c>
    </row>
    <row r="2399" spans="2:3" x14ac:dyDescent="0.2">
      <c r="B2399" s="14" t="str">
        <f>IF(A2399="","",_xlfn.XLOOKUP(A2399,'DISPATCH SHEET'!B$3:B$121,'DISPATCH SHEET'!C$3:C$121,""))</f>
        <v/>
      </c>
      <c r="C2399" s="14" t="str">
        <f>IF(ISBLANK(A2399),"",_xlfn.XLOOKUP(A2399,'DISPATCH SHEET'!C$3:C$121,'DISPATCH SHEET'!#REF!,""))</f>
        <v/>
      </c>
    </row>
    <row r="2400" spans="2:3" x14ac:dyDescent="0.2">
      <c r="B2400" s="14" t="str">
        <f>IF(A2400="","",_xlfn.XLOOKUP(A2400,'DISPATCH SHEET'!B$3:B$121,'DISPATCH SHEET'!C$3:C$121,""))</f>
        <v/>
      </c>
      <c r="C2400" s="14" t="str">
        <f>IF(ISBLANK(A2400),"",_xlfn.XLOOKUP(A2400,'DISPATCH SHEET'!C$3:C$121,'DISPATCH SHEET'!#REF!,""))</f>
        <v/>
      </c>
    </row>
    <row r="2401" spans="2:3" x14ac:dyDescent="0.2">
      <c r="B2401" s="14" t="str">
        <f>IF(A2401="","",_xlfn.XLOOKUP(A2401,'DISPATCH SHEET'!B$3:B$121,'DISPATCH SHEET'!C$3:C$121,""))</f>
        <v/>
      </c>
      <c r="C2401" s="14" t="str">
        <f>IF(ISBLANK(A2401),"",_xlfn.XLOOKUP(A2401,'DISPATCH SHEET'!C$3:C$121,'DISPATCH SHEET'!#REF!,""))</f>
        <v/>
      </c>
    </row>
    <row r="2402" spans="2:3" x14ac:dyDescent="0.2">
      <c r="B2402" s="14" t="str">
        <f>IF(A2402="","",_xlfn.XLOOKUP(A2402,'DISPATCH SHEET'!B$3:B$121,'DISPATCH SHEET'!C$3:C$121,""))</f>
        <v/>
      </c>
      <c r="C2402" s="14" t="str">
        <f>IF(ISBLANK(A2402),"",_xlfn.XLOOKUP(A2402,'DISPATCH SHEET'!C$3:C$121,'DISPATCH SHEET'!#REF!,""))</f>
        <v/>
      </c>
    </row>
    <row r="2403" spans="2:3" x14ac:dyDescent="0.2">
      <c r="B2403" s="14" t="str">
        <f>IF(A2403="","",_xlfn.XLOOKUP(A2403,'DISPATCH SHEET'!B$3:B$121,'DISPATCH SHEET'!C$3:C$121,""))</f>
        <v/>
      </c>
      <c r="C2403" s="14" t="str">
        <f>IF(ISBLANK(A2403),"",_xlfn.XLOOKUP(A2403,'DISPATCH SHEET'!C$3:C$121,'DISPATCH SHEET'!#REF!,""))</f>
        <v/>
      </c>
    </row>
    <row r="2404" spans="2:3" x14ac:dyDescent="0.2">
      <c r="B2404" s="14" t="str">
        <f>IF(A2404="","",_xlfn.XLOOKUP(A2404,'DISPATCH SHEET'!B$3:B$121,'DISPATCH SHEET'!C$3:C$121,""))</f>
        <v/>
      </c>
      <c r="C2404" s="14" t="str">
        <f>IF(ISBLANK(A2404),"",_xlfn.XLOOKUP(A2404,'DISPATCH SHEET'!C$3:C$121,'DISPATCH SHEET'!#REF!,""))</f>
        <v/>
      </c>
    </row>
    <row r="2405" spans="2:3" x14ac:dyDescent="0.2">
      <c r="B2405" s="14" t="str">
        <f>IF(A2405="","",_xlfn.XLOOKUP(A2405,'DISPATCH SHEET'!B$3:B$121,'DISPATCH SHEET'!C$3:C$121,""))</f>
        <v/>
      </c>
      <c r="C2405" s="14" t="str">
        <f>IF(ISBLANK(A2405),"",_xlfn.XLOOKUP(A2405,'DISPATCH SHEET'!C$3:C$121,'DISPATCH SHEET'!#REF!,""))</f>
        <v/>
      </c>
    </row>
    <row r="2406" spans="2:3" x14ac:dyDescent="0.2">
      <c r="B2406" s="14" t="str">
        <f>IF(A2406="","",_xlfn.XLOOKUP(A2406,'DISPATCH SHEET'!B$3:B$121,'DISPATCH SHEET'!C$3:C$121,""))</f>
        <v/>
      </c>
      <c r="C2406" s="14" t="str">
        <f>IF(ISBLANK(A2406),"",_xlfn.XLOOKUP(A2406,'DISPATCH SHEET'!C$3:C$121,'DISPATCH SHEET'!#REF!,""))</f>
        <v/>
      </c>
    </row>
    <row r="2407" spans="2:3" x14ac:dyDescent="0.2">
      <c r="B2407" s="14" t="str">
        <f>IF(A2407="","",_xlfn.XLOOKUP(A2407,'DISPATCH SHEET'!B$3:B$121,'DISPATCH SHEET'!C$3:C$121,""))</f>
        <v/>
      </c>
      <c r="C2407" s="14" t="str">
        <f>IF(ISBLANK(A2407),"",_xlfn.XLOOKUP(A2407,'DISPATCH SHEET'!C$3:C$121,'DISPATCH SHEET'!#REF!,""))</f>
        <v/>
      </c>
    </row>
    <row r="2408" spans="2:3" x14ac:dyDescent="0.2">
      <c r="B2408" s="14" t="str">
        <f>IF(A2408="","",_xlfn.XLOOKUP(A2408,'DISPATCH SHEET'!B$3:B$121,'DISPATCH SHEET'!C$3:C$121,""))</f>
        <v/>
      </c>
      <c r="C2408" s="14" t="str">
        <f>IF(ISBLANK(A2408),"",_xlfn.XLOOKUP(A2408,'DISPATCH SHEET'!C$3:C$121,'DISPATCH SHEET'!#REF!,""))</f>
        <v/>
      </c>
    </row>
    <row r="2409" spans="2:3" x14ac:dyDescent="0.2">
      <c r="B2409" s="14" t="str">
        <f>IF(A2409="","",_xlfn.XLOOKUP(A2409,'DISPATCH SHEET'!B$3:B$121,'DISPATCH SHEET'!C$3:C$121,""))</f>
        <v/>
      </c>
      <c r="C2409" s="14" t="str">
        <f>IF(ISBLANK(A2409),"",_xlfn.XLOOKUP(A2409,'DISPATCH SHEET'!C$3:C$121,'DISPATCH SHEET'!#REF!,""))</f>
        <v/>
      </c>
    </row>
    <row r="2410" spans="2:3" x14ac:dyDescent="0.2">
      <c r="B2410" s="14" t="str">
        <f>IF(A2410="","",_xlfn.XLOOKUP(A2410,'DISPATCH SHEET'!B$3:B$121,'DISPATCH SHEET'!C$3:C$121,""))</f>
        <v/>
      </c>
      <c r="C2410" s="14" t="str">
        <f>IF(ISBLANK(A2410),"",_xlfn.XLOOKUP(A2410,'DISPATCH SHEET'!C$3:C$121,'DISPATCH SHEET'!#REF!,""))</f>
        <v/>
      </c>
    </row>
    <row r="2411" spans="2:3" x14ac:dyDescent="0.2">
      <c r="B2411" s="14" t="str">
        <f>IF(A2411="","",_xlfn.XLOOKUP(A2411,'DISPATCH SHEET'!B$3:B$121,'DISPATCH SHEET'!C$3:C$121,""))</f>
        <v/>
      </c>
      <c r="C2411" s="14" t="str">
        <f>IF(ISBLANK(A2411),"",_xlfn.XLOOKUP(A2411,'DISPATCH SHEET'!C$3:C$121,'DISPATCH SHEET'!#REF!,""))</f>
        <v/>
      </c>
    </row>
    <row r="2412" spans="2:3" x14ac:dyDescent="0.2">
      <c r="B2412" s="14" t="str">
        <f>IF(A2412="","",_xlfn.XLOOKUP(A2412,'DISPATCH SHEET'!B$3:B$121,'DISPATCH SHEET'!C$3:C$121,""))</f>
        <v/>
      </c>
      <c r="C2412" s="14" t="str">
        <f>IF(ISBLANK(A2412),"",_xlfn.XLOOKUP(A2412,'DISPATCH SHEET'!C$3:C$121,'DISPATCH SHEET'!#REF!,""))</f>
        <v/>
      </c>
    </row>
    <row r="2413" spans="2:3" x14ac:dyDescent="0.2">
      <c r="B2413" s="14" t="str">
        <f>IF(A2413="","",_xlfn.XLOOKUP(A2413,'DISPATCH SHEET'!B$3:B$121,'DISPATCH SHEET'!C$3:C$121,""))</f>
        <v/>
      </c>
      <c r="C2413" s="14" t="str">
        <f>IF(ISBLANK(A2413),"",_xlfn.XLOOKUP(A2413,'DISPATCH SHEET'!C$3:C$121,'DISPATCH SHEET'!#REF!,""))</f>
        <v/>
      </c>
    </row>
    <row r="2414" spans="2:3" x14ac:dyDescent="0.2">
      <c r="B2414" s="14" t="str">
        <f>IF(A2414="","",_xlfn.XLOOKUP(A2414,'DISPATCH SHEET'!B$3:B$121,'DISPATCH SHEET'!C$3:C$121,""))</f>
        <v/>
      </c>
      <c r="C2414" s="14" t="str">
        <f>IF(ISBLANK(A2414),"",_xlfn.XLOOKUP(A2414,'DISPATCH SHEET'!C$3:C$121,'DISPATCH SHEET'!#REF!,""))</f>
        <v/>
      </c>
    </row>
    <row r="2415" spans="2:3" x14ac:dyDescent="0.2">
      <c r="B2415" s="14" t="str">
        <f>IF(A2415="","",_xlfn.XLOOKUP(A2415,'DISPATCH SHEET'!B$3:B$121,'DISPATCH SHEET'!C$3:C$121,""))</f>
        <v/>
      </c>
      <c r="C2415" s="14" t="str">
        <f>IF(ISBLANK(A2415),"",_xlfn.XLOOKUP(A2415,'DISPATCH SHEET'!C$3:C$121,'DISPATCH SHEET'!#REF!,""))</f>
        <v/>
      </c>
    </row>
    <row r="2416" spans="2:3" x14ac:dyDescent="0.2">
      <c r="B2416" s="14" t="str">
        <f>IF(A2416="","",_xlfn.XLOOKUP(A2416,'DISPATCH SHEET'!B$3:B$121,'DISPATCH SHEET'!C$3:C$121,""))</f>
        <v/>
      </c>
      <c r="C2416" s="14" t="str">
        <f>IF(ISBLANK(A2416),"",_xlfn.XLOOKUP(A2416,'DISPATCH SHEET'!C$3:C$121,'DISPATCH SHEET'!#REF!,""))</f>
        <v/>
      </c>
    </row>
    <row r="2417" spans="2:3" x14ac:dyDescent="0.2">
      <c r="B2417" s="14" t="str">
        <f>IF(A2417="","",_xlfn.XLOOKUP(A2417,'DISPATCH SHEET'!B$3:B$121,'DISPATCH SHEET'!C$3:C$121,""))</f>
        <v/>
      </c>
      <c r="C2417" s="14" t="str">
        <f>IF(ISBLANK(A2417),"",_xlfn.XLOOKUP(A2417,'DISPATCH SHEET'!C$3:C$121,'DISPATCH SHEET'!#REF!,""))</f>
        <v/>
      </c>
    </row>
    <row r="2418" spans="2:3" x14ac:dyDescent="0.2">
      <c r="B2418" s="14" t="str">
        <f>IF(A2418="","",_xlfn.XLOOKUP(A2418,'DISPATCH SHEET'!B$3:B$121,'DISPATCH SHEET'!C$3:C$121,""))</f>
        <v/>
      </c>
      <c r="C2418" s="14" t="str">
        <f>IF(ISBLANK(A2418),"",_xlfn.XLOOKUP(A2418,'DISPATCH SHEET'!C$3:C$121,'DISPATCH SHEET'!#REF!,""))</f>
        <v/>
      </c>
    </row>
    <row r="2419" spans="2:3" x14ac:dyDescent="0.2">
      <c r="B2419" s="14" t="str">
        <f>IF(A2419="","",_xlfn.XLOOKUP(A2419,'DISPATCH SHEET'!B$3:B$121,'DISPATCH SHEET'!C$3:C$121,""))</f>
        <v/>
      </c>
      <c r="C2419" s="14" t="str">
        <f>IF(ISBLANK(A2419),"",_xlfn.XLOOKUP(A2419,'DISPATCH SHEET'!C$3:C$121,'DISPATCH SHEET'!#REF!,""))</f>
        <v/>
      </c>
    </row>
    <row r="2420" spans="2:3" x14ac:dyDescent="0.2">
      <c r="B2420" s="14" t="str">
        <f>IF(A2420="","",_xlfn.XLOOKUP(A2420,'DISPATCH SHEET'!B$3:B$121,'DISPATCH SHEET'!C$3:C$121,""))</f>
        <v/>
      </c>
      <c r="C2420" s="14" t="str">
        <f>IF(ISBLANK(A2420),"",_xlfn.XLOOKUP(A2420,'DISPATCH SHEET'!C$3:C$121,'DISPATCH SHEET'!#REF!,""))</f>
        <v/>
      </c>
    </row>
    <row r="2421" spans="2:3" x14ac:dyDescent="0.2">
      <c r="B2421" s="14" t="str">
        <f>IF(A2421="","",_xlfn.XLOOKUP(A2421,'DISPATCH SHEET'!B$3:B$121,'DISPATCH SHEET'!C$3:C$121,""))</f>
        <v/>
      </c>
      <c r="C2421" s="14" t="str">
        <f>IF(ISBLANK(A2421),"",_xlfn.XLOOKUP(A2421,'DISPATCH SHEET'!C$3:C$121,'DISPATCH SHEET'!#REF!,""))</f>
        <v/>
      </c>
    </row>
    <row r="2422" spans="2:3" x14ac:dyDescent="0.2">
      <c r="B2422" s="14" t="str">
        <f>IF(A2422="","",_xlfn.XLOOKUP(A2422,'DISPATCH SHEET'!B$3:B$121,'DISPATCH SHEET'!C$3:C$121,""))</f>
        <v/>
      </c>
      <c r="C2422" s="14" t="str">
        <f>IF(ISBLANK(A2422),"",_xlfn.XLOOKUP(A2422,'DISPATCH SHEET'!C$3:C$121,'DISPATCH SHEET'!#REF!,""))</f>
        <v/>
      </c>
    </row>
    <row r="2423" spans="2:3" x14ac:dyDescent="0.2">
      <c r="B2423" s="14" t="str">
        <f>IF(A2423="","",_xlfn.XLOOKUP(A2423,'DISPATCH SHEET'!B$3:B$121,'DISPATCH SHEET'!C$3:C$121,""))</f>
        <v/>
      </c>
      <c r="C2423" s="14" t="str">
        <f>IF(ISBLANK(A2423),"",_xlfn.XLOOKUP(A2423,'DISPATCH SHEET'!C$3:C$121,'DISPATCH SHEET'!#REF!,""))</f>
        <v/>
      </c>
    </row>
    <row r="2424" spans="2:3" x14ac:dyDescent="0.2">
      <c r="B2424" s="14" t="str">
        <f>IF(A2424="","",_xlfn.XLOOKUP(A2424,'DISPATCH SHEET'!B$3:B$121,'DISPATCH SHEET'!C$3:C$121,""))</f>
        <v/>
      </c>
      <c r="C2424" s="14" t="str">
        <f>IF(ISBLANK(A2424),"",_xlfn.XLOOKUP(A2424,'DISPATCH SHEET'!C$3:C$121,'DISPATCH SHEET'!#REF!,""))</f>
        <v/>
      </c>
    </row>
    <row r="2425" spans="2:3" x14ac:dyDescent="0.2">
      <c r="B2425" s="14" t="str">
        <f>IF(A2425="","",_xlfn.XLOOKUP(A2425,'DISPATCH SHEET'!B$3:B$121,'DISPATCH SHEET'!C$3:C$121,""))</f>
        <v/>
      </c>
      <c r="C2425" s="14" t="str">
        <f>IF(ISBLANK(A2425),"",_xlfn.XLOOKUP(A2425,'DISPATCH SHEET'!C$3:C$121,'DISPATCH SHEET'!#REF!,""))</f>
        <v/>
      </c>
    </row>
    <row r="2426" spans="2:3" x14ac:dyDescent="0.2">
      <c r="B2426" s="14" t="str">
        <f>IF(A2426="","",_xlfn.XLOOKUP(A2426,'DISPATCH SHEET'!B$3:B$121,'DISPATCH SHEET'!C$3:C$121,""))</f>
        <v/>
      </c>
      <c r="C2426" s="14" t="str">
        <f>IF(ISBLANK(A2426),"",_xlfn.XLOOKUP(A2426,'DISPATCH SHEET'!C$3:C$121,'DISPATCH SHEET'!#REF!,""))</f>
        <v/>
      </c>
    </row>
    <row r="2427" spans="2:3" x14ac:dyDescent="0.2">
      <c r="B2427" s="14" t="str">
        <f>IF(A2427="","",_xlfn.XLOOKUP(A2427,'DISPATCH SHEET'!B$3:B$121,'DISPATCH SHEET'!C$3:C$121,""))</f>
        <v/>
      </c>
      <c r="C2427" s="14" t="str">
        <f>IF(ISBLANK(A2427),"",_xlfn.XLOOKUP(A2427,'DISPATCH SHEET'!C$3:C$121,'DISPATCH SHEET'!#REF!,""))</f>
        <v/>
      </c>
    </row>
    <row r="2428" spans="2:3" x14ac:dyDescent="0.2">
      <c r="B2428" s="14" t="str">
        <f>IF(A2428="","",_xlfn.XLOOKUP(A2428,'DISPATCH SHEET'!B$3:B$121,'DISPATCH SHEET'!C$3:C$121,""))</f>
        <v/>
      </c>
      <c r="C2428" s="14" t="str">
        <f>IF(ISBLANK(A2428),"",_xlfn.XLOOKUP(A2428,'DISPATCH SHEET'!C$3:C$121,'DISPATCH SHEET'!#REF!,""))</f>
        <v/>
      </c>
    </row>
    <row r="2429" spans="2:3" x14ac:dyDescent="0.2">
      <c r="B2429" s="14" t="str">
        <f>IF(A2429="","",_xlfn.XLOOKUP(A2429,'DISPATCH SHEET'!B$3:B$121,'DISPATCH SHEET'!C$3:C$121,""))</f>
        <v/>
      </c>
      <c r="C2429" s="14" t="str">
        <f>IF(ISBLANK(A2429),"",_xlfn.XLOOKUP(A2429,'DISPATCH SHEET'!C$3:C$121,'DISPATCH SHEET'!#REF!,""))</f>
        <v/>
      </c>
    </row>
    <row r="2430" spans="2:3" x14ac:dyDescent="0.2">
      <c r="B2430" s="14" t="str">
        <f>IF(A2430="","",_xlfn.XLOOKUP(A2430,'DISPATCH SHEET'!B$3:B$121,'DISPATCH SHEET'!C$3:C$121,""))</f>
        <v/>
      </c>
      <c r="C2430" s="14" t="str">
        <f>IF(ISBLANK(A2430),"",_xlfn.XLOOKUP(A2430,'DISPATCH SHEET'!C$3:C$121,'DISPATCH SHEET'!#REF!,""))</f>
        <v/>
      </c>
    </row>
    <row r="2431" spans="2:3" x14ac:dyDescent="0.2">
      <c r="B2431" s="14" t="str">
        <f>IF(A2431="","",_xlfn.XLOOKUP(A2431,'DISPATCH SHEET'!B$3:B$121,'DISPATCH SHEET'!C$3:C$121,""))</f>
        <v/>
      </c>
      <c r="C2431" s="14" t="str">
        <f>IF(ISBLANK(A2431),"",_xlfn.XLOOKUP(A2431,'DISPATCH SHEET'!C$3:C$121,'DISPATCH SHEET'!#REF!,""))</f>
        <v/>
      </c>
    </row>
    <row r="2432" spans="2:3" x14ac:dyDescent="0.2">
      <c r="B2432" s="14" t="str">
        <f>IF(A2432="","",_xlfn.XLOOKUP(A2432,'DISPATCH SHEET'!B$3:B$121,'DISPATCH SHEET'!C$3:C$121,""))</f>
        <v/>
      </c>
      <c r="C2432" s="14" t="str">
        <f>IF(ISBLANK(A2432),"",_xlfn.XLOOKUP(A2432,'DISPATCH SHEET'!C$3:C$121,'DISPATCH SHEET'!#REF!,""))</f>
        <v/>
      </c>
    </row>
    <row r="2433" spans="2:3" x14ac:dyDescent="0.2">
      <c r="B2433" s="14" t="str">
        <f>IF(A2433="","",_xlfn.XLOOKUP(A2433,'DISPATCH SHEET'!B$3:B$121,'DISPATCH SHEET'!C$3:C$121,""))</f>
        <v/>
      </c>
      <c r="C2433" s="14" t="str">
        <f>IF(ISBLANK(A2433),"",_xlfn.XLOOKUP(A2433,'DISPATCH SHEET'!C$3:C$121,'DISPATCH SHEET'!#REF!,""))</f>
        <v/>
      </c>
    </row>
    <row r="2434" spans="2:3" x14ac:dyDescent="0.2">
      <c r="B2434" s="14" t="str">
        <f>IF(A2434="","",_xlfn.XLOOKUP(A2434,'DISPATCH SHEET'!B$3:B$121,'DISPATCH SHEET'!C$3:C$121,""))</f>
        <v/>
      </c>
      <c r="C2434" s="14" t="str">
        <f>IF(ISBLANK(A2434),"",_xlfn.XLOOKUP(A2434,'DISPATCH SHEET'!C$3:C$121,'DISPATCH SHEET'!#REF!,""))</f>
        <v/>
      </c>
    </row>
    <row r="2435" spans="2:3" x14ac:dyDescent="0.2">
      <c r="B2435" s="14" t="str">
        <f>IF(A2435="","",_xlfn.XLOOKUP(A2435,'DISPATCH SHEET'!B$3:B$121,'DISPATCH SHEET'!C$3:C$121,""))</f>
        <v/>
      </c>
      <c r="C2435" s="14" t="str">
        <f>IF(ISBLANK(A2435),"",_xlfn.XLOOKUP(A2435,'DISPATCH SHEET'!C$3:C$121,'DISPATCH SHEET'!#REF!,""))</f>
        <v/>
      </c>
    </row>
    <row r="2436" spans="2:3" x14ac:dyDescent="0.2">
      <c r="B2436" s="14" t="str">
        <f>IF(A2436="","",_xlfn.XLOOKUP(A2436,'DISPATCH SHEET'!B$3:B$121,'DISPATCH SHEET'!C$3:C$121,""))</f>
        <v/>
      </c>
      <c r="C2436" s="14" t="str">
        <f>IF(ISBLANK(A2436),"",_xlfn.XLOOKUP(A2436,'DISPATCH SHEET'!C$3:C$121,'DISPATCH SHEET'!#REF!,""))</f>
        <v/>
      </c>
    </row>
    <row r="2437" spans="2:3" x14ac:dyDescent="0.2">
      <c r="B2437" s="14" t="str">
        <f>IF(A2437="","",_xlfn.XLOOKUP(A2437,'DISPATCH SHEET'!B$3:B$121,'DISPATCH SHEET'!C$3:C$121,""))</f>
        <v/>
      </c>
      <c r="C2437" s="14" t="str">
        <f>IF(ISBLANK(A2437),"",_xlfn.XLOOKUP(A2437,'DISPATCH SHEET'!C$3:C$121,'DISPATCH SHEET'!#REF!,""))</f>
        <v/>
      </c>
    </row>
    <row r="2438" spans="2:3" x14ac:dyDescent="0.2">
      <c r="B2438" s="14" t="str">
        <f>IF(A2438="","",_xlfn.XLOOKUP(A2438,'DISPATCH SHEET'!B$3:B$121,'DISPATCH SHEET'!C$3:C$121,""))</f>
        <v/>
      </c>
      <c r="C2438" s="14" t="str">
        <f>IF(ISBLANK(A2438),"",_xlfn.XLOOKUP(A2438,'DISPATCH SHEET'!C$3:C$121,'DISPATCH SHEET'!#REF!,""))</f>
        <v/>
      </c>
    </row>
    <row r="2439" spans="2:3" x14ac:dyDescent="0.2">
      <c r="B2439" s="14" t="str">
        <f>IF(A2439="","",_xlfn.XLOOKUP(A2439,'DISPATCH SHEET'!B$3:B$121,'DISPATCH SHEET'!C$3:C$121,""))</f>
        <v/>
      </c>
      <c r="C2439" s="14" t="str">
        <f>IF(ISBLANK(A2439),"",_xlfn.XLOOKUP(A2439,'DISPATCH SHEET'!C$3:C$121,'DISPATCH SHEET'!#REF!,""))</f>
        <v/>
      </c>
    </row>
    <row r="2440" spans="2:3" x14ac:dyDescent="0.2">
      <c r="B2440" s="14" t="str">
        <f>IF(A2440="","",_xlfn.XLOOKUP(A2440,'DISPATCH SHEET'!B$3:B$121,'DISPATCH SHEET'!C$3:C$121,""))</f>
        <v/>
      </c>
      <c r="C2440" s="14" t="str">
        <f>IF(ISBLANK(A2440),"",_xlfn.XLOOKUP(A2440,'DISPATCH SHEET'!C$3:C$121,'DISPATCH SHEET'!#REF!,""))</f>
        <v/>
      </c>
    </row>
    <row r="2441" spans="2:3" x14ac:dyDescent="0.2">
      <c r="B2441" s="14" t="str">
        <f>IF(A2441="","",_xlfn.XLOOKUP(A2441,'DISPATCH SHEET'!B$3:B$121,'DISPATCH SHEET'!C$3:C$121,""))</f>
        <v/>
      </c>
      <c r="C2441" s="14" t="str">
        <f>IF(ISBLANK(A2441),"",_xlfn.XLOOKUP(A2441,'DISPATCH SHEET'!C$3:C$121,'DISPATCH SHEET'!#REF!,""))</f>
        <v/>
      </c>
    </row>
    <row r="2442" spans="2:3" x14ac:dyDescent="0.2">
      <c r="B2442" s="14" t="str">
        <f>IF(A2442="","",_xlfn.XLOOKUP(A2442,'DISPATCH SHEET'!B$3:B$121,'DISPATCH SHEET'!C$3:C$121,""))</f>
        <v/>
      </c>
      <c r="C2442" s="14" t="str">
        <f>IF(ISBLANK(A2442),"",_xlfn.XLOOKUP(A2442,'DISPATCH SHEET'!C$3:C$121,'DISPATCH SHEET'!#REF!,""))</f>
        <v/>
      </c>
    </row>
    <row r="2443" spans="2:3" x14ac:dyDescent="0.2">
      <c r="B2443" s="14" t="str">
        <f>IF(A2443="","",_xlfn.XLOOKUP(A2443,'DISPATCH SHEET'!B$3:B$121,'DISPATCH SHEET'!C$3:C$121,""))</f>
        <v/>
      </c>
      <c r="C2443" s="14" t="str">
        <f>IF(ISBLANK(A2443),"",_xlfn.XLOOKUP(A2443,'DISPATCH SHEET'!C$3:C$121,'DISPATCH SHEET'!#REF!,""))</f>
        <v/>
      </c>
    </row>
    <row r="2444" spans="2:3" x14ac:dyDescent="0.2">
      <c r="B2444" s="14" t="str">
        <f>IF(A2444="","",_xlfn.XLOOKUP(A2444,'DISPATCH SHEET'!B$3:B$121,'DISPATCH SHEET'!C$3:C$121,""))</f>
        <v/>
      </c>
      <c r="C2444" s="14" t="str">
        <f>IF(ISBLANK(A2444),"",_xlfn.XLOOKUP(A2444,'DISPATCH SHEET'!C$3:C$121,'DISPATCH SHEET'!#REF!,""))</f>
        <v/>
      </c>
    </row>
    <row r="2445" spans="2:3" x14ac:dyDescent="0.2">
      <c r="B2445" s="14" t="str">
        <f>IF(A2445="","",_xlfn.XLOOKUP(A2445,'DISPATCH SHEET'!B$3:B$121,'DISPATCH SHEET'!C$3:C$121,""))</f>
        <v/>
      </c>
      <c r="C2445" s="14" t="str">
        <f>IF(ISBLANK(A2445),"",_xlfn.XLOOKUP(A2445,'DISPATCH SHEET'!C$3:C$121,'DISPATCH SHEET'!#REF!,""))</f>
        <v/>
      </c>
    </row>
    <row r="2446" spans="2:3" x14ac:dyDescent="0.2">
      <c r="B2446" s="14" t="str">
        <f>IF(A2446="","",_xlfn.XLOOKUP(A2446,'DISPATCH SHEET'!B$3:B$121,'DISPATCH SHEET'!C$3:C$121,""))</f>
        <v/>
      </c>
      <c r="C2446" s="14" t="str">
        <f>IF(ISBLANK(A2446),"",_xlfn.XLOOKUP(A2446,'DISPATCH SHEET'!C$3:C$121,'DISPATCH SHEET'!#REF!,""))</f>
        <v/>
      </c>
    </row>
    <row r="2447" spans="2:3" x14ac:dyDescent="0.2">
      <c r="B2447" s="14" t="str">
        <f>IF(A2447="","",_xlfn.XLOOKUP(A2447,'DISPATCH SHEET'!B$3:B$121,'DISPATCH SHEET'!C$3:C$121,""))</f>
        <v/>
      </c>
      <c r="C2447" s="14" t="str">
        <f>IF(ISBLANK(A2447),"",_xlfn.XLOOKUP(A2447,'DISPATCH SHEET'!C$3:C$121,'DISPATCH SHEET'!#REF!,""))</f>
        <v/>
      </c>
    </row>
    <row r="2448" spans="2:3" x14ac:dyDescent="0.2">
      <c r="B2448" s="14" t="str">
        <f>IF(A2448="","",_xlfn.XLOOKUP(A2448,'DISPATCH SHEET'!B$3:B$121,'DISPATCH SHEET'!C$3:C$121,""))</f>
        <v/>
      </c>
      <c r="C2448" s="14" t="str">
        <f>IF(ISBLANK(A2448),"",_xlfn.XLOOKUP(A2448,'DISPATCH SHEET'!C$3:C$121,'DISPATCH SHEET'!#REF!,""))</f>
        <v/>
      </c>
    </row>
    <row r="2449" spans="2:3" x14ac:dyDescent="0.2">
      <c r="B2449" s="14" t="str">
        <f>IF(A2449="","",_xlfn.XLOOKUP(A2449,'DISPATCH SHEET'!B$3:B$121,'DISPATCH SHEET'!C$3:C$121,""))</f>
        <v/>
      </c>
      <c r="C2449" s="14" t="str">
        <f>IF(ISBLANK(A2449),"",_xlfn.XLOOKUP(A2449,'DISPATCH SHEET'!C$3:C$121,'DISPATCH SHEET'!#REF!,""))</f>
        <v/>
      </c>
    </row>
    <row r="2450" spans="2:3" x14ac:dyDescent="0.2">
      <c r="B2450" s="14" t="str">
        <f>IF(A2450="","",_xlfn.XLOOKUP(A2450,'DISPATCH SHEET'!B$3:B$121,'DISPATCH SHEET'!C$3:C$121,""))</f>
        <v/>
      </c>
      <c r="C2450" s="14" t="str">
        <f>IF(ISBLANK(A2450),"",_xlfn.XLOOKUP(A2450,'DISPATCH SHEET'!C$3:C$121,'DISPATCH SHEET'!#REF!,""))</f>
        <v/>
      </c>
    </row>
    <row r="2451" spans="2:3" x14ac:dyDescent="0.2">
      <c r="B2451" s="14" t="str">
        <f>IF(A2451="","",_xlfn.XLOOKUP(A2451,'DISPATCH SHEET'!B$3:B$121,'DISPATCH SHEET'!C$3:C$121,""))</f>
        <v/>
      </c>
      <c r="C2451" s="14" t="str">
        <f>IF(ISBLANK(A2451),"",_xlfn.XLOOKUP(A2451,'DISPATCH SHEET'!C$3:C$121,'DISPATCH SHEET'!#REF!,""))</f>
        <v/>
      </c>
    </row>
    <row r="2452" spans="2:3" x14ac:dyDescent="0.2">
      <c r="B2452" s="14" t="str">
        <f>IF(A2452="","",_xlfn.XLOOKUP(A2452,'DISPATCH SHEET'!B$3:B$121,'DISPATCH SHEET'!C$3:C$121,""))</f>
        <v/>
      </c>
      <c r="C2452" s="14" t="str">
        <f>IF(ISBLANK(A2452),"",_xlfn.XLOOKUP(A2452,'DISPATCH SHEET'!C$3:C$121,'DISPATCH SHEET'!#REF!,""))</f>
        <v/>
      </c>
    </row>
    <row r="2453" spans="2:3" x14ac:dyDescent="0.2">
      <c r="B2453" s="14" t="str">
        <f>IF(A2453="","",_xlfn.XLOOKUP(A2453,'DISPATCH SHEET'!B$3:B$121,'DISPATCH SHEET'!C$3:C$121,""))</f>
        <v/>
      </c>
      <c r="C2453" s="14" t="str">
        <f>IF(ISBLANK(A2453),"",_xlfn.XLOOKUP(A2453,'DISPATCH SHEET'!C$3:C$121,'DISPATCH SHEET'!#REF!,""))</f>
        <v/>
      </c>
    </row>
    <row r="2454" spans="2:3" x14ac:dyDescent="0.2">
      <c r="B2454" s="14" t="str">
        <f>IF(A2454="","",_xlfn.XLOOKUP(A2454,'DISPATCH SHEET'!B$3:B$121,'DISPATCH SHEET'!C$3:C$121,""))</f>
        <v/>
      </c>
      <c r="C2454" s="14" t="str">
        <f>IF(ISBLANK(A2454),"",_xlfn.XLOOKUP(A2454,'DISPATCH SHEET'!C$3:C$121,'DISPATCH SHEET'!#REF!,""))</f>
        <v/>
      </c>
    </row>
    <row r="2455" spans="2:3" x14ac:dyDescent="0.2">
      <c r="B2455" s="14" t="str">
        <f>IF(A2455="","",_xlfn.XLOOKUP(A2455,'DISPATCH SHEET'!B$3:B$121,'DISPATCH SHEET'!C$3:C$121,""))</f>
        <v/>
      </c>
      <c r="C2455" s="14" t="str">
        <f>IF(ISBLANK(A2455),"",_xlfn.XLOOKUP(A2455,'DISPATCH SHEET'!C$3:C$121,'DISPATCH SHEET'!#REF!,""))</f>
        <v/>
      </c>
    </row>
    <row r="2456" spans="2:3" x14ac:dyDescent="0.2">
      <c r="B2456" s="14" t="str">
        <f>IF(A2456="","",_xlfn.XLOOKUP(A2456,'DISPATCH SHEET'!B$3:B$121,'DISPATCH SHEET'!C$3:C$121,""))</f>
        <v/>
      </c>
      <c r="C2456" s="14" t="str">
        <f>IF(ISBLANK(A2456),"",_xlfn.XLOOKUP(A2456,'DISPATCH SHEET'!C$3:C$121,'DISPATCH SHEET'!#REF!,""))</f>
        <v/>
      </c>
    </row>
    <row r="2457" spans="2:3" x14ac:dyDescent="0.2">
      <c r="B2457" s="14" t="str">
        <f>IF(A2457="","",_xlfn.XLOOKUP(A2457,'DISPATCH SHEET'!B$3:B$121,'DISPATCH SHEET'!C$3:C$121,""))</f>
        <v/>
      </c>
      <c r="C2457" s="14" t="str">
        <f>IF(ISBLANK(A2457),"",_xlfn.XLOOKUP(A2457,'DISPATCH SHEET'!C$3:C$121,'DISPATCH SHEET'!#REF!,""))</f>
        <v/>
      </c>
    </row>
    <row r="2458" spans="2:3" x14ac:dyDescent="0.2">
      <c r="B2458" s="14" t="str">
        <f>IF(A2458="","",_xlfn.XLOOKUP(A2458,'DISPATCH SHEET'!B$3:B$121,'DISPATCH SHEET'!C$3:C$121,""))</f>
        <v/>
      </c>
      <c r="C2458" s="14" t="str">
        <f>IF(ISBLANK(A2458),"",_xlfn.XLOOKUP(A2458,'DISPATCH SHEET'!C$3:C$121,'DISPATCH SHEET'!#REF!,""))</f>
        <v/>
      </c>
    </row>
    <row r="2459" spans="2:3" x14ac:dyDescent="0.2">
      <c r="B2459" s="14" t="str">
        <f>IF(A2459="","",_xlfn.XLOOKUP(A2459,'DISPATCH SHEET'!B$3:B$121,'DISPATCH SHEET'!C$3:C$121,""))</f>
        <v/>
      </c>
      <c r="C2459" s="14" t="str">
        <f>IF(ISBLANK(A2459),"",_xlfn.XLOOKUP(A2459,'DISPATCH SHEET'!C$3:C$121,'DISPATCH SHEET'!#REF!,""))</f>
        <v/>
      </c>
    </row>
    <row r="2460" spans="2:3" x14ac:dyDescent="0.2">
      <c r="B2460" s="14" t="str">
        <f>IF(A2460="","",_xlfn.XLOOKUP(A2460,'DISPATCH SHEET'!B$3:B$121,'DISPATCH SHEET'!C$3:C$121,""))</f>
        <v/>
      </c>
      <c r="C2460" s="14" t="str">
        <f>IF(ISBLANK(A2460),"",_xlfn.XLOOKUP(A2460,'DISPATCH SHEET'!C$3:C$121,'DISPATCH SHEET'!#REF!,""))</f>
        <v/>
      </c>
    </row>
    <row r="2461" spans="2:3" x14ac:dyDescent="0.2">
      <c r="B2461" s="14" t="str">
        <f>IF(A2461="","",_xlfn.XLOOKUP(A2461,'DISPATCH SHEET'!B$3:B$121,'DISPATCH SHEET'!C$3:C$121,""))</f>
        <v/>
      </c>
      <c r="C2461" s="14" t="str">
        <f>IF(ISBLANK(A2461),"",_xlfn.XLOOKUP(A2461,'DISPATCH SHEET'!C$3:C$121,'DISPATCH SHEET'!#REF!,""))</f>
        <v/>
      </c>
    </row>
    <row r="2462" spans="2:3" x14ac:dyDescent="0.2">
      <c r="B2462" s="14" t="str">
        <f>IF(A2462="","",_xlfn.XLOOKUP(A2462,'DISPATCH SHEET'!B$3:B$121,'DISPATCH SHEET'!C$3:C$121,""))</f>
        <v/>
      </c>
      <c r="C2462" s="14" t="str">
        <f>IF(ISBLANK(A2462),"",_xlfn.XLOOKUP(A2462,'DISPATCH SHEET'!C$3:C$121,'DISPATCH SHEET'!#REF!,""))</f>
        <v/>
      </c>
    </row>
    <row r="2463" spans="2:3" x14ac:dyDescent="0.2">
      <c r="B2463" s="14" t="str">
        <f>IF(A2463="","",_xlfn.XLOOKUP(A2463,'DISPATCH SHEET'!B$3:B$121,'DISPATCH SHEET'!C$3:C$121,""))</f>
        <v/>
      </c>
      <c r="C2463" s="14" t="str">
        <f>IF(ISBLANK(A2463),"",_xlfn.XLOOKUP(A2463,'DISPATCH SHEET'!C$3:C$121,'DISPATCH SHEET'!#REF!,""))</f>
        <v/>
      </c>
    </row>
    <row r="2464" spans="2:3" x14ac:dyDescent="0.2">
      <c r="B2464" s="14" t="str">
        <f>IF(A2464="","",_xlfn.XLOOKUP(A2464,'DISPATCH SHEET'!B$3:B$121,'DISPATCH SHEET'!C$3:C$121,""))</f>
        <v/>
      </c>
      <c r="C2464" s="14" t="str">
        <f>IF(ISBLANK(A2464),"",_xlfn.XLOOKUP(A2464,'DISPATCH SHEET'!C$3:C$121,'DISPATCH SHEET'!#REF!,""))</f>
        <v/>
      </c>
    </row>
    <row r="2465" spans="2:3" x14ac:dyDescent="0.2">
      <c r="B2465" s="14" t="str">
        <f>IF(A2465="","",_xlfn.XLOOKUP(A2465,'DISPATCH SHEET'!B$3:B$121,'DISPATCH SHEET'!C$3:C$121,""))</f>
        <v/>
      </c>
      <c r="C2465" s="14" t="str">
        <f>IF(ISBLANK(A2465),"",_xlfn.XLOOKUP(A2465,'DISPATCH SHEET'!C$3:C$121,'DISPATCH SHEET'!#REF!,""))</f>
        <v/>
      </c>
    </row>
    <row r="2466" spans="2:3" x14ac:dyDescent="0.2">
      <c r="B2466" s="14" t="str">
        <f>IF(A2466="","",_xlfn.XLOOKUP(A2466,'DISPATCH SHEET'!B$3:B$121,'DISPATCH SHEET'!C$3:C$121,""))</f>
        <v/>
      </c>
      <c r="C2466" s="14" t="str">
        <f>IF(ISBLANK(A2466),"",_xlfn.XLOOKUP(A2466,'DISPATCH SHEET'!C$3:C$121,'DISPATCH SHEET'!#REF!,""))</f>
        <v/>
      </c>
    </row>
    <row r="2467" spans="2:3" x14ac:dyDescent="0.2">
      <c r="B2467" s="14" t="str">
        <f>IF(A2467="","",_xlfn.XLOOKUP(A2467,'DISPATCH SHEET'!B$3:B$121,'DISPATCH SHEET'!C$3:C$121,""))</f>
        <v/>
      </c>
      <c r="C2467" s="14" t="str">
        <f>IF(ISBLANK(A2467),"",_xlfn.XLOOKUP(A2467,'DISPATCH SHEET'!C$3:C$121,'DISPATCH SHEET'!#REF!,""))</f>
        <v/>
      </c>
    </row>
    <row r="2468" spans="2:3" x14ac:dyDescent="0.2">
      <c r="B2468" s="14" t="str">
        <f>IF(A2468="","",_xlfn.XLOOKUP(A2468,'DISPATCH SHEET'!B$3:B$121,'DISPATCH SHEET'!C$3:C$121,""))</f>
        <v/>
      </c>
      <c r="C2468" s="14" t="str">
        <f>IF(ISBLANK(A2468),"",_xlfn.XLOOKUP(A2468,'DISPATCH SHEET'!C$3:C$121,'DISPATCH SHEET'!#REF!,""))</f>
        <v/>
      </c>
    </row>
    <row r="2469" spans="2:3" x14ac:dyDescent="0.2">
      <c r="B2469" s="14" t="str">
        <f>IF(A2469="","",_xlfn.XLOOKUP(A2469,'DISPATCH SHEET'!B$3:B$121,'DISPATCH SHEET'!C$3:C$121,""))</f>
        <v/>
      </c>
      <c r="C2469" s="14" t="str">
        <f>IF(ISBLANK(A2469),"",_xlfn.XLOOKUP(A2469,'DISPATCH SHEET'!C$3:C$121,'DISPATCH SHEET'!#REF!,""))</f>
        <v/>
      </c>
    </row>
    <row r="2470" spans="2:3" x14ac:dyDescent="0.2">
      <c r="B2470" s="14" t="str">
        <f>IF(A2470="","",_xlfn.XLOOKUP(A2470,'DISPATCH SHEET'!B$3:B$121,'DISPATCH SHEET'!C$3:C$121,""))</f>
        <v/>
      </c>
      <c r="C2470" s="14" t="str">
        <f>IF(ISBLANK(A2470),"",_xlfn.XLOOKUP(A2470,'DISPATCH SHEET'!C$3:C$121,'DISPATCH SHEET'!#REF!,""))</f>
        <v/>
      </c>
    </row>
    <row r="2471" spans="2:3" x14ac:dyDescent="0.2">
      <c r="B2471" s="14" t="str">
        <f>IF(A2471="","",_xlfn.XLOOKUP(A2471,'DISPATCH SHEET'!B$3:B$121,'DISPATCH SHEET'!C$3:C$121,""))</f>
        <v/>
      </c>
      <c r="C2471" s="14" t="str">
        <f>IF(ISBLANK(A2471),"",_xlfn.XLOOKUP(A2471,'DISPATCH SHEET'!C$3:C$121,'DISPATCH SHEET'!#REF!,""))</f>
        <v/>
      </c>
    </row>
    <row r="2472" spans="2:3" x14ac:dyDescent="0.2">
      <c r="B2472" s="14" t="str">
        <f>IF(A2472="","",_xlfn.XLOOKUP(A2472,'DISPATCH SHEET'!B$3:B$121,'DISPATCH SHEET'!C$3:C$121,""))</f>
        <v/>
      </c>
      <c r="C2472" s="14" t="str">
        <f>IF(ISBLANK(A2472),"",_xlfn.XLOOKUP(A2472,'DISPATCH SHEET'!C$3:C$121,'DISPATCH SHEET'!#REF!,""))</f>
        <v/>
      </c>
    </row>
    <row r="2473" spans="2:3" x14ac:dyDescent="0.2">
      <c r="B2473" s="14" t="str">
        <f>IF(A2473="","",_xlfn.XLOOKUP(A2473,'DISPATCH SHEET'!B$3:B$121,'DISPATCH SHEET'!C$3:C$121,""))</f>
        <v/>
      </c>
      <c r="C2473" s="14" t="str">
        <f>IF(ISBLANK(A2473),"",_xlfn.XLOOKUP(A2473,'DISPATCH SHEET'!C$3:C$121,'DISPATCH SHEET'!#REF!,""))</f>
        <v/>
      </c>
    </row>
    <row r="2474" spans="2:3" x14ac:dyDescent="0.2">
      <c r="B2474" s="14" t="str">
        <f>IF(A2474="","",_xlfn.XLOOKUP(A2474,'DISPATCH SHEET'!B$3:B$121,'DISPATCH SHEET'!C$3:C$121,""))</f>
        <v/>
      </c>
      <c r="C2474" s="14" t="str">
        <f>IF(ISBLANK(A2474),"",_xlfn.XLOOKUP(A2474,'DISPATCH SHEET'!C$3:C$121,'DISPATCH SHEET'!#REF!,""))</f>
        <v/>
      </c>
    </row>
    <row r="2475" spans="2:3" x14ac:dyDescent="0.2">
      <c r="B2475" s="14" t="str">
        <f>IF(A2475="","",_xlfn.XLOOKUP(A2475,'DISPATCH SHEET'!B$3:B$121,'DISPATCH SHEET'!C$3:C$121,""))</f>
        <v/>
      </c>
      <c r="C2475" s="14" t="str">
        <f>IF(ISBLANK(A2475),"",_xlfn.XLOOKUP(A2475,'DISPATCH SHEET'!C$3:C$121,'DISPATCH SHEET'!#REF!,""))</f>
        <v/>
      </c>
    </row>
    <row r="2476" spans="2:3" x14ac:dyDescent="0.2">
      <c r="B2476" s="14" t="str">
        <f>IF(A2476="","",_xlfn.XLOOKUP(A2476,'DISPATCH SHEET'!B$3:B$121,'DISPATCH SHEET'!C$3:C$121,""))</f>
        <v/>
      </c>
      <c r="C2476" s="14" t="str">
        <f>IF(ISBLANK(A2476),"",_xlfn.XLOOKUP(A2476,'DISPATCH SHEET'!C$3:C$121,'DISPATCH SHEET'!#REF!,""))</f>
        <v/>
      </c>
    </row>
    <row r="2477" spans="2:3" x14ac:dyDescent="0.2">
      <c r="B2477" s="14" t="str">
        <f>IF(A2477="","",_xlfn.XLOOKUP(A2477,'DISPATCH SHEET'!B$3:B$121,'DISPATCH SHEET'!C$3:C$121,""))</f>
        <v/>
      </c>
      <c r="C2477" s="14" t="str">
        <f>IF(ISBLANK(A2477),"",_xlfn.XLOOKUP(A2477,'DISPATCH SHEET'!C$3:C$121,'DISPATCH SHEET'!#REF!,""))</f>
        <v/>
      </c>
    </row>
    <row r="2478" spans="2:3" x14ac:dyDescent="0.2">
      <c r="B2478" s="14" t="str">
        <f>IF(A2478="","",_xlfn.XLOOKUP(A2478,'DISPATCH SHEET'!B$3:B$121,'DISPATCH SHEET'!C$3:C$121,""))</f>
        <v/>
      </c>
      <c r="C2478" s="14" t="str">
        <f>IF(ISBLANK(A2478),"",_xlfn.XLOOKUP(A2478,'DISPATCH SHEET'!C$3:C$121,'DISPATCH SHEET'!#REF!,""))</f>
        <v/>
      </c>
    </row>
    <row r="2479" spans="2:3" x14ac:dyDescent="0.2">
      <c r="B2479" s="14" t="str">
        <f>IF(A2479="","",_xlfn.XLOOKUP(A2479,'DISPATCH SHEET'!B$3:B$121,'DISPATCH SHEET'!C$3:C$121,""))</f>
        <v/>
      </c>
      <c r="C2479" s="14" t="str">
        <f>IF(ISBLANK(A2479),"",_xlfn.XLOOKUP(A2479,'DISPATCH SHEET'!C$3:C$121,'DISPATCH SHEET'!#REF!,""))</f>
        <v/>
      </c>
    </row>
    <row r="2480" spans="2:3" x14ac:dyDescent="0.2">
      <c r="B2480" s="14" t="str">
        <f>IF(A2480="","",_xlfn.XLOOKUP(A2480,'DISPATCH SHEET'!B$3:B$121,'DISPATCH SHEET'!C$3:C$121,""))</f>
        <v/>
      </c>
      <c r="C2480" s="14" t="str">
        <f>IF(ISBLANK(A2480),"",_xlfn.XLOOKUP(A2480,'DISPATCH SHEET'!C$3:C$121,'DISPATCH SHEET'!#REF!,""))</f>
        <v/>
      </c>
    </row>
    <row r="2481" spans="2:3" x14ac:dyDescent="0.2">
      <c r="B2481" s="14" t="str">
        <f>IF(A2481="","",_xlfn.XLOOKUP(A2481,'DISPATCH SHEET'!B$3:B$121,'DISPATCH SHEET'!C$3:C$121,""))</f>
        <v/>
      </c>
      <c r="C2481" s="14" t="str">
        <f>IF(ISBLANK(A2481),"",_xlfn.XLOOKUP(A2481,'DISPATCH SHEET'!C$3:C$121,'DISPATCH SHEET'!#REF!,""))</f>
        <v/>
      </c>
    </row>
    <row r="2482" spans="2:3" x14ac:dyDescent="0.2">
      <c r="B2482" s="14" t="str">
        <f>IF(A2482="","",_xlfn.XLOOKUP(A2482,'DISPATCH SHEET'!B$3:B$121,'DISPATCH SHEET'!C$3:C$121,""))</f>
        <v/>
      </c>
      <c r="C2482" s="14" t="str">
        <f>IF(ISBLANK(A2482),"",_xlfn.XLOOKUP(A2482,'DISPATCH SHEET'!C$3:C$121,'DISPATCH SHEET'!#REF!,""))</f>
        <v/>
      </c>
    </row>
    <row r="2483" spans="2:3" x14ac:dyDescent="0.2">
      <c r="B2483" s="14" t="str">
        <f>IF(A2483="","",_xlfn.XLOOKUP(A2483,'DISPATCH SHEET'!B$3:B$121,'DISPATCH SHEET'!C$3:C$121,""))</f>
        <v/>
      </c>
      <c r="C2483" s="14" t="str">
        <f>IF(ISBLANK(A2483),"",_xlfn.XLOOKUP(A2483,'DISPATCH SHEET'!C$3:C$121,'DISPATCH SHEET'!#REF!,""))</f>
        <v/>
      </c>
    </row>
    <row r="2484" spans="2:3" x14ac:dyDescent="0.2">
      <c r="B2484" s="14" t="str">
        <f>IF(A2484="","",_xlfn.XLOOKUP(A2484,'DISPATCH SHEET'!B$3:B$121,'DISPATCH SHEET'!C$3:C$121,""))</f>
        <v/>
      </c>
      <c r="C2484" s="14" t="str">
        <f>IF(ISBLANK(A2484),"",_xlfn.XLOOKUP(A2484,'DISPATCH SHEET'!C$3:C$121,'DISPATCH SHEET'!#REF!,""))</f>
        <v/>
      </c>
    </row>
    <row r="2485" spans="2:3" x14ac:dyDescent="0.2">
      <c r="B2485" s="14" t="str">
        <f>IF(A2485="","",_xlfn.XLOOKUP(A2485,'DISPATCH SHEET'!B$3:B$121,'DISPATCH SHEET'!C$3:C$121,""))</f>
        <v/>
      </c>
      <c r="C2485" s="14" t="str">
        <f>IF(ISBLANK(A2485),"",_xlfn.XLOOKUP(A2485,'DISPATCH SHEET'!C$3:C$121,'DISPATCH SHEET'!#REF!,""))</f>
        <v/>
      </c>
    </row>
    <row r="2486" spans="2:3" x14ac:dyDescent="0.2">
      <c r="B2486" s="14" t="str">
        <f>IF(A2486="","",_xlfn.XLOOKUP(A2486,'DISPATCH SHEET'!B$3:B$121,'DISPATCH SHEET'!C$3:C$121,""))</f>
        <v/>
      </c>
      <c r="C2486" s="14" t="str">
        <f>IF(ISBLANK(A2486),"",_xlfn.XLOOKUP(A2486,'DISPATCH SHEET'!C$3:C$121,'DISPATCH SHEET'!#REF!,""))</f>
        <v/>
      </c>
    </row>
    <row r="2487" spans="2:3" x14ac:dyDescent="0.2">
      <c r="B2487" s="14" t="str">
        <f>IF(A2487="","",_xlfn.XLOOKUP(A2487,'DISPATCH SHEET'!B$3:B$121,'DISPATCH SHEET'!C$3:C$121,""))</f>
        <v/>
      </c>
      <c r="C2487" s="14" t="str">
        <f>IF(ISBLANK(A2487),"",_xlfn.XLOOKUP(A2487,'DISPATCH SHEET'!C$3:C$121,'DISPATCH SHEET'!#REF!,""))</f>
        <v/>
      </c>
    </row>
    <row r="2488" spans="2:3" x14ac:dyDescent="0.2">
      <c r="B2488" s="14" t="str">
        <f>IF(A2488="","",_xlfn.XLOOKUP(A2488,'DISPATCH SHEET'!B$3:B$121,'DISPATCH SHEET'!C$3:C$121,""))</f>
        <v/>
      </c>
      <c r="C2488" s="14" t="str">
        <f>IF(ISBLANK(A2488),"",_xlfn.XLOOKUP(A2488,'DISPATCH SHEET'!C$3:C$121,'DISPATCH SHEET'!#REF!,""))</f>
        <v/>
      </c>
    </row>
    <row r="2489" spans="2:3" x14ac:dyDescent="0.2">
      <c r="B2489" s="14" t="str">
        <f>IF(A2489="","",_xlfn.XLOOKUP(A2489,'DISPATCH SHEET'!B$3:B$121,'DISPATCH SHEET'!C$3:C$121,""))</f>
        <v/>
      </c>
      <c r="C2489" s="14" t="str">
        <f>IF(ISBLANK(A2489),"",_xlfn.XLOOKUP(A2489,'DISPATCH SHEET'!C$3:C$121,'DISPATCH SHEET'!#REF!,""))</f>
        <v/>
      </c>
    </row>
    <row r="2490" spans="2:3" x14ac:dyDescent="0.2">
      <c r="B2490" s="14" t="str">
        <f>IF(A2490="","",_xlfn.XLOOKUP(A2490,'DISPATCH SHEET'!B$3:B$121,'DISPATCH SHEET'!C$3:C$121,""))</f>
        <v/>
      </c>
      <c r="C2490" s="14" t="str">
        <f>IF(ISBLANK(A2490),"",_xlfn.XLOOKUP(A2490,'DISPATCH SHEET'!C$3:C$121,'DISPATCH SHEET'!#REF!,""))</f>
        <v/>
      </c>
    </row>
    <row r="2491" spans="2:3" x14ac:dyDescent="0.2">
      <c r="B2491" s="14" t="str">
        <f>IF(A2491="","",_xlfn.XLOOKUP(A2491,'DISPATCH SHEET'!B$3:B$121,'DISPATCH SHEET'!C$3:C$121,""))</f>
        <v/>
      </c>
      <c r="C2491" s="14" t="str">
        <f>IF(ISBLANK(A2491),"",_xlfn.XLOOKUP(A2491,'DISPATCH SHEET'!C$3:C$121,'DISPATCH SHEET'!#REF!,""))</f>
        <v/>
      </c>
    </row>
    <row r="2492" spans="2:3" x14ac:dyDescent="0.2">
      <c r="B2492" s="14" t="str">
        <f>IF(A2492="","",_xlfn.XLOOKUP(A2492,'DISPATCH SHEET'!B$3:B$121,'DISPATCH SHEET'!C$3:C$121,""))</f>
        <v/>
      </c>
      <c r="C2492" s="14" t="str">
        <f>IF(ISBLANK(A2492),"",_xlfn.XLOOKUP(A2492,'DISPATCH SHEET'!C$3:C$121,'DISPATCH SHEET'!#REF!,""))</f>
        <v/>
      </c>
    </row>
    <row r="2493" spans="2:3" x14ac:dyDescent="0.2">
      <c r="B2493" s="14" t="str">
        <f>IF(A2493="","",_xlfn.XLOOKUP(A2493,'DISPATCH SHEET'!B$3:B$121,'DISPATCH SHEET'!C$3:C$121,""))</f>
        <v/>
      </c>
      <c r="C2493" s="14" t="str">
        <f>IF(ISBLANK(A2493),"",_xlfn.XLOOKUP(A2493,'DISPATCH SHEET'!C$3:C$121,'DISPATCH SHEET'!#REF!,""))</f>
        <v/>
      </c>
    </row>
    <row r="2494" spans="2:3" x14ac:dyDescent="0.2">
      <c r="B2494" s="14" t="str">
        <f>IF(A2494="","",_xlfn.XLOOKUP(A2494,'DISPATCH SHEET'!B$3:B$121,'DISPATCH SHEET'!C$3:C$121,""))</f>
        <v/>
      </c>
      <c r="C2494" s="14" t="str">
        <f>IF(ISBLANK(A2494),"",_xlfn.XLOOKUP(A2494,'DISPATCH SHEET'!C$3:C$121,'DISPATCH SHEET'!#REF!,""))</f>
        <v/>
      </c>
    </row>
    <row r="2495" spans="2:3" x14ac:dyDescent="0.2">
      <c r="B2495" s="14" t="str">
        <f>IF(A2495="","",_xlfn.XLOOKUP(A2495,'DISPATCH SHEET'!B$3:B$121,'DISPATCH SHEET'!C$3:C$121,""))</f>
        <v/>
      </c>
      <c r="C2495" s="14" t="str">
        <f>IF(ISBLANK(A2495),"",_xlfn.XLOOKUP(A2495,'DISPATCH SHEET'!C$3:C$121,'DISPATCH SHEET'!#REF!,""))</f>
        <v/>
      </c>
    </row>
    <row r="2496" spans="2:3" x14ac:dyDescent="0.2">
      <c r="B2496" s="14" t="str">
        <f>IF(A2496="","",_xlfn.XLOOKUP(A2496,'DISPATCH SHEET'!B$3:B$121,'DISPATCH SHEET'!C$3:C$121,""))</f>
        <v/>
      </c>
      <c r="C2496" s="14" t="str">
        <f>IF(ISBLANK(A2496),"",_xlfn.XLOOKUP(A2496,'DISPATCH SHEET'!C$3:C$121,'DISPATCH SHEET'!#REF!,""))</f>
        <v/>
      </c>
    </row>
    <row r="2497" spans="2:3" x14ac:dyDescent="0.2">
      <c r="B2497" s="14" t="str">
        <f>IF(A2497="","",_xlfn.XLOOKUP(A2497,'DISPATCH SHEET'!B$3:B$121,'DISPATCH SHEET'!C$3:C$121,""))</f>
        <v/>
      </c>
      <c r="C2497" s="14" t="str">
        <f>IF(ISBLANK(A2497),"",_xlfn.XLOOKUP(A2497,'DISPATCH SHEET'!C$3:C$121,'DISPATCH SHEET'!#REF!,""))</f>
        <v/>
      </c>
    </row>
    <row r="2498" spans="2:3" x14ac:dyDescent="0.2">
      <c r="B2498" s="14" t="str">
        <f>IF(A2498="","",_xlfn.XLOOKUP(A2498,'DISPATCH SHEET'!B$3:B$121,'DISPATCH SHEET'!C$3:C$121,""))</f>
        <v/>
      </c>
      <c r="C2498" s="14" t="str">
        <f>IF(ISBLANK(A2498),"",_xlfn.XLOOKUP(A2498,'DISPATCH SHEET'!C$3:C$121,'DISPATCH SHEET'!#REF!,""))</f>
        <v/>
      </c>
    </row>
    <row r="2499" spans="2:3" x14ac:dyDescent="0.2">
      <c r="B2499" s="14" t="str">
        <f>IF(A2499="","",_xlfn.XLOOKUP(A2499,'DISPATCH SHEET'!B$3:B$121,'DISPATCH SHEET'!C$3:C$121,""))</f>
        <v/>
      </c>
      <c r="C2499" s="14" t="str">
        <f>IF(ISBLANK(A2499),"",_xlfn.XLOOKUP(A2499,'DISPATCH SHEET'!C$3:C$121,'DISPATCH SHEET'!#REF!,""))</f>
        <v/>
      </c>
    </row>
    <row r="2500" spans="2:3" x14ac:dyDescent="0.2">
      <c r="B2500" s="14" t="str">
        <f>IF(A2500="","",_xlfn.XLOOKUP(A2500,'DISPATCH SHEET'!B$3:B$121,'DISPATCH SHEET'!C$3:C$121,""))</f>
        <v/>
      </c>
      <c r="C2500" s="14" t="str">
        <f>IF(ISBLANK(A2500),"",_xlfn.XLOOKUP(A2500,'DISPATCH SHEET'!C$3:C$121,'DISPATCH SHEET'!#REF!,""))</f>
        <v/>
      </c>
    </row>
    <row r="2501" spans="2:3" x14ac:dyDescent="0.2">
      <c r="B2501" s="14" t="str">
        <f>IF(A2501="","",_xlfn.XLOOKUP(A2501,'DISPATCH SHEET'!B$3:B$121,'DISPATCH SHEET'!C$3:C$121,""))</f>
        <v/>
      </c>
      <c r="C2501" s="14" t="str">
        <f>IF(ISBLANK(A2501),"",_xlfn.XLOOKUP(A2501,'DISPATCH SHEET'!C$3:C$121,'DISPATCH SHEET'!#REF!,""))</f>
        <v/>
      </c>
    </row>
    <row r="2502" spans="2:3" x14ac:dyDescent="0.2">
      <c r="B2502" s="14" t="str">
        <f>IF(A2502="","",_xlfn.XLOOKUP(A2502,'DISPATCH SHEET'!B$3:B$121,'DISPATCH SHEET'!C$3:C$121,""))</f>
        <v/>
      </c>
      <c r="C2502" s="14" t="str">
        <f>IF(ISBLANK(A2502),"",_xlfn.XLOOKUP(A2502,'DISPATCH SHEET'!C$3:C$121,'DISPATCH SHEET'!#REF!,""))</f>
        <v/>
      </c>
    </row>
    <row r="2503" spans="2:3" x14ac:dyDescent="0.2">
      <c r="B2503" s="14" t="str">
        <f>IF(A2503="","",_xlfn.XLOOKUP(A2503,'DISPATCH SHEET'!B$3:B$121,'DISPATCH SHEET'!C$3:C$121,""))</f>
        <v/>
      </c>
      <c r="C2503" s="14" t="str">
        <f>IF(ISBLANK(A2503),"",_xlfn.XLOOKUP(A2503,'DISPATCH SHEET'!C$3:C$121,'DISPATCH SHEET'!#REF!,""))</f>
        <v/>
      </c>
    </row>
    <row r="2504" spans="2:3" x14ac:dyDescent="0.2">
      <c r="B2504" s="14" t="str">
        <f>IF(A2504="","",_xlfn.XLOOKUP(A2504,'DISPATCH SHEET'!B$3:B$121,'DISPATCH SHEET'!C$3:C$121,""))</f>
        <v/>
      </c>
      <c r="C2504" s="14" t="str">
        <f>IF(ISBLANK(A2504),"",_xlfn.XLOOKUP(A2504,'DISPATCH SHEET'!C$3:C$121,'DISPATCH SHEET'!#REF!,""))</f>
        <v/>
      </c>
    </row>
    <row r="2505" spans="2:3" x14ac:dyDescent="0.2">
      <c r="B2505" s="14" t="str">
        <f>IF(A2505="","",_xlfn.XLOOKUP(A2505,'DISPATCH SHEET'!B$3:B$121,'DISPATCH SHEET'!C$3:C$121,""))</f>
        <v/>
      </c>
      <c r="C2505" s="14" t="str">
        <f>IF(ISBLANK(A2505),"",_xlfn.XLOOKUP(A2505,'DISPATCH SHEET'!C$3:C$121,'DISPATCH SHEET'!#REF!,""))</f>
        <v/>
      </c>
    </row>
    <row r="2506" spans="2:3" x14ac:dyDescent="0.2">
      <c r="B2506" s="14" t="str">
        <f>IF(A2506="","",_xlfn.XLOOKUP(A2506,'DISPATCH SHEET'!B$3:B$121,'DISPATCH SHEET'!C$3:C$121,""))</f>
        <v/>
      </c>
      <c r="C2506" s="14" t="str">
        <f>IF(ISBLANK(A2506),"",_xlfn.XLOOKUP(A2506,'DISPATCH SHEET'!C$3:C$121,'DISPATCH SHEET'!#REF!,""))</f>
        <v/>
      </c>
    </row>
    <row r="2507" spans="2:3" x14ac:dyDescent="0.2">
      <c r="B2507" s="14" t="str">
        <f>IF(A2507="","",_xlfn.XLOOKUP(A2507,'DISPATCH SHEET'!B$3:B$121,'DISPATCH SHEET'!C$3:C$121,""))</f>
        <v/>
      </c>
      <c r="C2507" s="14" t="str">
        <f>IF(ISBLANK(A2507),"",_xlfn.XLOOKUP(A2507,'DISPATCH SHEET'!C$3:C$121,'DISPATCH SHEET'!#REF!,""))</f>
        <v/>
      </c>
    </row>
    <row r="2508" spans="2:3" x14ac:dyDescent="0.2">
      <c r="B2508" s="14" t="str">
        <f>IF(A2508="","",_xlfn.XLOOKUP(A2508,'DISPATCH SHEET'!B$3:B$121,'DISPATCH SHEET'!C$3:C$121,""))</f>
        <v/>
      </c>
      <c r="C2508" s="14" t="str">
        <f>IF(ISBLANK(A2508),"",_xlfn.XLOOKUP(A2508,'DISPATCH SHEET'!C$3:C$121,'DISPATCH SHEET'!#REF!,""))</f>
        <v/>
      </c>
    </row>
    <row r="2509" spans="2:3" x14ac:dyDescent="0.2">
      <c r="B2509" s="14" t="str">
        <f>IF(A2509="","",_xlfn.XLOOKUP(A2509,'DISPATCH SHEET'!B$3:B$121,'DISPATCH SHEET'!C$3:C$121,""))</f>
        <v/>
      </c>
      <c r="C2509" s="14" t="str">
        <f>IF(ISBLANK(A2509),"",_xlfn.XLOOKUP(A2509,'DISPATCH SHEET'!C$3:C$121,'DISPATCH SHEET'!#REF!,""))</f>
        <v/>
      </c>
    </row>
    <row r="2510" spans="2:3" x14ac:dyDescent="0.2">
      <c r="B2510" s="14" t="str">
        <f>IF(A2510="","",_xlfn.XLOOKUP(A2510,'DISPATCH SHEET'!B$3:B$121,'DISPATCH SHEET'!C$3:C$121,""))</f>
        <v/>
      </c>
      <c r="C2510" s="14" t="str">
        <f>IF(ISBLANK(A2510),"",_xlfn.XLOOKUP(A2510,'DISPATCH SHEET'!C$3:C$121,'DISPATCH SHEET'!#REF!,""))</f>
        <v/>
      </c>
    </row>
    <row r="2511" spans="2:3" x14ac:dyDescent="0.2">
      <c r="B2511" s="14" t="str">
        <f>IF(A2511="","",_xlfn.XLOOKUP(A2511,'DISPATCH SHEET'!B$3:B$121,'DISPATCH SHEET'!C$3:C$121,""))</f>
        <v/>
      </c>
      <c r="C2511" s="14" t="str">
        <f>IF(ISBLANK(A2511),"",_xlfn.XLOOKUP(A2511,'DISPATCH SHEET'!C$3:C$121,'DISPATCH SHEET'!#REF!,""))</f>
        <v/>
      </c>
    </row>
    <row r="2512" spans="2:3" x14ac:dyDescent="0.2">
      <c r="B2512" s="14" t="str">
        <f>IF(A2512="","",_xlfn.XLOOKUP(A2512,'DISPATCH SHEET'!B$3:B$121,'DISPATCH SHEET'!C$3:C$121,""))</f>
        <v/>
      </c>
      <c r="C2512" s="14" t="str">
        <f>IF(ISBLANK(A2512),"",_xlfn.XLOOKUP(A2512,'DISPATCH SHEET'!C$3:C$121,'DISPATCH SHEET'!#REF!,""))</f>
        <v/>
      </c>
    </row>
    <row r="2513" spans="2:3" x14ac:dyDescent="0.2">
      <c r="B2513" s="14" t="str">
        <f>IF(A2513="","",_xlfn.XLOOKUP(A2513,'DISPATCH SHEET'!B$3:B$121,'DISPATCH SHEET'!C$3:C$121,""))</f>
        <v/>
      </c>
      <c r="C2513" s="14" t="str">
        <f>IF(ISBLANK(A2513),"",_xlfn.XLOOKUP(A2513,'DISPATCH SHEET'!C$3:C$121,'DISPATCH SHEET'!#REF!,""))</f>
        <v/>
      </c>
    </row>
    <row r="2514" spans="2:3" x14ac:dyDescent="0.2">
      <c r="B2514" s="14" t="str">
        <f>IF(A2514="","",_xlfn.XLOOKUP(A2514,'DISPATCH SHEET'!B$3:B$121,'DISPATCH SHEET'!C$3:C$121,""))</f>
        <v/>
      </c>
      <c r="C2514" s="14" t="str">
        <f>IF(ISBLANK(A2514),"",_xlfn.XLOOKUP(A2514,'DISPATCH SHEET'!C$3:C$121,'DISPATCH SHEET'!#REF!,""))</f>
        <v/>
      </c>
    </row>
    <row r="2515" spans="2:3" x14ac:dyDescent="0.2">
      <c r="B2515" s="14" t="str">
        <f>IF(A2515="","",_xlfn.XLOOKUP(A2515,'DISPATCH SHEET'!B$3:B$121,'DISPATCH SHEET'!C$3:C$121,""))</f>
        <v/>
      </c>
      <c r="C2515" s="14" t="str">
        <f>IF(ISBLANK(A2515),"",_xlfn.XLOOKUP(A2515,'DISPATCH SHEET'!C$3:C$121,'DISPATCH SHEET'!#REF!,""))</f>
        <v/>
      </c>
    </row>
    <row r="2516" spans="2:3" x14ac:dyDescent="0.2">
      <c r="B2516" s="14" t="str">
        <f>IF(A2516="","",_xlfn.XLOOKUP(A2516,'DISPATCH SHEET'!B$3:B$121,'DISPATCH SHEET'!C$3:C$121,""))</f>
        <v/>
      </c>
      <c r="C2516" s="14" t="str">
        <f>IF(ISBLANK(A2516),"",_xlfn.XLOOKUP(A2516,'DISPATCH SHEET'!C$3:C$121,'DISPATCH SHEET'!#REF!,""))</f>
        <v/>
      </c>
    </row>
    <row r="2517" spans="2:3" x14ac:dyDescent="0.2">
      <c r="B2517" s="14" t="str">
        <f>IF(A2517="","",_xlfn.XLOOKUP(A2517,'DISPATCH SHEET'!B$3:B$121,'DISPATCH SHEET'!C$3:C$121,""))</f>
        <v/>
      </c>
      <c r="C2517" s="14" t="str">
        <f>IF(ISBLANK(A2517),"",_xlfn.XLOOKUP(A2517,'DISPATCH SHEET'!C$3:C$121,'DISPATCH SHEET'!#REF!,""))</f>
        <v/>
      </c>
    </row>
    <row r="2518" spans="2:3" x14ac:dyDescent="0.2">
      <c r="B2518" s="14" t="str">
        <f>IF(A2518="","",_xlfn.XLOOKUP(A2518,'DISPATCH SHEET'!B$3:B$121,'DISPATCH SHEET'!C$3:C$121,""))</f>
        <v/>
      </c>
      <c r="C2518" s="14" t="str">
        <f>IF(ISBLANK(A2518),"",_xlfn.XLOOKUP(A2518,'DISPATCH SHEET'!C$3:C$121,'DISPATCH SHEET'!#REF!,""))</f>
        <v/>
      </c>
    </row>
    <row r="2519" spans="2:3" x14ac:dyDescent="0.2">
      <c r="B2519" s="14" t="str">
        <f>IF(A2519="","",_xlfn.XLOOKUP(A2519,'DISPATCH SHEET'!B$3:B$121,'DISPATCH SHEET'!C$3:C$121,""))</f>
        <v/>
      </c>
      <c r="C2519" s="14" t="str">
        <f>IF(ISBLANK(A2519),"",_xlfn.XLOOKUP(A2519,'DISPATCH SHEET'!C$3:C$121,'DISPATCH SHEET'!#REF!,""))</f>
        <v/>
      </c>
    </row>
    <row r="2520" spans="2:3" x14ac:dyDescent="0.2">
      <c r="B2520" s="14" t="str">
        <f>IF(A2520="","",_xlfn.XLOOKUP(A2520,'DISPATCH SHEET'!B$3:B$121,'DISPATCH SHEET'!C$3:C$121,""))</f>
        <v/>
      </c>
      <c r="C2520" s="14" t="str">
        <f>IF(ISBLANK(A2520),"",_xlfn.XLOOKUP(A2520,'DISPATCH SHEET'!C$3:C$121,'DISPATCH SHEET'!#REF!,""))</f>
        <v/>
      </c>
    </row>
    <row r="2521" spans="2:3" x14ac:dyDescent="0.2">
      <c r="B2521" s="14" t="str">
        <f>IF(A2521="","",_xlfn.XLOOKUP(A2521,'DISPATCH SHEET'!B$3:B$121,'DISPATCH SHEET'!C$3:C$121,""))</f>
        <v/>
      </c>
      <c r="C2521" s="14" t="str">
        <f>IF(ISBLANK(A2521),"",_xlfn.XLOOKUP(A2521,'DISPATCH SHEET'!C$3:C$121,'DISPATCH SHEET'!#REF!,""))</f>
        <v/>
      </c>
    </row>
    <row r="2522" spans="2:3" x14ac:dyDescent="0.2">
      <c r="B2522" s="14" t="str">
        <f>IF(A2522="","",_xlfn.XLOOKUP(A2522,'DISPATCH SHEET'!B$3:B$121,'DISPATCH SHEET'!C$3:C$121,""))</f>
        <v/>
      </c>
      <c r="C2522" s="14" t="str">
        <f>IF(ISBLANK(A2522),"",_xlfn.XLOOKUP(A2522,'DISPATCH SHEET'!C$3:C$121,'DISPATCH SHEET'!#REF!,""))</f>
        <v/>
      </c>
    </row>
    <row r="2523" spans="2:3" x14ac:dyDescent="0.2">
      <c r="B2523" s="14" t="str">
        <f>IF(A2523="","",_xlfn.XLOOKUP(A2523,'DISPATCH SHEET'!B$3:B$121,'DISPATCH SHEET'!C$3:C$121,""))</f>
        <v/>
      </c>
      <c r="C2523" s="14" t="str">
        <f>IF(ISBLANK(A2523),"",_xlfn.XLOOKUP(A2523,'DISPATCH SHEET'!C$3:C$121,'DISPATCH SHEET'!#REF!,""))</f>
        <v/>
      </c>
    </row>
    <row r="2524" spans="2:3" x14ac:dyDescent="0.2">
      <c r="B2524" s="14" t="str">
        <f>IF(A2524="","",_xlfn.XLOOKUP(A2524,'DISPATCH SHEET'!B$3:B$121,'DISPATCH SHEET'!C$3:C$121,""))</f>
        <v/>
      </c>
      <c r="C2524" s="14" t="str">
        <f>IF(ISBLANK(A2524),"",_xlfn.XLOOKUP(A2524,'DISPATCH SHEET'!C$3:C$121,'DISPATCH SHEET'!#REF!,""))</f>
        <v/>
      </c>
    </row>
    <row r="2525" spans="2:3" x14ac:dyDescent="0.2">
      <c r="B2525" s="14" t="str">
        <f>IF(A2525="","",_xlfn.XLOOKUP(A2525,'DISPATCH SHEET'!B$3:B$121,'DISPATCH SHEET'!C$3:C$121,""))</f>
        <v/>
      </c>
      <c r="C2525" s="14" t="str">
        <f>IF(ISBLANK(A2525),"",_xlfn.XLOOKUP(A2525,'DISPATCH SHEET'!C$3:C$121,'DISPATCH SHEET'!#REF!,""))</f>
        <v/>
      </c>
    </row>
    <row r="2526" spans="2:3" x14ac:dyDescent="0.2">
      <c r="B2526" s="14" t="str">
        <f>IF(A2526="","",_xlfn.XLOOKUP(A2526,'DISPATCH SHEET'!B$3:B$121,'DISPATCH SHEET'!C$3:C$121,""))</f>
        <v/>
      </c>
      <c r="C2526" s="14" t="str">
        <f>IF(ISBLANK(A2526),"",_xlfn.XLOOKUP(A2526,'DISPATCH SHEET'!C$3:C$121,'DISPATCH SHEET'!#REF!,""))</f>
        <v/>
      </c>
    </row>
    <row r="2527" spans="2:3" x14ac:dyDescent="0.2">
      <c r="B2527" s="14" t="str">
        <f>IF(A2527="","",_xlfn.XLOOKUP(A2527,'DISPATCH SHEET'!B$3:B$121,'DISPATCH SHEET'!C$3:C$121,""))</f>
        <v/>
      </c>
      <c r="C2527" s="14" t="str">
        <f>IF(ISBLANK(A2527),"",_xlfn.XLOOKUP(A2527,'DISPATCH SHEET'!C$3:C$121,'DISPATCH SHEET'!#REF!,""))</f>
        <v/>
      </c>
    </row>
    <row r="2528" spans="2:3" x14ac:dyDescent="0.2">
      <c r="B2528" s="14" t="str">
        <f>IF(A2528="","",_xlfn.XLOOKUP(A2528,'DISPATCH SHEET'!B$3:B$121,'DISPATCH SHEET'!C$3:C$121,""))</f>
        <v/>
      </c>
      <c r="C2528" s="14" t="str">
        <f>IF(ISBLANK(A2528),"",_xlfn.XLOOKUP(A2528,'DISPATCH SHEET'!C$3:C$121,'DISPATCH SHEET'!#REF!,""))</f>
        <v/>
      </c>
    </row>
    <row r="2529" spans="2:3" x14ac:dyDescent="0.2">
      <c r="B2529" s="14" t="str">
        <f>IF(A2529="","",_xlfn.XLOOKUP(A2529,'DISPATCH SHEET'!B$3:B$121,'DISPATCH SHEET'!C$3:C$121,""))</f>
        <v/>
      </c>
      <c r="C2529" s="14" t="str">
        <f>IF(ISBLANK(A2529),"",_xlfn.XLOOKUP(A2529,'DISPATCH SHEET'!C$3:C$121,'DISPATCH SHEET'!#REF!,""))</f>
        <v/>
      </c>
    </row>
    <row r="2530" spans="2:3" x14ac:dyDescent="0.2">
      <c r="B2530" s="14" t="str">
        <f>IF(A2530="","",_xlfn.XLOOKUP(A2530,'DISPATCH SHEET'!B$3:B$121,'DISPATCH SHEET'!C$3:C$121,""))</f>
        <v/>
      </c>
      <c r="C2530" s="14" t="str">
        <f>IF(ISBLANK(A2530),"",_xlfn.XLOOKUP(A2530,'DISPATCH SHEET'!C$3:C$121,'DISPATCH SHEET'!#REF!,""))</f>
        <v/>
      </c>
    </row>
    <row r="2531" spans="2:3" x14ac:dyDescent="0.2">
      <c r="B2531" s="14" t="str">
        <f>IF(A2531="","",_xlfn.XLOOKUP(A2531,'DISPATCH SHEET'!B$3:B$121,'DISPATCH SHEET'!C$3:C$121,""))</f>
        <v/>
      </c>
      <c r="C2531" s="14" t="str">
        <f>IF(ISBLANK(A2531),"",_xlfn.XLOOKUP(A2531,'DISPATCH SHEET'!C$3:C$121,'DISPATCH SHEET'!#REF!,""))</f>
        <v/>
      </c>
    </row>
    <row r="2532" spans="2:3" x14ac:dyDescent="0.2">
      <c r="B2532" s="14" t="str">
        <f>IF(A2532="","",_xlfn.XLOOKUP(A2532,'DISPATCH SHEET'!B$3:B$121,'DISPATCH SHEET'!C$3:C$121,""))</f>
        <v/>
      </c>
      <c r="C2532" s="14" t="str">
        <f>IF(ISBLANK(A2532),"",_xlfn.XLOOKUP(A2532,'DISPATCH SHEET'!C$3:C$121,'DISPATCH SHEET'!#REF!,""))</f>
        <v/>
      </c>
    </row>
    <row r="2533" spans="2:3" x14ac:dyDescent="0.2">
      <c r="B2533" s="14" t="str">
        <f>IF(A2533="","",_xlfn.XLOOKUP(A2533,'DISPATCH SHEET'!B$3:B$121,'DISPATCH SHEET'!C$3:C$121,""))</f>
        <v/>
      </c>
      <c r="C2533" s="14" t="str">
        <f>IF(ISBLANK(A2533),"",_xlfn.XLOOKUP(A2533,'DISPATCH SHEET'!C$3:C$121,'DISPATCH SHEET'!#REF!,""))</f>
        <v/>
      </c>
    </row>
    <row r="2534" spans="2:3" x14ac:dyDescent="0.2">
      <c r="B2534" s="14" t="str">
        <f>IF(A2534="","",_xlfn.XLOOKUP(A2534,'DISPATCH SHEET'!B$3:B$121,'DISPATCH SHEET'!C$3:C$121,""))</f>
        <v/>
      </c>
      <c r="C2534" s="14" t="str">
        <f>IF(ISBLANK(A2534),"",_xlfn.XLOOKUP(A2534,'DISPATCH SHEET'!C$3:C$121,'DISPATCH SHEET'!#REF!,""))</f>
        <v/>
      </c>
    </row>
    <row r="2535" spans="2:3" x14ac:dyDescent="0.2">
      <c r="B2535" s="14" t="str">
        <f>IF(A2535="","",_xlfn.XLOOKUP(A2535,'DISPATCH SHEET'!B$3:B$121,'DISPATCH SHEET'!C$3:C$121,""))</f>
        <v/>
      </c>
      <c r="C2535" s="14" t="str">
        <f>IF(ISBLANK(A2535),"",_xlfn.XLOOKUP(A2535,'DISPATCH SHEET'!C$3:C$121,'DISPATCH SHEET'!#REF!,""))</f>
        <v/>
      </c>
    </row>
    <row r="2536" spans="2:3" x14ac:dyDescent="0.2">
      <c r="B2536" s="14" t="str">
        <f>IF(A2536="","",_xlfn.XLOOKUP(A2536,'DISPATCH SHEET'!B$3:B$121,'DISPATCH SHEET'!C$3:C$121,""))</f>
        <v/>
      </c>
      <c r="C2536" s="14" t="str">
        <f>IF(ISBLANK(A2536),"",_xlfn.XLOOKUP(A2536,'DISPATCH SHEET'!C$3:C$121,'DISPATCH SHEET'!#REF!,""))</f>
        <v/>
      </c>
    </row>
    <row r="2537" spans="2:3" x14ac:dyDescent="0.2">
      <c r="B2537" s="14" t="str">
        <f>IF(A2537="","",_xlfn.XLOOKUP(A2537,'DISPATCH SHEET'!B$3:B$121,'DISPATCH SHEET'!C$3:C$121,""))</f>
        <v/>
      </c>
      <c r="C2537" s="14" t="str">
        <f>IF(ISBLANK(A2537),"",_xlfn.XLOOKUP(A2537,'DISPATCH SHEET'!C$3:C$121,'DISPATCH SHEET'!#REF!,""))</f>
        <v/>
      </c>
    </row>
    <row r="2538" spans="2:3" x14ac:dyDescent="0.2">
      <c r="B2538" s="14" t="str">
        <f>IF(A2538="","",_xlfn.XLOOKUP(A2538,'DISPATCH SHEET'!B$3:B$121,'DISPATCH SHEET'!C$3:C$121,""))</f>
        <v/>
      </c>
      <c r="C2538" s="14" t="str">
        <f>IF(ISBLANK(A2538),"",_xlfn.XLOOKUP(A2538,'DISPATCH SHEET'!C$3:C$121,'DISPATCH SHEET'!#REF!,""))</f>
        <v/>
      </c>
    </row>
    <row r="2539" spans="2:3" x14ac:dyDescent="0.2">
      <c r="B2539" s="14" t="str">
        <f>IF(A2539="","",_xlfn.XLOOKUP(A2539,'DISPATCH SHEET'!B$3:B$121,'DISPATCH SHEET'!C$3:C$121,""))</f>
        <v/>
      </c>
      <c r="C2539" s="14" t="str">
        <f>IF(ISBLANK(A2539),"",_xlfn.XLOOKUP(A2539,'DISPATCH SHEET'!C$3:C$121,'DISPATCH SHEET'!#REF!,""))</f>
        <v/>
      </c>
    </row>
    <row r="2540" spans="2:3" x14ac:dyDescent="0.2">
      <c r="B2540" s="14" t="str">
        <f>IF(A2540="","",_xlfn.XLOOKUP(A2540,'DISPATCH SHEET'!B$3:B$121,'DISPATCH SHEET'!C$3:C$121,""))</f>
        <v/>
      </c>
      <c r="C2540" s="14" t="str">
        <f>IF(ISBLANK(A2540),"",_xlfn.XLOOKUP(A2540,'DISPATCH SHEET'!C$3:C$121,'DISPATCH SHEET'!#REF!,""))</f>
        <v/>
      </c>
    </row>
    <row r="2541" spans="2:3" x14ac:dyDescent="0.2">
      <c r="B2541" s="14" t="str">
        <f>IF(A2541="","",_xlfn.XLOOKUP(A2541,'DISPATCH SHEET'!B$3:B$121,'DISPATCH SHEET'!C$3:C$121,""))</f>
        <v/>
      </c>
      <c r="C2541" s="14" t="str">
        <f>IF(ISBLANK(A2541),"",_xlfn.XLOOKUP(A2541,'DISPATCH SHEET'!C$3:C$121,'DISPATCH SHEET'!#REF!,""))</f>
        <v/>
      </c>
    </row>
    <row r="2542" spans="2:3" x14ac:dyDescent="0.2">
      <c r="B2542" s="14" t="str">
        <f>IF(A2542="","",_xlfn.XLOOKUP(A2542,'DISPATCH SHEET'!B$3:B$121,'DISPATCH SHEET'!C$3:C$121,""))</f>
        <v/>
      </c>
      <c r="C2542" s="14" t="str">
        <f>IF(ISBLANK(A2542),"",_xlfn.XLOOKUP(A2542,'DISPATCH SHEET'!C$3:C$121,'DISPATCH SHEET'!#REF!,""))</f>
        <v/>
      </c>
    </row>
    <row r="2543" spans="2:3" x14ac:dyDescent="0.2">
      <c r="B2543" s="14" t="str">
        <f>IF(A2543="","",_xlfn.XLOOKUP(A2543,'DISPATCH SHEET'!B$3:B$121,'DISPATCH SHEET'!C$3:C$121,""))</f>
        <v/>
      </c>
      <c r="C2543" s="14" t="str">
        <f>IF(ISBLANK(A2543),"",_xlfn.XLOOKUP(A2543,'DISPATCH SHEET'!C$3:C$121,'DISPATCH SHEET'!#REF!,""))</f>
        <v/>
      </c>
    </row>
    <row r="2544" spans="2:3" x14ac:dyDescent="0.2">
      <c r="B2544" s="14" t="str">
        <f>IF(A2544="","",_xlfn.XLOOKUP(A2544,'DISPATCH SHEET'!B$3:B$121,'DISPATCH SHEET'!C$3:C$121,""))</f>
        <v/>
      </c>
      <c r="C2544" s="14" t="str">
        <f>IF(ISBLANK(A2544),"",_xlfn.XLOOKUP(A2544,'DISPATCH SHEET'!C$3:C$121,'DISPATCH SHEET'!#REF!,""))</f>
        <v/>
      </c>
    </row>
    <row r="2545" spans="2:3" x14ac:dyDescent="0.2">
      <c r="B2545" s="14" t="str">
        <f>IF(A2545="","",_xlfn.XLOOKUP(A2545,'DISPATCH SHEET'!B$3:B$121,'DISPATCH SHEET'!C$3:C$121,""))</f>
        <v/>
      </c>
      <c r="C2545" s="14" t="str">
        <f>IF(ISBLANK(A2545),"",_xlfn.XLOOKUP(A2545,'DISPATCH SHEET'!C$3:C$121,'DISPATCH SHEET'!#REF!,""))</f>
        <v/>
      </c>
    </row>
    <row r="2546" spans="2:3" x14ac:dyDescent="0.2">
      <c r="B2546" s="14" t="str">
        <f>IF(A2546="","",_xlfn.XLOOKUP(A2546,'DISPATCH SHEET'!B$3:B$121,'DISPATCH SHEET'!C$3:C$121,""))</f>
        <v/>
      </c>
      <c r="C2546" s="14" t="str">
        <f>IF(ISBLANK(A2546),"",_xlfn.XLOOKUP(A2546,'DISPATCH SHEET'!C$3:C$121,'DISPATCH SHEET'!#REF!,""))</f>
        <v/>
      </c>
    </row>
    <row r="2547" spans="2:3" x14ac:dyDescent="0.2">
      <c r="B2547" s="14" t="str">
        <f>IF(A2547="","",_xlfn.XLOOKUP(A2547,'DISPATCH SHEET'!B$3:B$121,'DISPATCH SHEET'!C$3:C$121,""))</f>
        <v/>
      </c>
      <c r="C2547" s="14" t="str">
        <f>IF(ISBLANK(A2547),"",_xlfn.XLOOKUP(A2547,'DISPATCH SHEET'!C$3:C$121,'DISPATCH SHEET'!#REF!,""))</f>
        <v/>
      </c>
    </row>
    <row r="2548" spans="2:3" x14ac:dyDescent="0.2">
      <c r="B2548" s="14" t="str">
        <f>IF(A2548="","",_xlfn.XLOOKUP(A2548,'DISPATCH SHEET'!B$3:B$121,'DISPATCH SHEET'!C$3:C$121,""))</f>
        <v/>
      </c>
      <c r="C2548" s="14" t="str">
        <f>IF(ISBLANK(A2548),"",_xlfn.XLOOKUP(A2548,'DISPATCH SHEET'!C$3:C$121,'DISPATCH SHEET'!#REF!,""))</f>
        <v/>
      </c>
    </row>
    <row r="2549" spans="2:3" x14ac:dyDescent="0.2">
      <c r="B2549" s="14" t="str">
        <f>IF(A2549="","",_xlfn.XLOOKUP(A2549,'DISPATCH SHEET'!B$3:B$121,'DISPATCH SHEET'!C$3:C$121,""))</f>
        <v/>
      </c>
      <c r="C2549" s="14" t="str">
        <f>IF(ISBLANK(A2549),"",_xlfn.XLOOKUP(A2549,'DISPATCH SHEET'!C$3:C$121,'DISPATCH SHEET'!#REF!,""))</f>
        <v/>
      </c>
    </row>
    <row r="2550" spans="2:3" x14ac:dyDescent="0.2">
      <c r="B2550" s="14" t="str">
        <f>IF(A2550="","",_xlfn.XLOOKUP(A2550,'DISPATCH SHEET'!B$3:B$121,'DISPATCH SHEET'!C$3:C$121,""))</f>
        <v/>
      </c>
      <c r="C2550" s="14" t="str">
        <f>IF(ISBLANK(A2550),"",_xlfn.XLOOKUP(A2550,'DISPATCH SHEET'!C$3:C$121,'DISPATCH SHEET'!#REF!,""))</f>
        <v/>
      </c>
    </row>
    <row r="2551" spans="2:3" x14ac:dyDescent="0.2">
      <c r="B2551" s="14" t="str">
        <f>IF(A2551="","",_xlfn.XLOOKUP(A2551,'DISPATCH SHEET'!B$3:B$121,'DISPATCH SHEET'!C$3:C$121,""))</f>
        <v/>
      </c>
      <c r="C2551" s="14" t="str">
        <f>IF(ISBLANK(A2551),"",_xlfn.XLOOKUP(A2551,'DISPATCH SHEET'!C$3:C$121,'DISPATCH SHEET'!#REF!,""))</f>
        <v/>
      </c>
    </row>
    <row r="2552" spans="2:3" x14ac:dyDescent="0.2">
      <c r="B2552" s="14" t="str">
        <f>IF(A2552="","",_xlfn.XLOOKUP(A2552,'DISPATCH SHEET'!B$3:B$121,'DISPATCH SHEET'!C$3:C$121,""))</f>
        <v/>
      </c>
      <c r="C2552" s="14" t="str">
        <f>IF(ISBLANK(A2552),"",_xlfn.XLOOKUP(A2552,'DISPATCH SHEET'!C$3:C$121,'DISPATCH SHEET'!#REF!,""))</f>
        <v/>
      </c>
    </row>
    <row r="2553" spans="2:3" x14ac:dyDescent="0.2">
      <c r="B2553" s="14" t="str">
        <f>IF(A2553="","",_xlfn.XLOOKUP(A2553,'DISPATCH SHEET'!B$3:B$121,'DISPATCH SHEET'!C$3:C$121,""))</f>
        <v/>
      </c>
      <c r="C2553" s="14" t="str">
        <f>IF(ISBLANK(A2553),"",_xlfn.XLOOKUP(A2553,'DISPATCH SHEET'!C$3:C$121,'DISPATCH SHEET'!#REF!,""))</f>
        <v/>
      </c>
    </row>
    <row r="2554" spans="2:3" x14ac:dyDescent="0.2">
      <c r="B2554" s="14" t="str">
        <f>IF(A2554="","",_xlfn.XLOOKUP(A2554,'DISPATCH SHEET'!B$3:B$121,'DISPATCH SHEET'!C$3:C$121,""))</f>
        <v/>
      </c>
      <c r="C2554" s="14" t="str">
        <f>IF(ISBLANK(A2554),"",_xlfn.XLOOKUP(A2554,'DISPATCH SHEET'!C$3:C$121,'DISPATCH SHEET'!#REF!,""))</f>
        <v/>
      </c>
    </row>
    <row r="2555" spans="2:3" x14ac:dyDescent="0.2">
      <c r="B2555" s="14" t="str">
        <f>IF(A2555="","",_xlfn.XLOOKUP(A2555,'DISPATCH SHEET'!B$3:B$121,'DISPATCH SHEET'!C$3:C$121,""))</f>
        <v/>
      </c>
      <c r="C2555" s="14" t="str">
        <f>IF(ISBLANK(A2555),"",_xlfn.XLOOKUP(A2555,'DISPATCH SHEET'!C$3:C$121,'DISPATCH SHEET'!#REF!,""))</f>
        <v/>
      </c>
    </row>
    <row r="2556" spans="2:3" x14ac:dyDescent="0.2">
      <c r="B2556" s="14" t="str">
        <f>IF(A2556="","",_xlfn.XLOOKUP(A2556,'DISPATCH SHEET'!B$3:B$121,'DISPATCH SHEET'!C$3:C$121,""))</f>
        <v/>
      </c>
      <c r="C2556" s="14" t="str">
        <f>IF(ISBLANK(A2556),"",_xlfn.XLOOKUP(A2556,'DISPATCH SHEET'!C$3:C$121,'DISPATCH SHEET'!#REF!,""))</f>
        <v/>
      </c>
    </row>
    <row r="2557" spans="2:3" x14ac:dyDescent="0.2">
      <c r="B2557" s="14" t="str">
        <f>IF(A2557="","",_xlfn.XLOOKUP(A2557,'DISPATCH SHEET'!B$3:B$121,'DISPATCH SHEET'!C$3:C$121,""))</f>
        <v/>
      </c>
      <c r="C2557" s="14" t="str">
        <f>IF(ISBLANK(A2557),"",_xlfn.XLOOKUP(A2557,'DISPATCH SHEET'!C$3:C$121,'DISPATCH SHEET'!#REF!,""))</f>
        <v/>
      </c>
    </row>
    <row r="2558" spans="2:3" x14ac:dyDescent="0.2">
      <c r="B2558" s="14" t="str">
        <f>IF(A2558="","",_xlfn.XLOOKUP(A2558,'DISPATCH SHEET'!B$3:B$121,'DISPATCH SHEET'!C$3:C$121,""))</f>
        <v/>
      </c>
      <c r="C2558" s="14" t="str">
        <f>IF(ISBLANK(A2558),"",_xlfn.XLOOKUP(A2558,'DISPATCH SHEET'!C$3:C$121,'DISPATCH SHEET'!#REF!,""))</f>
        <v/>
      </c>
    </row>
    <row r="2559" spans="2:3" x14ac:dyDescent="0.2">
      <c r="B2559" s="14" t="str">
        <f>IF(A2559="","",_xlfn.XLOOKUP(A2559,'DISPATCH SHEET'!B$3:B$121,'DISPATCH SHEET'!C$3:C$121,""))</f>
        <v/>
      </c>
      <c r="C2559" s="14" t="str">
        <f>IF(ISBLANK(A2559),"",_xlfn.XLOOKUP(A2559,'DISPATCH SHEET'!C$3:C$121,'DISPATCH SHEET'!#REF!,""))</f>
        <v/>
      </c>
    </row>
    <row r="2560" spans="2:3" x14ac:dyDescent="0.2">
      <c r="B2560" s="14" t="str">
        <f>IF(A2560="","",_xlfn.XLOOKUP(A2560,'DISPATCH SHEET'!B$3:B$121,'DISPATCH SHEET'!C$3:C$121,""))</f>
        <v/>
      </c>
      <c r="C2560" s="14" t="str">
        <f>IF(ISBLANK(A2560),"",_xlfn.XLOOKUP(A2560,'DISPATCH SHEET'!C$3:C$121,'DISPATCH SHEET'!#REF!,""))</f>
        <v/>
      </c>
    </row>
    <row r="2561" spans="2:3" x14ac:dyDescent="0.2">
      <c r="B2561" s="14" t="str">
        <f>IF(A2561="","",_xlfn.XLOOKUP(A2561,'DISPATCH SHEET'!B$3:B$121,'DISPATCH SHEET'!C$3:C$121,""))</f>
        <v/>
      </c>
      <c r="C2561" s="14" t="str">
        <f>IF(ISBLANK(A2561),"",_xlfn.XLOOKUP(A2561,'DISPATCH SHEET'!C$3:C$121,'DISPATCH SHEET'!#REF!,""))</f>
        <v/>
      </c>
    </row>
    <row r="2562" spans="2:3" x14ac:dyDescent="0.2">
      <c r="B2562" s="14" t="str">
        <f>IF(A2562="","",_xlfn.XLOOKUP(A2562,'DISPATCH SHEET'!B$3:B$121,'DISPATCH SHEET'!C$3:C$121,""))</f>
        <v/>
      </c>
      <c r="C2562" s="14" t="str">
        <f>IF(ISBLANK(A2562),"",_xlfn.XLOOKUP(A2562,'DISPATCH SHEET'!C$3:C$121,'DISPATCH SHEET'!#REF!,""))</f>
        <v/>
      </c>
    </row>
    <row r="2563" spans="2:3" x14ac:dyDescent="0.2">
      <c r="B2563" s="14" t="str">
        <f>IF(A2563="","",_xlfn.XLOOKUP(A2563,'DISPATCH SHEET'!B$3:B$121,'DISPATCH SHEET'!C$3:C$121,""))</f>
        <v/>
      </c>
      <c r="C2563" s="14" t="str">
        <f>IF(ISBLANK(A2563),"",_xlfn.XLOOKUP(A2563,'DISPATCH SHEET'!C$3:C$121,'DISPATCH SHEET'!#REF!,""))</f>
        <v/>
      </c>
    </row>
    <row r="2564" spans="2:3" x14ac:dyDescent="0.2">
      <c r="B2564" s="14" t="str">
        <f>IF(A2564="","",_xlfn.XLOOKUP(A2564,'DISPATCH SHEET'!B$3:B$121,'DISPATCH SHEET'!C$3:C$121,""))</f>
        <v/>
      </c>
      <c r="C2564" s="14" t="str">
        <f>IF(ISBLANK(A2564),"",_xlfn.XLOOKUP(A2564,'DISPATCH SHEET'!C$3:C$121,'DISPATCH SHEET'!#REF!,""))</f>
        <v/>
      </c>
    </row>
    <row r="2565" spans="2:3" x14ac:dyDescent="0.2">
      <c r="B2565" s="14" t="str">
        <f>IF(A2565="","",_xlfn.XLOOKUP(A2565,'DISPATCH SHEET'!B$3:B$121,'DISPATCH SHEET'!C$3:C$121,""))</f>
        <v/>
      </c>
      <c r="C2565" s="14" t="str">
        <f>IF(ISBLANK(A2565),"",_xlfn.XLOOKUP(A2565,'DISPATCH SHEET'!C$3:C$121,'DISPATCH SHEET'!#REF!,""))</f>
        <v/>
      </c>
    </row>
    <row r="2566" spans="2:3" x14ac:dyDescent="0.2">
      <c r="B2566" s="14" t="str">
        <f>IF(A2566="","",_xlfn.XLOOKUP(A2566,'DISPATCH SHEET'!B$3:B$121,'DISPATCH SHEET'!C$3:C$121,""))</f>
        <v/>
      </c>
      <c r="C2566" s="14" t="str">
        <f>IF(ISBLANK(A2566),"",_xlfn.XLOOKUP(A2566,'DISPATCH SHEET'!C$3:C$121,'DISPATCH SHEET'!#REF!,""))</f>
        <v/>
      </c>
    </row>
    <row r="2567" spans="2:3" x14ac:dyDescent="0.2">
      <c r="B2567" s="14" t="str">
        <f>IF(A2567="","",_xlfn.XLOOKUP(A2567,'DISPATCH SHEET'!B$3:B$121,'DISPATCH SHEET'!C$3:C$121,""))</f>
        <v/>
      </c>
      <c r="C2567" s="14" t="str">
        <f>IF(ISBLANK(A2567),"",_xlfn.XLOOKUP(A2567,'DISPATCH SHEET'!C$3:C$121,'DISPATCH SHEET'!#REF!,""))</f>
        <v/>
      </c>
    </row>
    <row r="2568" spans="2:3" x14ac:dyDescent="0.2">
      <c r="B2568" s="14" t="str">
        <f>IF(A2568="","",_xlfn.XLOOKUP(A2568,'DISPATCH SHEET'!B$3:B$121,'DISPATCH SHEET'!C$3:C$121,""))</f>
        <v/>
      </c>
      <c r="C2568" s="14" t="str">
        <f>IF(ISBLANK(A2568),"",_xlfn.XLOOKUP(A2568,'DISPATCH SHEET'!C$3:C$121,'DISPATCH SHEET'!#REF!,""))</f>
        <v/>
      </c>
    </row>
    <row r="2569" spans="2:3" x14ac:dyDescent="0.2">
      <c r="B2569" s="14" t="str">
        <f>IF(A2569="","",_xlfn.XLOOKUP(A2569,'DISPATCH SHEET'!B$3:B$121,'DISPATCH SHEET'!C$3:C$121,""))</f>
        <v/>
      </c>
      <c r="C2569" s="14" t="str">
        <f>IF(ISBLANK(A2569),"",_xlfn.XLOOKUP(A2569,'DISPATCH SHEET'!C$3:C$121,'DISPATCH SHEET'!#REF!,""))</f>
        <v/>
      </c>
    </row>
    <row r="2570" spans="2:3" x14ac:dyDescent="0.2">
      <c r="B2570" s="14" t="str">
        <f>IF(A2570="","",_xlfn.XLOOKUP(A2570,'DISPATCH SHEET'!B$3:B$121,'DISPATCH SHEET'!C$3:C$121,""))</f>
        <v/>
      </c>
      <c r="C2570" s="14" t="str">
        <f>IF(ISBLANK(A2570),"",_xlfn.XLOOKUP(A2570,'DISPATCH SHEET'!C$3:C$121,'DISPATCH SHEET'!#REF!,""))</f>
        <v/>
      </c>
    </row>
    <row r="2571" spans="2:3" x14ac:dyDescent="0.2">
      <c r="B2571" s="14" t="str">
        <f>IF(A2571="","",_xlfn.XLOOKUP(A2571,'DISPATCH SHEET'!B$3:B$121,'DISPATCH SHEET'!C$3:C$121,""))</f>
        <v/>
      </c>
      <c r="C2571" s="14" t="str">
        <f>IF(ISBLANK(A2571),"",_xlfn.XLOOKUP(A2571,'DISPATCH SHEET'!C$3:C$121,'DISPATCH SHEET'!#REF!,""))</f>
        <v/>
      </c>
    </row>
    <row r="2572" spans="2:3" x14ac:dyDescent="0.2">
      <c r="B2572" s="14" t="str">
        <f>IF(A2572="","",_xlfn.XLOOKUP(A2572,'DISPATCH SHEET'!B$3:B$121,'DISPATCH SHEET'!C$3:C$121,""))</f>
        <v/>
      </c>
      <c r="C2572" s="14" t="str">
        <f>IF(ISBLANK(A2572),"",_xlfn.XLOOKUP(A2572,'DISPATCH SHEET'!C$3:C$121,'DISPATCH SHEET'!#REF!,""))</f>
        <v/>
      </c>
    </row>
    <row r="2573" spans="2:3" x14ac:dyDescent="0.2">
      <c r="B2573" s="14" t="str">
        <f>IF(A2573="","",_xlfn.XLOOKUP(A2573,'DISPATCH SHEET'!B$3:B$121,'DISPATCH SHEET'!C$3:C$121,""))</f>
        <v/>
      </c>
      <c r="C2573" s="14" t="str">
        <f>IF(ISBLANK(A2573),"",_xlfn.XLOOKUP(A2573,'DISPATCH SHEET'!C$3:C$121,'DISPATCH SHEET'!#REF!,""))</f>
        <v/>
      </c>
    </row>
    <row r="2574" spans="2:3" x14ac:dyDescent="0.2">
      <c r="B2574" s="14" t="str">
        <f>IF(A2574="","",_xlfn.XLOOKUP(A2574,'DISPATCH SHEET'!B$3:B$121,'DISPATCH SHEET'!C$3:C$121,""))</f>
        <v/>
      </c>
      <c r="C2574" s="14" t="str">
        <f>IF(ISBLANK(A2574),"",_xlfn.XLOOKUP(A2574,'DISPATCH SHEET'!C$3:C$121,'DISPATCH SHEET'!#REF!,""))</f>
        <v/>
      </c>
    </row>
    <row r="2575" spans="2:3" x14ac:dyDescent="0.2">
      <c r="B2575" s="14" t="str">
        <f>IF(A2575="","",_xlfn.XLOOKUP(A2575,'DISPATCH SHEET'!B$3:B$121,'DISPATCH SHEET'!C$3:C$121,""))</f>
        <v/>
      </c>
      <c r="C2575" s="14" t="str">
        <f>IF(ISBLANK(A2575),"",_xlfn.XLOOKUP(A2575,'DISPATCH SHEET'!C$3:C$121,'DISPATCH SHEET'!#REF!,""))</f>
        <v/>
      </c>
    </row>
    <row r="2576" spans="2:3" x14ac:dyDescent="0.2">
      <c r="B2576" s="14" t="str">
        <f>IF(A2576="","",_xlfn.XLOOKUP(A2576,'DISPATCH SHEET'!B$3:B$121,'DISPATCH SHEET'!C$3:C$121,""))</f>
        <v/>
      </c>
      <c r="C2576" s="14" t="str">
        <f>IF(ISBLANK(A2576),"",_xlfn.XLOOKUP(A2576,'DISPATCH SHEET'!C$3:C$121,'DISPATCH SHEET'!#REF!,""))</f>
        <v/>
      </c>
    </row>
    <row r="2577" spans="2:3" x14ac:dyDescent="0.2">
      <c r="B2577" s="14" t="str">
        <f>IF(A2577="","",_xlfn.XLOOKUP(A2577,'DISPATCH SHEET'!B$3:B$121,'DISPATCH SHEET'!C$3:C$121,""))</f>
        <v/>
      </c>
      <c r="C2577" s="14" t="str">
        <f>IF(ISBLANK(A2577),"",_xlfn.XLOOKUP(A2577,'DISPATCH SHEET'!C$3:C$121,'DISPATCH SHEET'!#REF!,""))</f>
        <v/>
      </c>
    </row>
    <row r="2578" spans="2:3" x14ac:dyDescent="0.2">
      <c r="B2578" s="14" t="str">
        <f>IF(A2578="","",_xlfn.XLOOKUP(A2578,'DISPATCH SHEET'!B$3:B$121,'DISPATCH SHEET'!C$3:C$121,""))</f>
        <v/>
      </c>
      <c r="C2578" s="14" t="str">
        <f>IF(ISBLANK(A2578),"",_xlfn.XLOOKUP(A2578,'DISPATCH SHEET'!C$3:C$121,'DISPATCH SHEET'!#REF!,""))</f>
        <v/>
      </c>
    </row>
    <row r="2579" spans="2:3" x14ac:dyDescent="0.2">
      <c r="B2579" s="14" t="str">
        <f>IF(A2579="","",_xlfn.XLOOKUP(A2579,'DISPATCH SHEET'!B$3:B$121,'DISPATCH SHEET'!C$3:C$121,""))</f>
        <v/>
      </c>
      <c r="C2579" s="14" t="str">
        <f>IF(ISBLANK(A2579),"",_xlfn.XLOOKUP(A2579,'DISPATCH SHEET'!C$3:C$121,'DISPATCH SHEET'!#REF!,""))</f>
        <v/>
      </c>
    </row>
    <row r="2580" spans="2:3" x14ac:dyDescent="0.2">
      <c r="B2580" s="14" t="str">
        <f>IF(A2580="","",_xlfn.XLOOKUP(A2580,'DISPATCH SHEET'!B$3:B$121,'DISPATCH SHEET'!C$3:C$121,""))</f>
        <v/>
      </c>
      <c r="C2580" s="14" t="str">
        <f>IF(ISBLANK(A2580),"",_xlfn.XLOOKUP(A2580,'DISPATCH SHEET'!C$3:C$121,'DISPATCH SHEET'!#REF!,""))</f>
        <v/>
      </c>
    </row>
    <row r="2581" spans="2:3" x14ac:dyDescent="0.2">
      <c r="B2581" s="14" t="str">
        <f>IF(A2581="","",_xlfn.XLOOKUP(A2581,'DISPATCH SHEET'!B$3:B$121,'DISPATCH SHEET'!C$3:C$121,""))</f>
        <v/>
      </c>
      <c r="C2581" s="14" t="str">
        <f>IF(ISBLANK(A2581),"",_xlfn.XLOOKUP(A2581,'DISPATCH SHEET'!C$3:C$121,'DISPATCH SHEET'!#REF!,""))</f>
        <v/>
      </c>
    </row>
    <row r="2582" spans="2:3" x14ac:dyDescent="0.2">
      <c r="B2582" s="14" t="str">
        <f>IF(A2582="","",_xlfn.XLOOKUP(A2582,'DISPATCH SHEET'!B$3:B$121,'DISPATCH SHEET'!C$3:C$121,""))</f>
        <v/>
      </c>
      <c r="C2582" s="14" t="str">
        <f>IF(ISBLANK(A2582),"",_xlfn.XLOOKUP(A2582,'DISPATCH SHEET'!C$3:C$121,'DISPATCH SHEET'!#REF!,""))</f>
        <v/>
      </c>
    </row>
    <row r="2583" spans="2:3" x14ac:dyDescent="0.2">
      <c r="B2583" s="14" t="str">
        <f>IF(A2583="","",_xlfn.XLOOKUP(A2583,'DISPATCH SHEET'!B$3:B$121,'DISPATCH SHEET'!C$3:C$121,""))</f>
        <v/>
      </c>
      <c r="C2583" s="14" t="str">
        <f>IF(ISBLANK(A2583),"",_xlfn.XLOOKUP(A2583,'DISPATCH SHEET'!C$3:C$121,'DISPATCH SHEET'!#REF!,""))</f>
        <v/>
      </c>
    </row>
    <row r="2584" spans="2:3" x14ac:dyDescent="0.2">
      <c r="B2584" s="14" t="str">
        <f>IF(A2584="","",_xlfn.XLOOKUP(A2584,'DISPATCH SHEET'!B$3:B$121,'DISPATCH SHEET'!C$3:C$121,""))</f>
        <v/>
      </c>
      <c r="C2584" s="14" t="str">
        <f>IF(ISBLANK(A2584),"",_xlfn.XLOOKUP(A2584,'DISPATCH SHEET'!C$3:C$121,'DISPATCH SHEET'!#REF!,""))</f>
        <v/>
      </c>
    </row>
    <row r="2585" spans="2:3" x14ac:dyDescent="0.2">
      <c r="B2585" s="14" t="str">
        <f>IF(A2585="","",_xlfn.XLOOKUP(A2585,'DISPATCH SHEET'!B$3:B$121,'DISPATCH SHEET'!C$3:C$121,""))</f>
        <v/>
      </c>
      <c r="C2585" s="14" t="str">
        <f>IF(ISBLANK(A2585),"",_xlfn.XLOOKUP(A2585,'DISPATCH SHEET'!C$3:C$121,'DISPATCH SHEET'!#REF!,""))</f>
        <v/>
      </c>
    </row>
    <row r="2586" spans="2:3" x14ac:dyDescent="0.2">
      <c r="B2586" s="14" t="str">
        <f>IF(A2586="","",_xlfn.XLOOKUP(A2586,'DISPATCH SHEET'!B$3:B$121,'DISPATCH SHEET'!C$3:C$121,""))</f>
        <v/>
      </c>
      <c r="C2586" s="14" t="str">
        <f>IF(ISBLANK(A2586),"",_xlfn.XLOOKUP(A2586,'DISPATCH SHEET'!C$3:C$121,'DISPATCH SHEET'!#REF!,""))</f>
        <v/>
      </c>
    </row>
    <row r="2587" spans="2:3" x14ac:dyDescent="0.2">
      <c r="B2587" s="14" t="str">
        <f>IF(A2587="","",_xlfn.XLOOKUP(A2587,'DISPATCH SHEET'!B$3:B$121,'DISPATCH SHEET'!C$3:C$121,""))</f>
        <v/>
      </c>
      <c r="C2587" s="14" t="str">
        <f>IF(ISBLANK(A2587),"",_xlfn.XLOOKUP(A2587,'DISPATCH SHEET'!C$3:C$121,'DISPATCH SHEET'!#REF!,""))</f>
        <v/>
      </c>
    </row>
    <row r="2588" spans="2:3" x14ac:dyDescent="0.2">
      <c r="B2588" s="14" t="str">
        <f>IF(A2588="","",_xlfn.XLOOKUP(A2588,'DISPATCH SHEET'!B$3:B$121,'DISPATCH SHEET'!C$3:C$121,""))</f>
        <v/>
      </c>
      <c r="C2588" s="14" t="str">
        <f>IF(ISBLANK(A2588),"",_xlfn.XLOOKUP(A2588,'DISPATCH SHEET'!C$3:C$121,'DISPATCH SHEET'!#REF!,""))</f>
        <v/>
      </c>
    </row>
    <row r="2589" spans="2:3" x14ac:dyDescent="0.2">
      <c r="B2589" s="14" t="str">
        <f>IF(A2589="","",_xlfn.XLOOKUP(A2589,'DISPATCH SHEET'!B$3:B$121,'DISPATCH SHEET'!C$3:C$121,""))</f>
        <v/>
      </c>
      <c r="C2589" s="14" t="str">
        <f>IF(ISBLANK(A2589),"",_xlfn.XLOOKUP(A2589,'DISPATCH SHEET'!C$3:C$121,'DISPATCH SHEET'!#REF!,""))</f>
        <v/>
      </c>
    </row>
    <row r="2590" spans="2:3" x14ac:dyDescent="0.2">
      <c r="B2590" s="14" t="str">
        <f>IF(A2590="","",_xlfn.XLOOKUP(A2590,'DISPATCH SHEET'!B$3:B$121,'DISPATCH SHEET'!C$3:C$121,""))</f>
        <v/>
      </c>
      <c r="C2590" s="14" t="str">
        <f>IF(ISBLANK(A2590),"",_xlfn.XLOOKUP(A2590,'DISPATCH SHEET'!C$3:C$121,'DISPATCH SHEET'!#REF!,""))</f>
        <v/>
      </c>
    </row>
    <row r="2591" spans="2:3" x14ac:dyDescent="0.2">
      <c r="B2591" s="14" t="str">
        <f>IF(A2591="","",_xlfn.XLOOKUP(A2591,'DISPATCH SHEET'!B$3:B$121,'DISPATCH SHEET'!C$3:C$121,""))</f>
        <v/>
      </c>
      <c r="C2591" s="14" t="str">
        <f>IF(ISBLANK(A2591),"",_xlfn.XLOOKUP(A2591,'DISPATCH SHEET'!C$3:C$121,'DISPATCH SHEET'!#REF!,""))</f>
        <v/>
      </c>
    </row>
    <row r="2592" spans="2:3" x14ac:dyDescent="0.2">
      <c r="B2592" s="14" t="str">
        <f>IF(A2592="","",_xlfn.XLOOKUP(A2592,'DISPATCH SHEET'!B$3:B$121,'DISPATCH SHEET'!C$3:C$121,""))</f>
        <v/>
      </c>
      <c r="C2592" s="14" t="str">
        <f>IF(ISBLANK(A2592),"",_xlfn.XLOOKUP(A2592,'DISPATCH SHEET'!C$3:C$121,'DISPATCH SHEET'!#REF!,""))</f>
        <v/>
      </c>
    </row>
    <row r="2593" spans="2:3" x14ac:dyDescent="0.2">
      <c r="B2593" s="14" t="str">
        <f>IF(A2593="","",_xlfn.XLOOKUP(A2593,'DISPATCH SHEET'!B$3:B$121,'DISPATCH SHEET'!C$3:C$121,""))</f>
        <v/>
      </c>
      <c r="C2593" s="14" t="str">
        <f>IF(ISBLANK(A2593),"",_xlfn.XLOOKUP(A2593,'DISPATCH SHEET'!C$3:C$121,'DISPATCH SHEET'!#REF!,""))</f>
        <v/>
      </c>
    </row>
    <row r="2594" spans="2:3" x14ac:dyDescent="0.2">
      <c r="B2594" s="14" t="str">
        <f>IF(A2594="","",_xlfn.XLOOKUP(A2594,'DISPATCH SHEET'!B$3:B$121,'DISPATCH SHEET'!C$3:C$121,""))</f>
        <v/>
      </c>
      <c r="C2594" s="14" t="str">
        <f>IF(ISBLANK(A2594),"",_xlfn.XLOOKUP(A2594,'DISPATCH SHEET'!C$3:C$121,'DISPATCH SHEET'!#REF!,""))</f>
        <v/>
      </c>
    </row>
    <row r="2595" spans="2:3" x14ac:dyDescent="0.2">
      <c r="B2595" s="14" t="str">
        <f>IF(A2595="","",_xlfn.XLOOKUP(A2595,'DISPATCH SHEET'!B$3:B$121,'DISPATCH SHEET'!C$3:C$121,""))</f>
        <v/>
      </c>
      <c r="C2595" s="14" t="str">
        <f>IF(ISBLANK(A2595),"",_xlfn.XLOOKUP(A2595,'DISPATCH SHEET'!C$3:C$121,'DISPATCH SHEET'!#REF!,""))</f>
        <v/>
      </c>
    </row>
    <row r="2596" spans="2:3" x14ac:dyDescent="0.2">
      <c r="B2596" s="14" t="str">
        <f>IF(A2596="","",_xlfn.XLOOKUP(A2596,'DISPATCH SHEET'!B$3:B$121,'DISPATCH SHEET'!C$3:C$121,""))</f>
        <v/>
      </c>
      <c r="C2596" s="14" t="str">
        <f>IF(ISBLANK(A2596),"",_xlfn.XLOOKUP(A2596,'DISPATCH SHEET'!C$3:C$121,'DISPATCH SHEET'!#REF!,""))</f>
        <v/>
      </c>
    </row>
    <row r="2597" spans="2:3" x14ac:dyDescent="0.2">
      <c r="B2597" s="14" t="str">
        <f>IF(A2597="","",_xlfn.XLOOKUP(A2597,'DISPATCH SHEET'!B$3:B$121,'DISPATCH SHEET'!C$3:C$121,""))</f>
        <v/>
      </c>
      <c r="C2597" s="14" t="str">
        <f>IF(ISBLANK(A2597),"",_xlfn.XLOOKUP(A2597,'DISPATCH SHEET'!C$3:C$121,'DISPATCH SHEET'!#REF!,""))</f>
        <v/>
      </c>
    </row>
    <row r="2598" spans="2:3" x14ac:dyDescent="0.2">
      <c r="B2598" s="14" t="str">
        <f>IF(A2598="","",_xlfn.XLOOKUP(A2598,'DISPATCH SHEET'!B$3:B$121,'DISPATCH SHEET'!C$3:C$121,""))</f>
        <v/>
      </c>
      <c r="C2598" s="14" t="str">
        <f>IF(ISBLANK(A2598),"",_xlfn.XLOOKUP(A2598,'DISPATCH SHEET'!C$3:C$121,'DISPATCH SHEET'!#REF!,""))</f>
        <v/>
      </c>
    </row>
    <row r="2599" spans="2:3" x14ac:dyDescent="0.2">
      <c r="B2599" s="14" t="str">
        <f>IF(A2599="","",_xlfn.XLOOKUP(A2599,'DISPATCH SHEET'!B$3:B$121,'DISPATCH SHEET'!C$3:C$121,""))</f>
        <v/>
      </c>
      <c r="C2599" s="14" t="str">
        <f>IF(ISBLANK(A2599),"",_xlfn.XLOOKUP(A2599,'DISPATCH SHEET'!C$3:C$121,'DISPATCH SHEET'!#REF!,""))</f>
        <v/>
      </c>
    </row>
    <row r="2600" spans="2:3" x14ac:dyDescent="0.2">
      <c r="B2600" s="14" t="str">
        <f>IF(A2600="","",_xlfn.XLOOKUP(A2600,'DISPATCH SHEET'!B$3:B$121,'DISPATCH SHEET'!C$3:C$121,""))</f>
        <v/>
      </c>
      <c r="C2600" s="14" t="str">
        <f>IF(ISBLANK(A2600),"",_xlfn.XLOOKUP(A2600,'DISPATCH SHEET'!C$3:C$121,'DISPATCH SHEET'!#REF!,""))</f>
        <v/>
      </c>
    </row>
    <row r="2601" spans="2:3" x14ac:dyDescent="0.2">
      <c r="B2601" s="14" t="str">
        <f>IF(A2601="","",_xlfn.XLOOKUP(A2601,'DISPATCH SHEET'!B$3:B$121,'DISPATCH SHEET'!C$3:C$121,""))</f>
        <v/>
      </c>
      <c r="C2601" s="14" t="str">
        <f>IF(ISBLANK(A2601),"",_xlfn.XLOOKUP(A2601,'DISPATCH SHEET'!C$3:C$121,'DISPATCH SHEET'!#REF!,""))</f>
        <v/>
      </c>
    </row>
    <row r="2602" spans="2:3" x14ac:dyDescent="0.2">
      <c r="B2602" s="14" t="str">
        <f>IF(A2602="","",_xlfn.XLOOKUP(A2602,'DISPATCH SHEET'!B$3:B$121,'DISPATCH SHEET'!C$3:C$121,""))</f>
        <v/>
      </c>
      <c r="C2602" s="14" t="str">
        <f>IF(ISBLANK(A2602),"",_xlfn.XLOOKUP(A2602,'DISPATCH SHEET'!C$3:C$121,'DISPATCH SHEET'!#REF!,""))</f>
        <v/>
      </c>
    </row>
    <row r="2603" spans="2:3" x14ac:dyDescent="0.2">
      <c r="B2603" s="14" t="str">
        <f>IF(A2603="","",_xlfn.XLOOKUP(A2603,'DISPATCH SHEET'!B$3:B$121,'DISPATCH SHEET'!C$3:C$121,""))</f>
        <v/>
      </c>
      <c r="C2603" s="14" t="str">
        <f>IF(ISBLANK(A2603),"",_xlfn.XLOOKUP(A2603,'DISPATCH SHEET'!C$3:C$121,'DISPATCH SHEET'!#REF!,""))</f>
        <v/>
      </c>
    </row>
    <row r="2604" spans="2:3" x14ac:dyDescent="0.2">
      <c r="B2604" s="14" t="str">
        <f>IF(A2604="","",_xlfn.XLOOKUP(A2604,'DISPATCH SHEET'!B$3:B$121,'DISPATCH SHEET'!C$3:C$121,""))</f>
        <v/>
      </c>
      <c r="C2604" s="14" t="str">
        <f>IF(ISBLANK(A2604),"",_xlfn.XLOOKUP(A2604,'DISPATCH SHEET'!C$3:C$121,'DISPATCH SHEET'!#REF!,""))</f>
        <v/>
      </c>
    </row>
    <row r="2605" spans="2:3" x14ac:dyDescent="0.2">
      <c r="B2605" s="14" t="str">
        <f>IF(A2605="","",_xlfn.XLOOKUP(A2605,'DISPATCH SHEET'!B$3:B$121,'DISPATCH SHEET'!C$3:C$121,""))</f>
        <v/>
      </c>
      <c r="C2605" s="14" t="str">
        <f>IF(ISBLANK(A2605),"",_xlfn.XLOOKUP(A2605,'DISPATCH SHEET'!C$3:C$121,'DISPATCH SHEET'!#REF!,""))</f>
        <v/>
      </c>
    </row>
    <row r="2606" spans="2:3" x14ac:dyDescent="0.2">
      <c r="B2606" s="14" t="str">
        <f>IF(A2606="","",_xlfn.XLOOKUP(A2606,'DISPATCH SHEET'!B$3:B$121,'DISPATCH SHEET'!C$3:C$121,""))</f>
        <v/>
      </c>
      <c r="C2606" s="14" t="str">
        <f>IF(ISBLANK(A2606),"",_xlfn.XLOOKUP(A2606,'DISPATCH SHEET'!C$3:C$121,'DISPATCH SHEET'!#REF!,""))</f>
        <v/>
      </c>
    </row>
    <row r="2607" spans="2:3" x14ac:dyDescent="0.2">
      <c r="B2607" s="14" t="str">
        <f>IF(A2607="","",_xlfn.XLOOKUP(A2607,'DISPATCH SHEET'!B$3:B$121,'DISPATCH SHEET'!C$3:C$121,""))</f>
        <v/>
      </c>
      <c r="C2607" s="14" t="str">
        <f>IF(ISBLANK(A2607),"",_xlfn.XLOOKUP(A2607,'DISPATCH SHEET'!C$3:C$121,'DISPATCH SHEET'!#REF!,""))</f>
        <v/>
      </c>
    </row>
    <row r="2608" spans="2:3" x14ac:dyDescent="0.2">
      <c r="B2608" s="14" t="str">
        <f>IF(A2608="","",_xlfn.XLOOKUP(A2608,'DISPATCH SHEET'!B$3:B$121,'DISPATCH SHEET'!C$3:C$121,""))</f>
        <v/>
      </c>
      <c r="C2608" s="14" t="str">
        <f>IF(ISBLANK(A2608),"",_xlfn.XLOOKUP(A2608,'DISPATCH SHEET'!C$3:C$121,'DISPATCH SHEET'!#REF!,""))</f>
        <v/>
      </c>
    </row>
    <row r="2609" spans="2:3" x14ac:dyDescent="0.2">
      <c r="B2609" s="14" t="str">
        <f>IF(A2609="","",_xlfn.XLOOKUP(A2609,'DISPATCH SHEET'!B$3:B$121,'DISPATCH SHEET'!C$3:C$121,""))</f>
        <v/>
      </c>
      <c r="C2609" s="14" t="str">
        <f>IF(ISBLANK(A2609),"",_xlfn.XLOOKUP(A2609,'DISPATCH SHEET'!C$3:C$121,'DISPATCH SHEET'!#REF!,""))</f>
        <v/>
      </c>
    </row>
    <row r="2610" spans="2:3" x14ac:dyDescent="0.2">
      <c r="B2610" s="14" t="str">
        <f>IF(A2610="","",_xlfn.XLOOKUP(A2610,'DISPATCH SHEET'!B$3:B$121,'DISPATCH SHEET'!C$3:C$121,""))</f>
        <v/>
      </c>
      <c r="C2610" s="14" t="str">
        <f>IF(ISBLANK(A2610),"",_xlfn.XLOOKUP(A2610,'DISPATCH SHEET'!C$3:C$121,'DISPATCH SHEET'!#REF!,""))</f>
        <v/>
      </c>
    </row>
    <row r="2611" spans="2:3" x14ac:dyDescent="0.2">
      <c r="B2611" s="14" t="str">
        <f>IF(A2611="","",_xlfn.XLOOKUP(A2611,'DISPATCH SHEET'!B$3:B$121,'DISPATCH SHEET'!C$3:C$121,""))</f>
        <v/>
      </c>
      <c r="C2611" s="14" t="str">
        <f>IF(ISBLANK(A2611),"",_xlfn.XLOOKUP(A2611,'DISPATCH SHEET'!C$3:C$121,'DISPATCH SHEET'!#REF!,""))</f>
        <v/>
      </c>
    </row>
    <row r="2612" spans="2:3" x14ac:dyDescent="0.2">
      <c r="B2612" s="14" t="str">
        <f>IF(A2612="","",_xlfn.XLOOKUP(A2612,'DISPATCH SHEET'!B$3:B$121,'DISPATCH SHEET'!C$3:C$121,""))</f>
        <v/>
      </c>
      <c r="C2612" s="14" t="str">
        <f>IF(ISBLANK(A2612),"",_xlfn.XLOOKUP(A2612,'DISPATCH SHEET'!C$3:C$121,'DISPATCH SHEET'!#REF!,""))</f>
        <v/>
      </c>
    </row>
    <row r="2613" spans="2:3" x14ac:dyDescent="0.2">
      <c r="B2613" s="14" t="str">
        <f>IF(A2613="","",_xlfn.XLOOKUP(A2613,'DISPATCH SHEET'!B$3:B$121,'DISPATCH SHEET'!C$3:C$121,""))</f>
        <v/>
      </c>
      <c r="C2613" s="14" t="str">
        <f>IF(ISBLANK(A2613),"",_xlfn.XLOOKUP(A2613,'DISPATCH SHEET'!C$3:C$121,'DISPATCH SHEET'!#REF!,""))</f>
        <v/>
      </c>
    </row>
    <row r="2614" spans="2:3" x14ac:dyDescent="0.2">
      <c r="B2614" s="14" t="str">
        <f>IF(A2614="","",_xlfn.XLOOKUP(A2614,'DISPATCH SHEET'!B$3:B$121,'DISPATCH SHEET'!C$3:C$121,""))</f>
        <v/>
      </c>
      <c r="C2614" s="14" t="str">
        <f>IF(ISBLANK(A2614),"",_xlfn.XLOOKUP(A2614,'DISPATCH SHEET'!C$3:C$121,'DISPATCH SHEET'!#REF!,""))</f>
        <v/>
      </c>
    </row>
    <row r="2615" spans="2:3" x14ac:dyDescent="0.2">
      <c r="B2615" s="14" t="str">
        <f>IF(A2615="","",_xlfn.XLOOKUP(A2615,'DISPATCH SHEET'!B$3:B$121,'DISPATCH SHEET'!C$3:C$121,""))</f>
        <v/>
      </c>
      <c r="C2615" s="14" t="str">
        <f>IF(ISBLANK(A2615),"",_xlfn.XLOOKUP(A2615,'DISPATCH SHEET'!C$3:C$121,'DISPATCH SHEET'!#REF!,""))</f>
        <v/>
      </c>
    </row>
    <row r="2616" spans="2:3" x14ac:dyDescent="0.2">
      <c r="B2616" s="14" t="str">
        <f>IF(A2616="","",_xlfn.XLOOKUP(A2616,'DISPATCH SHEET'!B$3:B$121,'DISPATCH SHEET'!C$3:C$121,""))</f>
        <v/>
      </c>
      <c r="C2616" s="14" t="str">
        <f>IF(ISBLANK(A2616),"",_xlfn.XLOOKUP(A2616,'DISPATCH SHEET'!C$3:C$121,'DISPATCH SHEET'!#REF!,""))</f>
        <v/>
      </c>
    </row>
    <row r="2617" spans="2:3" x14ac:dyDescent="0.2">
      <c r="B2617" s="14" t="str">
        <f>IF(A2617="","",_xlfn.XLOOKUP(A2617,'DISPATCH SHEET'!B$3:B$121,'DISPATCH SHEET'!C$3:C$121,""))</f>
        <v/>
      </c>
      <c r="C2617" s="14" t="str">
        <f>IF(ISBLANK(A2617),"",_xlfn.XLOOKUP(A2617,'DISPATCH SHEET'!C$3:C$121,'DISPATCH SHEET'!#REF!,""))</f>
        <v/>
      </c>
    </row>
    <row r="2618" spans="2:3" x14ac:dyDescent="0.2">
      <c r="B2618" s="14" t="str">
        <f>IF(A2618="","",_xlfn.XLOOKUP(A2618,'DISPATCH SHEET'!B$3:B$121,'DISPATCH SHEET'!C$3:C$121,""))</f>
        <v/>
      </c>
      <c r="C2618" s="14" t="str">
        <f>IF(ISBLANK(A2618),"",_xlfn.XLOOKUP(A2618,'DISPATCH SHEET'!C$3:C$121,'DISPATCH SHEET'!#REF!,""))</f>
        <v/>
      </c>
    </row>
    <row r="2619" spans="2:3" x14ac:dyDescent="0.2">
      <c r="B2619" s="14" t="str">
        <f>IF(A2619="","",_xlfn.XLOOKUP(A2619,'DISPATCH SHEET'!B$3:B$121,'DISPATCH SHEET'!C$3:C$121,""))</f>
        <v/>
      </c>
      <c r="C2619" s="14" t="str">
        <f>IF(ISBLANK(A2619),"",_xlfn.XLOOKUP(A2619,'DISPATCH SHEET'!C$3:C$121,'DISPATCH SHEET'!#REF!,""))</f>
        <v/>
      </c>
    </row>
    <row r="2620" spans="2:3" x14ac:dyDescent="0.2">
      <c r="B2620" s="14" t="str">
        <f>IF(A2620="","",_xlfn.XLOOKUP(A2620,'DISPATCH SHEET'!B$3:B$121,'DISPATCH SHEET'!C$3:C$121,""))</f>
        <v/>
      </c>
      <c r="C2620" s="14" t="str">
        <f>IF(ISBLANK(A2620),"",_xlfn.XLOOKUP(A2620,'DISPATCH SHEET'!C$3:C$121,'DISPATCH SHEET'!#REF!,""))</f>
        <v/>
      </c>
    </row>
    <row r="2621" spans="2:3" x14ac:dyDescent="0.2">
      <c r="B2621" s="14" t="str">
        <f>IF(A2621="","",_xlfn.XLOOKUP(A2621,'DISPATCH SHEET'!B$3:B$121,'DISPATCH SHEET'!C$3:C$121,""))</f>
        <v/>
      </c>
      <c r="C2621" s="14" t="str">
        <f>IF(ISBLANK(A2621),"",_xlfn.XLOOKUP(A2621,'DISPATCH SHEET'!C$3:C$121,'DISPATCH SHEET'!#REF!,""))</f>
        <v/>
      </c>
    </row>
    <row r="2622" spans="2:3" x14ac:dyDescent="0.2">
      <c r="B2622" s="14" t="str">
        <f>IF(A2622="","",_xlfn.XLOOKUP(A2622,'DISPATCH SHEET'!B$3:B$121,'DISPATCH SHEET'!C$3:C$121,""))</f>
        <v/>
      </c>
      <c r="C2622" s="14" t="str">
        <f>IF(ISBLANK(A2622),"",_xlfn.XLOOKUP(A2622,'DISPATCH SHEET'!C$3:C$121,'DISPATCH SHEET'!#REF!,""))</f>
        <v/>
      </c>
    </row>
    <row r="2623" spans="2:3" x14ac:dyDescent="0.2">
      <c r="B2623" s="14" t="str">
        <f>IF(A2623="","",_xlfn.XLOOKUP(A2623,'DISPATCH SHEET'!B$3:B$121,'DISPATCH SHEET'!C$3:C$121,""))</f>
        <v/>
      </c>
      <c r="C2623" s="14" t="str">
        <f>IF(ISBLANK(A2623),"",_xlfn.XLOOKUP(A2623,'DISPATCH SHEET'!C$3:C$121,'DISPATCH SHEET'!#REF!,""))</f>
        <v/>
      </c>
    </row>
    <row r="2624" spans="2:3" x14ac:dyDescent="0.2">
      <c r="B2624" s="14" t="str">
        <f>IF(A2624="","",_xlfn.XLOOKUP(A2624,'DISPATCH SHEET'!B$3:B$121,'DISPATCH SHEET'!C$3:C$121,""))</f>
        <v/>
      </c>
      <c r="C2624" s="14" t="str">
        <f>IF(ISBLANK(A2624),"",_xlfn.XLOOKUP(A2624,'DISPATCH SHEET'!C$3:C$121,'DISPATCH SHEET'!#REF!,""))</f>
        <v/>
      </c>
    </row>
    <row r="2625" spans="2:3" x14ac:dyDescent="0.2">
      <c r="B2625" s="14" t="str">
        <f>IF(A2625="","",_xlfn.XLOOKUP(A2625,'DISPATCH SHEET'!B$3:B$121,'DISPATCH SHEET'!C$3:C$121,""))</f>
        <v/>
      </c>
      <c r="C2625" s="14" t="str">
        <f>IF(ISBLANK(A2625),"",_xlfn.XLOOKUP(A2625,'DISPATCH SHEET'!C$3:C$121,'DISPATCH SHEET'!#REF!,""))</f>
        <v/>
      </c>
    </row>
    <row r="2626" spans="2:3" x14ac:dyDescent="0.2">
      <c r="B2626" s="14" t="str">
        <f>IF(A2626="","",_xlfn.XLOOKUP(A2626,'DISPATCH SHEET'!B$3:B$121,'DISPATCH SHEET'!C$3:C$121,""))</f>
        <v/>
      </c>
      <c r="C2626" s="14" t="str">
        <f>IF(ISBLANK(A2626),"",_xlfn.XLOOKUP(A2626,'DISPATCH SHEET'!C$3:C$121,'DISPATCH SHEET'!#REF!,""))</f>
        <v/>
      </c>
    </row>
    <row r="2627" spans="2:3" x14ac:dyDescent="0.2">
      <c r="B2627" s="14" t="str">
        <f>IF(A2627="","",_xlfn.XLOOKUP(A2627,'DISPATCH SHEET'!B$3:B$121,'DISPATCH SHEET'!C$3:C$121,""))</f>
        <v/>
      </c>
      <c r="C2627" s="14" t="str">
        <f>IF(ISBLANK(A2627),"",_xlfn.XLOOKUP(A2627,'DISPATCH SHEET'!C$3:C$121,'DISPATCH SHEET'!#REF!,""))</f>
        <v/>
      </c>
    </row>
    <row r="2628" spans="2:3" x14ac:dyDescent="0.2">
      <c r="B2628" s="14" t="str">
        <f>IF(A2628="","",_xlfn.XLOOKUP(A2628,'DISPATCH SHEET'!B$3:B$121,'DISPATCH SHEET'!C$3:C$121,""))</f>
        <v/>
      </c>
      <c r="C2628" s="14" t="str">
        <f>IF(ISBLANK(A2628),"",_xlfn.XLOOKUP(A2628,'DISPATCH SHEET'!C$3:C$121,'DISPATCH SHEET'!#REF!,""))</f>
        <v/>
      </c>
    </row>
    <row r="2629" spans="2:3" x14ac:dyDescent="0.2">
      <c r="B2629" s="14" t="str">
        <f>IF(A2629="","",_xlfn.XLOOKUP(A2629,'DISPATCH SHEET'!B$3:B$121,'DISPATCH SHEET'!C$3:C$121,""))</f>
        <v/>
      </c>
      <c r="C2629" s="14" t="str">
        <f>IF(ISBLANK(A2629),"",_xlfn.XLOOKUP(A2629,'DISPATCH SHEET'!C$3:C$121,'DISPATCH SHEET'!#REF!,""))</f>
        <v/>
      </c>
    </row>
    <row r="2630" spans="2:3" x14ac:dyDescent="0.2">
      <c r="B2630" s="14" t="str">
        <f>IF(A2630="","",_xlfn.XLOOKUP(A2630,'DISPATCH SHEET'!B$3:B$121,'DISPATCH SHEET'!C$3:C$121,""))</f>
        <v/>
      </c>
      <c r="C2630" s="14" t="str">
        <f>IF(ISBLANK(A2630),"",_xlfn.XLOOKUP(A2630,'DISPATCH SHEET'!C$3:C$121,'DISPATCH SHEET'!#REF!,""))</f>
        <v/>
      </c>
    </row>
    <row r="2631" spans="2:3" x14ac:dyDescent="0.2">
      <c r="B2631" s="14" t="str">
        <f>IF(A2631="","",_xlfn.XLOOKUP(A2631,'DISPATCH SHEET'!B$3:B$121,'DISPATCH SHEET'!C$3:C$121,""))</f>
        <v/>
      </c>
      <c r="C2631" s="14" t="str">
        <f>IF(ISBLANK(A2631),"",_xlfn.XLOOKUP(A2631,'DISPATCH SHEET'!C$3:C$121,'DISPATCH SHEET'!#REF!,""))</f>
        <v/>
      </c>
    </row>
    <row r="2632" spans="2:3" x14ac:dyDescent="0.2">
      <c r="B2632" s="14" t="str">
        <f>IF(A2632="","",_xlfn.XLOOKUP(A2632,'DISPATCH SHEET'!B$3:B$121,'DISPATCH SHEET'!C$3:C$121,""))</f>
        <v/>
      </c>
      <c r="C2632" s="14" t="str">
        <f>IF(ISBLANK(A2632),"",_xlfn.XLOOKUP(A2632,'DISPATCH SHEET'!C$3:C$121,'DISPATCH SHEET'!#REF!,""))</f>
        <v/>
      </c>
    </row>
    <row r="2633" spans="2:3" x14ac:dyDescent="0.2">
      <c r="B2633" s="14" t="str">
        <f>IF(A2633="","",_xlfn.XLOOKUP(A2633,'DISPATCH SHEET'!B$3:B$121,'DISPATCH SHEET'!C$3:C$121,""))</f>
        <v/>
      </c>
      <c r="C2633" s="14" t="str">
        <f>IF(ISBLANK(A2633),"",_xlfn.XLOOKUP(A2633,'DISPATCH SHEET'!C$3:C$121,'DISPATCH SHEET'!#REF!,""))</f>
        <v/>
      </c>
    </row>
    <row r="2634" spans="2:3" x14ac:dyDescent="0.2">
      <c r="B2634" s="14" t="str">
        <f>IF(A2634="","",_xlfn.XLOOKUP(A2634,'DISPATCH SHEET'!B$3:B$121,'DISPATCH SHEET'!C$3:C$121,""))</f>
        <v/>
      </c>
      <c r="C2634" s="14" t="str">
        <f>IF(ISBLANK(A2634),"",_xlfn.XLOOKUP(A2634,'DISPATCH SHEET'!C$3:C$121,'DISPATCH SHEET'!#REF!,""))</f>
        <v/>
      </c>
    </row>
    <row r="2635" spans="2:3" x14ac:dyDescent="0.2">
      <c r="B2635" s="14" t="str">
        <f>IF(A2635="","",_xlfn.XLOOKUP(A2635,'DISPATCH SHEET'!B$3:B$121,'DISPATCH SHEET'!C$3:C$121,""))</f>
        <v/>
      </c>
      <c r="C2635" s="14" t="str">
        <f>IF(ISBLANK(A2635),"",_xlfn.XLOOKUP(A2635,'DISPATCH SHEET'!C$3:C$121,'DISPATCH SHEET'!#REF!,""))</f>
        <v/>
      </c>
    </row>
    <row r="2636" spans="2:3" x14ac:dyDescent="0.2">
      <c r="B2636" s="14" t="str">
        <f>IF(A2636="","",_xlfn.XLOOKUP(A2636,'DISPATCH SHEET'!B$3:B$121,'DISPATCH SHEET'!C$3:C$121,""))</f>
        <v/>
      </c>
      <c r="C2636" s="14" t="str">
        <f>IF(ISBLANK(A2636),"",_xlfn.XLOOKUP(A2636,'DISPATCH SHEET'!C$3:C$121,'DISPATCH SHEET'!#REF!,""))</f>
        <v/>
      </c>
    </row>
    <row r="2637" spans="2:3" x14ac:dyDescent="0.2">
      <c r="B2637" s="14" t="str">
        <f>IF(A2637="","",_xlfn.XLOOKUP(A2637,'DISPATCH SHEET'!B$3:B$121,'DISPATCH SHEET'!C$3:C$121,""))</f>
        <v/>
      </c>
      <c r="C2637" s="14" t="str">
        <f>IF(ISBLANK(A2637),"",_xlfn.XLOOKUP(A2637,'DISPATCH SHEET'!C$3:C$121,'DISPATCH SHEET'!#REF!,""))</f>
        <v/>
      </c>
    </row>
    <row r="2638" spans="2:3" x14ac:dyDescent="0.2">
      <c r="B2638" s="14" t="str">
        <f>IF(A2638="","",_xlfn.XLOOKUP(A2638,'DISPATCH SHEET'!B$3:B$121,'DISPATCH SHEET'!C$3:C$121,""))</f>
        <v/>
      </c>
      <c r="C2638" s="14" t="str">
        <f>IF(ISBLANK(A2638),"",_xlfn.XLOOKUP(A2638,'DISPATCH SHEET'!C$3:C$121,'DISPATCH SHEET'!#REF!,""))</f>
        <v/>
      </c>
    </row>
    <row r="2639" spans="2:3" x14ac:dyDescent="0.2">
      <c r="B2639" s="14" t="str">
        <f>IF(A2639="","",_xlfn.XLOOKUP(A2639,'DISPATCH SHEET'!B$3:B$121,'DISPATCH SHEET'!C$3:C$121,""))</f>
        <v/>
      </c>
      <c r="C2639" s="14" t="str">
        <f>IF(ISBLANK(A2639),"",_xlfn.XLOOKUP(A2639,'DISPATCH SHEET'!C$3:C$121,'DISPATCH SHEET'!#REF!,""))</f>
        <v/>
      </c>
    </row>
    <row r="2640" spans="2:3" x14ac:dyDescent="0.2">
      <c r="B2640" s="14" t="str">
        <f>IF(A2640="","",_xlfn.XLOOKUP(A2640,'DISPATCH SHEET'!B$3:B$121,'DISPATCH SHEET'!C$3:C$121,""))</f>
        <v/>
      </c>
      <c r="C2640" s="14" t="str">
        <f>IF(ISBLANK(A2640),"",_xlfn.XLOOKUP(A2640,'DISPATCH SHEET'!C$3:C$121,'DISPATCH SHEET'!#REF!,""))</f>
        <v/>
      </c>
    </row>
    <row r="2641" spans="2:3" x14ac:dyDescent="0.2">
      <c r="B2641" s="14" t="str">
        <f>IF(A2641="","",_xlfn.XLOOKUP(A2641,'DISPATCH SHEET'!B$3:B$121,'DISPATCH SHEET'!C$3:C$121,""))</f>
        <v/>
      </c>
      <c r="C2641" s="14" t="str">
        <f>IF(ISBLANK(A2641),"",_xlfn.XLOOKUP(A2641,'DISPATCH SHEET'!C$3:C$121,'DISPATCH SHEET'!#REF!,""))</f>
        <v/>
      </c>
    </row>
    <row r="2642" spans="2:3" x14ac:dyDescent="0.2">
      <c r="B2642" s="14" t="str">
        <f>IF(A2642="","",_xlfn.XLOOKUP(A2642,'DISPATCH SHEET'!B$3:B$121,'DISPATCH SHEET'!C$3:C$121,""))</f>
        <v/>
      </c>
      <c r="C2642" s="14" t="str">
        <f>IF(ISBLANK(A2642),"",_xlfn.XLOOKUP(A2642,'DISPATCH SHEET'!C$3:C$121,'DISPATCH SHEET'!#REF!,""))</f>
        <v/>
      </c>
    </row>
    <row r="2643" spans="2:3" x14ac:dyDescent="0.2">
      <c r="B2643" s="14" t="str">
        <f>IF(A2643="","",_xlfn.XLOOKUP(A2643,'DISPATCH SHEET'!B$3:B$121,'DISPATCH SHEET'!C$3:C$121,""))</f>
        <v/>
      </c>
      <c r="C2643" s="14" t="str">
        <f>IF(ISBLANK(A2643),"",_xlfn.XLOOKUP(A2643,'DISPATCH SHEET'!C$3:C$121,'DISPATCH SHEET'!#REF!,""))</f>
        <v/>
      </c>
    </row>
    <row r="2644" spans="2:3" x14ac:dyDescent="0.2">
      <c r="B2644" s="14" t="str">
        <f>IF(A2644="","",_xlfn.XLOOKUP(A2644,'DISPATCH SHEET'!B$3:B$121,'DISPATCH SHEET'!C$3:C$121,""))</f>
        <v/>
      </c>
      <c r="C2644" s="14" t="str">
        <f>IF(ISBLANK(A2644),"",_xlfn.XLOOKUP(A2644,'DISPATCH SHEET'!C$3:C$121,'DISPATCH SHEET'!#REF!,""))</f>
        <v/>
      </c>
    </row>
    <row r="2645" spans="2:3" x14ac:dyDescent="0.2">
      <c r="B2645" s="14" t="str">
        <f>IF(A2645="","",_xlfn.XLOOKUP(A2645,'DISPATCH SHEET'!B$3:B$121,'DISPATCH SHEET'!C$3:C$121,""))</f>
        <v/>
      </c>
      <c r="C2645" s="14" t="str">
        <f>IF(ISBLANK(A2645),"",_xlfn.XLOOKUP(A2645,'DISPATCH SHEET'!C$3:C$121,'DISPATCH SHEET'!#REF!,""))</f>
        <v/>
      </c>
    </row>
    <row r="2646" spans="2:3" x14ac:dyDescent="0.2">
      <c r="B2646" s="14" t="str">
        <f>IF(A2646="","",_xlfn.XLOOKUP(A2646,'DISPATCH SHEET'!B$3:B$121,'DISPATCH SHEET'!C$3:C$121,""))</f>
        <v/>
      </c>
      <c r="C2646" s="14" t="str">
        <f>IF(ISBLANK(A2646),"",_xlfn.XLOOKUP(A2646,'DISPATCH SHEET'!C$3:C$121,'DISPATCH SHEET'!#REF!,""))</f>
        <v/>
      </c>
    </row>
    <row r="2647" spans="2:3" x14ac:dyDescent="0.2">
      <c r="B2647" s="14" t="str">
        <f>IF(A2647="","",_xlfn.XLOOKUP(A2647,'DISPATCH SHEET'!B$3:B$121,'DISPATCH SHEET'!C$3:C$121,""))</f>
        <v/>
      </c>
      <c r="C2647" s="14" t="str">
        <f>IF(ISBLANK(A2647),"",_xlfn.XLOOKUP(A2647,'DISPATCH SHEET'!C$3:C$121,'DISPATCH SHEET'!#REF!,""))</f>
        <v/>
      </c>
    </row>
    <row r="2648" spans="2:3" x14ac:dyDescent="0.2">
      <c r="B2648" s="14" t="str">
        <f>IF(A2648="","",_xlfn.XLOOKUP(A2648,'DISPATCH SHEET'!B$3:B$121,'DISPATCH SHEET'!C$3:C$121,""))</f>
        <v/>
      </c>
      <c r="C2648" s="14" t="str">
        <f>IF(ISBLANK(A2648),"",_xlfn.XLOOKUP(A2648,'DISPATCH SHEET'!C$3:C$121,'DISPATCH SHEET'!#REF!,""))</f>
        <v/>
      </c>
    </row>
    <row r="2649" spans="2:3" x14ac:dyDescent="0.2">
      <c r="B2649" s="14" t="str">
        <f>IF(A2649="","",_xlfn.XLOOKUP(A2649,'DISPATCH SHEET'!B$3:B$121,'DISPATCH SHEET'!C$3:C$121,""))</f>
        <v/>
      </c>
      <c r="C2649" s="14" t="str">
        <f>IF(ISBLANK(A2649),"",_xlfn.XLOOKUP(A2649,'DISPATCH SHEET'!C$3:C$121,'DISPATCH SHEET'!#REF!,""))</f>
        <v/>
      </c>
    </row>
    <row r="2650" spans="2:3" x14ac:dyDescent="0.2">
      <c r="B2650" s="14" t="str">
        <f>IF(A2650="","",_xlfn.XLOOKUP(A2650,'DISPATCH SHEET'!B$3:B$121,'DISPATCH SHEET'!C$3:C$121,""))</f>
        <v/>
      </c>
      <c r="C2650" s="14" t="str">
        <f>IF(ISBLANK(A2650),"",_xlfn.XLOOKUP(A2650,'DISPATCH SHEET'!C$3:C$121,'DISPATCH SHEET'!#REF!,""))</f>
        <v/>
      </c>
    </row>
    <row r="2651" spans="2:3" x14ac:dyDescent="0.2">
      <c r="B2651" s="14" t="str">
        <f>IF(A2651="","",_xlfn.XLOOKUP(A2651,'DISPATCH SHEET'!B$3:B$121,'DISPATCH SHEET'!C$3:C$121,""))</f>
        <v/>
      </c>
      <c r="C2651" s="14" t="str">
        <f>IF(ISBLANK(A2651),"",_xlfn.XLOOKUP(A2651,'DISPATCH SHEET'!C$3:C$121,'DISPATCH SHEET'!#REF!,""))</f>
        <v/>
      </c>
    </row>
    <row r="2652" spans="2:3" x14ac:dyDescent="0.2">
      <c r="B2652" s="14" t="str">
        <f>IF(A2652="","",_xlfn.XLOOKUP(A2652,'DISPATCH SHEET'!B$3:B$121,'DISPATCH SHEET'!C$3:C$121,""))</f>
        <v/>
      </c>
      <c r="C2652" s="14" t="str">
        <f>IF(ISBLANK(A2652),"",_xlfn.XLOOKUP(A2652,'DISPATCH SHEET'!C$3:C$121,'DISPATCH SHEET'!#REF!,""))</f>
        <v/>
      </c>
    </row>
    <row r="2653" spans="2:3" x14ac:dyDescent="0.2">
      <c r="B2653" s="14" t="str">
        <f>IF(A2653="","",_xlfn.XLOOKUP(A2653,'DISPATCH SHEET'!B$3:B$121,'DISPATCH SHEET'!C$3:C$121,""))</f>
        <v/>
      </c>
      <c r="C2653" s="14" t="str">
        <f>IF(ISBLANK(A2653),"",_xlfn.XLOOKUP(A2653,'DISPATCH SHEET'!C$3:C$121,'DISPATCH SHEET'!#REF!,""))</f>
        <v/>
      </c>
    </row>
    <row r="2654" spans="2:3" x14ac:dyDescent="0.2">
      <c r="B2654" s="14" t="str">
        <f>IF(A2654="","",_xlfn.XLOOKUP(A2654,'DISPATCH SHEET'!B$3:B$121,'DISPATCH SHEET'!C$3:C$121,""))</f>
        <v/>
      </c>
      <c r="C2654" s="14" t="str">
        <f>IF(ISBLANK(A2654),"",_xlfn.XLOOKUP(A2654,'DISPATCH SHEET'!C$3:C$121,'DISPATCH SHEET'!#REF!,""))</f>
        <v/>
      </c>
    </row>
    <row r="2655" spans="2:3" x14ac:dyDescent="0.2">
      <c r="B2655" s="14" t="str">
        <f>IF(A2655="","",_xlfn.XLOOKUP(A2655,'DISPATCH SHEET'!B$3:B$121,'DISPATCH SHEET'!C$3:C$121,""))</f>
        <v/>
      </c>
      <c r="C2655" s="14" t="str">
        <f>IF(ISBLANK(A2655),"",_xlfn.XLOOKUP(A2655,'DISPATCH SHEET'!C$3:C$121,'DISPATCH SHEET'!#REF!,""))</f>
        <v/>
      </c>
    </row>
    <row r="2656" spans="2:3" x14ac:dyDescent="0.2">
      <c r="B2656" s="14" t="str">
        <f>IF(A2656="","",_xlfn.XLOOKUP(A2656,'DISPATCH SHEET'!B$3:B$121,'DISPATCH SHEET'!C$3:C$121,""))</f>
        <v/>
      </c>
      <c r="C2656" s="14" t="str">
        <f>IF(ISBLANK(A2656),"",_xlfn.XLOOKUP(A2656,'DISPATCH SHEET'!C$3:C$121,'DISPATCH SHEET'!#REF!,""))</f>
        <v/>
      </c>
    </row>
    <row r="2657" spans="2:3" x14ac:dyDescent="0.2">
      <c r="B2657" s="14" t="str">
        <f>IF(A2657="","",_xlfn.XLOOKUP(A2657,'DISPATCH SHEET'!B$3:B$121,'DISPATCH SHEET'!C$3:C$121,""))</f>
        <v/>
      </c>
      <c r="C2657" s="14" t="str">
        <f>IF(ISBLANK(A2657),"",_xlfn.XLOOKUP(A2657,'DISPATCH SHEET'!C$3:C$121,'DISPATCH SHEET'!#REF!,""))</f>
        <v/>
      </c>
    </row>
    <row r="2658" spans="2:3" x14ac:dyDescent="0.2">
      <c r="B2658" s="14" t="str">
        <f>IF(A2658="","",_xlfn.XLOOKUP(A2658,'DISPATCH SHEET'!B$3:B$121,'DISPATCH SHEET'!C$3:C$121,""))</f>
        <v/>
      </c>
      <c r="C2658" s="14" t="str">
        <f>IF(ISBLANK(A2658),"",_xlfn.XLOOKUP(A2658,'DISPATCH SHEET'!C$3:C$121,'DISPATCH SHEET'!#REF!,""))</f>
        <v/>
      </c>
    </row>
    <row r="2659" spans="2:3" x14ac:dyDescent="0.2">
      <c r="B2659" s="14" t="str">
        <f>IF(A2659="","",_xlfn.XLOOKUP(A2659,'DISPATCH SHEET'!B$3:B$121,'DISPATCH SHEET'!C$3:C$121,""))</f>
        <v/>
      </c>
      <c r="C2659" s="14" t="str">
        <f>IF(ISBLANK(A2659),"",_xlfn.XLOOKUP(A2659,'DISPATCH SHEET'!C$3:C$121,'DISPATCH SHEET'!#REF!,""))</f>
        <v/>
      </c>
    </row>
    <row r="2660" spans="2:3" x14ac:dyDescent="0.2">
      <c r="B2660" s="14" t="str">
        <f>IF(A2660="","",_xlfn.XLOOKUP(A2660,'DISPATCH SHEET'!B$3:B$121,'DISPATCH SHEET'!C$3:C$121,""))</f>
        <v/>
      </c>
      <c r="C2660" s="14" t="str">
        <f>IF(ISBLANK(A2660),"",_xlfn.XLOOKUP(A2660,'DISPATCH SHEET'!C$3:C$121,'DISPATCH SHEET'!#REF!,""))</f>
        <v/>
      </c>
    </row>
    <row r="2661" spans="2:3" x14ac:dyDescent="0.2">
      <c r="B2661" s="14" t="str">
        <f>IF(A2661="","",_xlfn.XLOOKUP(A2661,'DISPATCH SHEET'!B$3:B$121,'DISPATCH SHEET'!C$3:C$121,""))</f>
        <v/>
      </c>
      <c r="C2661" s="14" t="str">
        <f>IF(ISBLANK(A2661),"",_xlfn.XLOOKUP(A2661,'DISPATCH SHEET'!C$3:C$121,'DISPATCH SHEET'!#REF!,""))</f>
        <v/>
      </c>
    </row>
    <row r="2662" spans="2:3" x14ac:dyDescent="0.2">
      <c r="B2662" s="14" t="str">
        <f>IF(A2662="","",_xlfn.XLOOKUP(A2662,'DISPATCH SHEET'!B$3:B$121,'DISPATCH SHEET'!C$3:C$121,""))</f>
        <v/>
      </c>
      <c r="C2662" s="14" t="str">
        <f>IF(ISBLANK(A2662),"",_xlfn.XLOOKUP(A2662,'DISPATCH SHEET'!C$3:C$121,'DISPATCH SHEET'!#REF!,""))</f>
        <v/>
      </c>
    </row>
    <row r="2663" spans="2:3" x14ac:dyDescent="0.2">
      <c r="B2663" s="14" t="str">
        <f>IF(A2663="","",_xlfn.XLOOKUP(A2663,'DISPATCH SHEET'!B$3:B$121,'DISPATCH SHEET'!C$3:C$121,""))</f>
        <v/>
      </c>
      <c r="C2663" s="14" t="str">
        <f>IF(ISBLANK(A2663),"",_xlfn.XLOOKUP(A2663,'DISPATCH SHEET'!C$3:C$121,'DISPATCH SHEET'!#REF!,""))</f>
        <v/>
      </c>
    </row>
    <row r="2664" spans="2:3" x14ac:dyDescent="0.2">
      <c r="B2664" s="14" t="str">
        <f>IF(A2664="","",_xlfn.XLOOKUP(A2664,'DISPATCH SHEET'!B$3:B$121,'DISPATCH SHEET'!C$3:C$121,""))</f>
        <v/>
      </c>
      <c r="C2664" s="14" t="str">
        <f>IF(ISBLANK(A2664),"",_xlfn.XLOOKUP(A2664,'DISPATCH SHEET'!C$3:C$121,'DISPATCH SHEET'!#REF!,""))</f>
        <v/>
      </c>
    </row>
    <row r="2665" spans="2:3" x14ac:dyDescent="0.2">
      <c r="B2665" s="14" t="str">
        <f>IF(A2665="","",_xlfn.XLOOKUP(A2665,'DISPATCH SHEET'!B$3:B$121,'DISPATCH SHEET'!C$3:C$121,""))</f>
        <v/>
      </c>
      <c r="C2665" s="14" t="str">
        <f>IF(ISBLANK(A2665),"",_xlfn.XLOOKUP(A2665,'DISPATCH SHEET'!C$3:C$121,'DISPATCH SHEET'!#REF!,""))</f>
        <v/>
      </c>
    </row>
    <row r="2666" spans="2:3" x14ac:dyDescent="0.2">
      <c r="B2666" s="14" t="str">
        <f>IF(A2666="","",_xlfn.XLOOKUP(A2666,'DISPATCH SHEET'!B$3:B$121,'DISPATCH SHEET'!C$3:C$121,""))</f>
        <v/>
      </c>
      <c r="C2666" s="14" t="str">
        <f>IF(ISBLANK(A2666),"",_xlfn.XLOOKUP(A2666,'DISPATCH SHEET'!C$3:C$121,'DISPATCH SHEET'!#REF!,""))</f>
        <v/>
      </c>
    </row>
    <row r="2667" spans="2:3" x14ac:dyDescent="0.2">
      <c r="B2667" s="14" t="str">
        <f>IF(A2667="","",_xlfn.XLOOKUP(A2667,'DISPATCH SHEET'!B$3:B$121,'DISPATCH SHEET'!C$3:C$121,""))</f>
        <v/>
      </c>
      <c r="C2667" s="14" t="str">
        <f>IF(ISBLANK(A2667),"",_xlfn.XLOOKUP(A2667,'DISPATCH SHEET'!C$3:C$121,'DISPATCH SHEET'!#REF!,""))</f>
        <v/>
      </c>
    </row>
    <row r="2668" spans="2:3" x14ac:dyDescent="0.2">
      <c r="B2668" s="14" t="str">
        <f>IF(A2668="","",_xlfn.XLOOKUP(A2668,'DISPATCH SHEET'!B$3:B$121,'DISPATCH SHEET'!C$3:C$121,""))</f>
        <v/>
      </c>
      <c r="C2668" s="14" t="str">
        <f>IF(ISBLANK(A2668),"",_xlfn.XLOOKUP(A2668,'DISPATCH SHEET'!C$3:C$121,'DISPATCH SHEET'!#REF!,""))</f>
        <v/>
      </c>
    </row>
    <row r="2669" spans="2:3" x14ac:dyDescent="0.2">
      <c r="B2669" s="14" t="str">
        <f>IF(A2669="","",_xlfn.XLOOKUP(A2669,'DISPATCH SHEET'!B$3:B$121,'DISPATCH SHEET'!C$3:C$121,""))</f>
        <v/>
      </c>
      <c r="C2669" s="14" t="str">
        <f>IF(ISBLANK(A2669),"",_xlfn.XLOOKUP(A2669,'DISPATCH SHEET'!C$3:C$121,'DISPATCH SHEET'!#REF!,""))</f>
        <v/>
      </c>
    </row>
    <row r="2670" spans="2:3" x14ac:dyDescent="0.2">
      <c r="B2670" s="14" t="str">
        <f>IF(A2670="","",_xlfn.XLOOKUP(A2670,'DISPATCH SHEET'!B$3:B$121,'DISPATCH SHEET'!C$3:C$121,""))</f>
        <v/>
      </c>
      <c r="C2670" s="14" t="str">
        <f>IF(ISBLANK(A2670),"",_xlfn.XLOOKUP(A2670,'DISPATCH SHEET'!C$3:C$121,'DISPATCH SHEET'!#REF!,""))</f>
        <v/>
      </c>
    </row>
    <row r="2671" spans="2:3" x14ac:dyDescent="0.2">
      <c r="B2671" s="14" t="str">
        <f>IF(A2671="","",_xlfn.XLOOKUP(A2671,'DISPATCH SHEET'!B$3:B$121,'DISPATCH SHEET'!C$3:C$121,""))</f>
        <v/>
      </c>
      <c r="C2671" s="14" t="str">
        <f>IF(ISBLANK(A2671),"",_xlfn.XLOOKUP(A2671,'DISPATCH SHEET'!C$3:C$121,'DISPATCH SHEET'!#REF!,""))</f>
        <v/>
      </c>
    </row>
    <row r="2672" spans="2:3" x14ac:dyDescent="0.2">
      <c r="B2672" s="14" t="str">
        <f>IF(A2672="","",_xlfn.XLOOKUP(A2672,'DISPATCH SHEET'!B$3:B$121,'DISPATCH SHEET'!C$3:C$121,""))</f>
        <v/>
      </c>
      <c r="C2672" s="14" t="str">
        <f>IF(ISBLANK(A2672),"",_xlfn.XLOOKUP(A2672,'DISPATCH SHEET'!C$3:C$121,'DISPATCH SHEET'!#REF!,""))</f>
        <v/>
      </c>
    </row>
    <row r="2673" spans="2:3" x14ac:dyDescent="0.2">
      <c r="B2673" s="14" t="str">
        <f>IF(A2673="","",_xlfn.XLOOKUP(A2673,'DISPATCH SHEET'!B$3:B$121,'DISPATCH SHEET'!C$3:C$121,""))</f>
        <v/>
      </c>
      <c r="C2673" s="14" t="str">
        <f>IF(ISBLANK(A2673),"",_xlfn.XLOOKUP(A2673,'DISPATCH SHEET'!C$3:C$121,'DISPATCH SHEET'!#REF!,""))</f>
        <v/>
      </c>
    </row>
    <row r="2674" spans="2:3" x14ac:dyDescent="0.2">
      <c r="B2674" s="14" t="str">
        <f>IF(A2674="","",_xlfn.XLOOKUP(A2674,'DISPATCH SHEET'!B$3:B$121,'DISPATCH SHEET'!C$3:C$121,""))</f>
        <v/>
      </c>
      <c r="C2674" s="14" t="str">
        <f>IF(ISBLANK(A2674),"",_xlfn.XLOOKUP(A2674,'DISPATCH SHEET'!C$3:C$121,'DISPATCH SHEET'!#REF!,""))</f>
        <v/>
      </c>
    </row>
    <row r="2675" spans="2:3" x14ac:dyDescent="0.2">
      <c r="B2675" s="14" t="str">
        <f>IF(A2675="","",_xlfn.XLOOKUP(A2675,'DISPATCH SHEET'!B$3:B$121,'DISPATCH SHEET'!C$3:C$121,""))</f>
        <v/>
      </c>
      <c r="C2675" s="14" t="str">
        <f>IF(ISBLANK(A2675),"",_xlfn.XLOOKUP(A2675,'DISPATCH SHEET'!C$3:C$121,'DISPATCH SHEET'!#REF!,""))</f>
        <v/>
      </c>
    </row>
    <row r="2676" spans="2:3" x14ac:dyDescent="0.2">
      <c r="B2676" s="14" t="str">
        <f>IF(A2676="","",_xlfn.XLOOKUP(A2676,'DISPATCH SHEET'!B$3:B$121,'DISPATCH SHEET'!C$3:C$121,""))</f>
        <v/>
      </c>
      <c r="C2676" s="14" t="str">
        <f>IF(ISBLANK(A2676),"",_xlfn.XLOOKUP(A2676,'DISPATCH SHEET'!C$3:C$121,'DISPATCH SHEET'!#REF!,""))</f>
        <v/>
      </c>
    </row>
    <row r="2677" spans="2:3" x14ac:dyDescent="0.2">
      <c r="B2677" s="14" t="str">
        <f>IF(A2677="","",_xlfn.XLOOKUP(A2677,'DISPATCH SHEET'!B$3:B$121,'DISPATCH SHEET'!C$3:C$121,""))</f>
        <v/>
      </c>
      <c r="C2677" s="14" t="str">
        <f>IF(ISBLANK(A2677),"",_xlfn.XLOOKUP(A2677,'DISPATCH SHEET'!C$3:C$121,'DISPATCH SHEET'!#REF!,""))</f>
        <v/>
      </c>
    </row>
    <row r="2678" spans="2:3" x14ac:dyDescent="0.2">
      <c r="B2678" s="14" t="str">
        <f>IF(A2678="","",_xlfn.XLOOKUP(A2678,'DISPATCH SHEET'!B$3:B$121,'DISPATCH SHEET'!C$3:C$121,""))</f>
        <v/>
      </c>
      <c r="C2678" s="14" t="str">
        <f>IF(ISBLANK(A2678),"",_xlfn.XLOOKUP(A2678,'DISPATCH SHEET'!C$3:C$121,'DISPATCH SHEET'!#REF!,""))</f>
        <v/>
      </c>
    </row>
    <row r="2679" spans="2:3" x14ac:dyDescent="0.2">
      <c r="B2679" s="14" t="str">
        <f>IF(A2679="","",_xlfn.XLOOKUP(A2679,'DISPATCH SHEET'!B$3:B$121,'DISPATCH SHEET'!C$3:C$121,""))</f>
        <v/>
      </c>
      <c r="C2679" s="14" t="str">
        <f>IF(ISBLANK(A2679),"",_xlfn.XLOOKUP(A2679,'DISPATCH SHEET'!C$3:C$121,'DISPATCH SHEET'!#REF!,""))</f>
        <v/>
      </c>
    </row>
    <row r="2680" spans="2:3" x14ac:dyDescent="0.2">
      <c r="B2680" s="14" t="str">
        <f>IF(A2680="","",_xlfn.XLOOKUP(A2680,'DISPATCH SHEET'!B$3:B$121,'DISPATCH SHEET'!C$3:C$121,""))</f>
        <v/>
      </c>
      <c r="C2680" s="14" t="str">
        <f>IF(ISBLANK(A2680),"",_xlfn.XLOOKUP(A2680,'DISPATCH SHEET'!C$3:C$121,'DISPATCH SHEET'!#REF!,""))</f>
        <v/>
      </c>
    </row>
    <row r="2681" spans="2:3" x14ac:dyDescent="0.2">
      <c r="B2681" s="14" t="str">
        <f>IF(A2681="","",_xlfn.XLOOKUP(A2681,'DISPATCH SHEET'!B$3:B$121,'DISPATCH SHEET'!C$3:C$121,""))</f>
        <v/>
      </c>
      <c r="C2681" s="14" t="str">
        <f>IF(ISBLANK(A2681),"",_xlfn.XLOOKUP(A2681,'DISPATCH SHEET'!C$3:C$121,'DISPATCH SHEET'!#REF!,""))</f>
        <v/>
      </c>
    </row>
    <row r="2682" spans="2:3" x14ac:dyDescent="0.2">
      <c r="B2682" s="14" t="str">
        <f>IF(A2682="","",_xlfn.XLOOKUP(A2682,'DISPATCH SHEET'!B$3:B$121,'DISPATCH SHEET'!C$3:C$121,""))</f>
        <v/>
      </c>
      <c r="C2682" s="14" t="str">
        <f>IF(ISBLANK(A2682),"",_xlfn.XLOOKUP(A2682,'DISPATCH SHEET'!C$3:C$121,'DISPATCH SHEET'!#REF!,""))</f>
        <v/>
      </c>
    </row>
    <row r="2683" spans="2:3" x14ac:dyDescent="0.2">
      <c r="B2683" s="14" t="str">
        <f>IF(A2683="","",_xlfn.XLOOKUP(A2683,'DISPATCH SHEET'!B$3:B$121,'DISPATCH SHEET'!C$3:C$121,""))</f>
        <v/>
      </c>
      <c r="C2683" s="14" t="str">
        <f>IF(ISBLANK(A2683),"",_xlfn.XLOOKUP(A2683,'DISPATCH SHEET'!C$3:C$121,'DISPATCH SHEET'!#REF!,""))</f>
        <v/>
      </c>
    </row>
    <row r="2684" spans="2:3" x14ac:dyDescent="0.2">
      <c r="B2684" s="14" t="str">
        <f>IF(A2684="","",_xlfn.XLOOKUP(A2684,'DISPATCH SHEET'!B$3:B$121,'DISPATCH SHEET'!C$3:C$121,""))</f>
        <v/>
      </c>
      <c r="C2684" s="14" t="str">
        <f>IF(ISBLANK(A2684),"",_xlfn.XLOOKUP(A2684,'DISPATCH SHEET'!C$3:C$121,'DISPATCH SHEET'!#REF!,""))</f>
        <v/>
      </c>
    </row>
    <row r="2685" spans="2:3" x14ac:dyDescent="0.2">
      <c r="B2685" s="14" t="str">
        <f>IF(A2685="","",_xlfn.XLOOKUP(A2685,'DISPATCH SHEET'!B$3:B$121,'DISPATCH SHEET'!C$3:C$121,""))</f>
        <v/>
      </c>
      <c r="C2685" s="14" t="str">
        <f>IF(ISBLANK(A2685),"",_xlfn.XLOOKUP(A2685,'DISPATCH SHEET'!C$3:C$121,'DISPATCH SHEET'!#REF!,""))</f>
        <v/>
      </c>
    </row>
    <row r="2686" spans="2:3" x14ac:dyDescent="0.2">
      <c r="B2686" s="14" t="str">
        <f>IF(A2686="","",_xlfn.XLOOKUP(A2686,'DISPATCH SHEET'!B$3:B$121,'DISPATCH SHEET'!C$3:C$121,""))</f>
        <v/>
      </c>
      <c r="C2686" s="14" t="str">
        <f>IF(ISBLANK(A2686),"",_xlfn.XLOOKUP(A2686,'DISPATCH SHEET'!C$3:C$121,'DISPATCH SHEET'!#REF!,""))</f>
        <v/>
      </c>
    </row>
    <row r="2687" spans="2:3" x14ac:dyDescent="0.2">
      <c r="B2687" s="14" t="str">
        <f>IF(A2687="","",_xlfn.XLOOKUP(A2687,'DISPATCH SHEET'!B$3:B$121,'DISPATCH SHEET'!C$3:C$121,""))</f>
        <v/>
      </c>
      <c r="C2687" s="14" t="str">
        <f>IF(ISBLANK(A2687),"",_xlfn.XLOOKUP(A2687,'DISPATCH SHEET'!C$3:C$121,'DISPATCH SHEET'!#REF!,""))</f>
        <v/>
      </c>
    </row>
    <row r="2688" spans="2:3" x14ac:dyDescent="0.2">
      <c r="B2688" s="14" t="str">
        <f>IF(A2688="","",_xlfn.XLOOKUP(A2688,'DISPATCH SHEET'!B$3:B$121,'DISPATCH SHEET'!C$3:C$121,""))</f>
        <v/>
      </c>
      <c r="C2688" s="14" t="str">
        <f>IF(ISBLANK(A2688),"",_xlfn.XLOOKUP(A2688,'DISPATCH SHEET'!C$3:C$121,'DISPATCH SHEET'!#REF!,""))</f>
        <v/>
      </c>
    </row>
    <row r="2689" spans="2:3" x14ac:dyDescent="0.2">
      <c r="B2689" s="14" t="str">
        <f>IF(A2689="","",_xlfn.XLOOKUP(A2689,'DISPATCH SHEET'!B$3:B$121,'DISPATCH SHEET'!C$3:C$121,""))</f>
        <v/>
      </c>
      <c r="C2689" s="14" t="str">
        <f>IF(ISBLANK(A2689),"",_xlfn.XLOOKUP(A2689,'DISPATCH SHEET'!C$3:C$121,'DISPATCH SHEET'!#REF!,""))</f>
        <v/>
      </c>
    </row>
    <row r="2690" spans="2:3" x14ac:dyDescent="0.2">
      <c r="B2690" s="14" t="str">
        <f>IF(A2690="","",_xlfn.XLOOKUP(A2690,'DISPATCH SHEET'!B$3:B$121,'DISPATCH SHEET'!C$3:C$121,""))</f>
        <v/>
      </c>
      <c r="C2690" s="14" t="str">
        <f>IF(ISBLANK(A2690),"",_xlfn.XLOOKUP(A2690,'DISPATCH SHEET'!C$3:C$121,'DISPATCH SHEET'!#REF!,""))</f>
        <v/>
      </c>
    </row>
    <row r="2691" spans="2:3" x14ac:dyDescent="0.2">
      <c r="B2691" s="14" t="str">
        <f>IF(A2691="","",_xlfn.XLOOKUP(A2691,'DISPATCH SHEET'!B$3:B$121,'DISPATCH SHEET'!C$3:C$121,""))</f>
        <v/>
      </c>
      <c r="C2691" s="14" t="str">
        <f>IF(ISBLANK(A2691),"",_xlfn.XLOOKUP(A2691,'DISPATCH SHEET'!C$3:C$121,'DISPATCH SHEET'!#REF!,""))</f>
        <v/>
      </c>
    </row>
    <row r="2692" spans="2:3" x14ac:dyDescent="0.2">
      <c r="B2692" s="14" t="str">
        <f>IF(A2692="","",_xlfn.XLOOKUP(A2692,'DISPATCH SHEET'!B$3:B$121,'DISPATCH SHEET'!C$3:C$121,""))</f>
        <v/>
      </c>
      <c r="C2692" s="14" t="str">
        <f>IF(ISBLANK(A2692),"",_xlfn.XLOOKUP(A2692,'DISPATCH SHEET'!C$3:C$121,'DISPATCH SHEET'!#REF!,""))</f>
        <v/>
      </c>
    </row>
    <row r="2693" spans="2:3" x14ac:dyDescent="0.2">
      <c r="B2693" s="14" t="str">
        <f>IF(A2693="","",_xlfn.XLOOKUP(A2693,'DISPATCH SHEET'!B$3:B$121,'DISPATCH SHEET'!C$3:C$121,""))</f>
        <v/>
      </c>
      <c r="C2693" s="14" t="str">
        <f>IF(ISBLANK(A2693),"",_xlfn.XLOOKUP(A2693,'DISPATCH SHEET'!C$3:C$121,'DISPATCH SHEET'!#REF!,""))</f>
        <v/>
      </c>
    </row>
    <row r="2694" spans="2:3" x14ac:dyDescent="0.2">
      <c r="B2694" s="14" t="str">
        <f>IF(A2694="","",_xlfn.XLOOKUP(A2694,'DISPATCH SHEET'!B$3:B$121,'DISPATCH SHEET'!C$3:C$121,""))</f>
        <v/>
      </c>
      <c r="C2694" s="14" t="str">
        <f>IF(ISBLANK(A2694),"",_xlfn.XLOOKUP(A2694,'DISPATCH SHEET'!C$3:C$121,'DISPATCH SHEET'!#REF!,""))</f>
        <v/>
      </c>
    </row>
    <row r="2695" spans="2:3" x14ac:dyDescent="0.2">
      <c r="B2695" s="14" t="str">
        <f>IF(A2695="","",_xlfn.XLOOKUP(A2695,'DISPATCH SHEET'!B$3:B$121,'DISPATCH SHEET'!C$3:C$121,""))</f>
        <v/>
      </c>
      <c r="C2695" s="14" t="str">
        <f>IF(ISBLANK(A2695),"",_xlfn.XLOOKUP(A2695,'DISPATCH SHEET'!C$3:C$121,'DISPATCH SHEET'!#REF!,""))</f>
        <v/>
      </c>
    </row>
    <row r="2696" spans="2:3" x14ac:dyDescent="0.2">
      <c r="B2696" s="14" t="str">
        <f>IF(A2696="","",_xlfn.XLOOKUP(A2696,'DISPATCH SHEET'!B$3:B$121,'DISPATCH SHEET'!C$3:C$121,""))</f>
        <v/>
      </c>
      <c r="C2696" s="14" t="str">
        <f>IF(ISBLANK(A2696),"",_xlfn.XLOOKUP(A2696,'DISPATCH SHEET'!C$3:C$121,'DISPATCH SHEET'!#REF!,""))</f>
        <v/>
      </c>
    </row>
    <row r="2697" spans="2:3" x14ac:dyDescent="0.2">
      <c r="B2697" s="14" t="str">
        <f>IF(A2697="","",_xlfn.XLOOKUP(A2697,'DISPATCH SHEET'!B$3:B$121,'DISPATCH SHEET'!C$3:C$121,""))</f>
        <v/>
      </c>
      <c r="C2697" s="14" t="str">
        <f>IF(ISBLANK(A2697),"",_xlfn.XLOOKUP(A2697,'DISPATCH SHEET'!C$3:C$121,'DISPATCH SHEET'!#REF!,""))</f>
        <v/>
      </c>
    </row>
    <row r="2698" spans="2:3" x14ac:dyDescent="0.2">
      <c r="B2698" s="14" t="str">
        <f>IF(A2698="","",_xlfn.XLOOKUP(A2698,'DISPATCH SHEET'!B$3:B$121,'DISPATCH SHEET'!C$3:C$121,""))</f>
        <v/>
      </c>
      <c r="C2698" s="14" t="str">
        <f>IF(ISBLANK(A2698),"",_xlfn.XLOOKUP(A2698,'DISPATCH SHEET'!C$3:C$121,'DISPATCH SHEET'!#REF!,""))</f>
        <v/>
      </c>
    </row>
    <row r="2699" spans="2:3" x14ac:dyDescent="0.2">
      <c r="B2699" s="14" t="str">
        <f>IF(A2699="","",_xlfn.XLOOKUP(A2699,'DISPATCH SHEET'!B$3:B$121,'DISPATCH SHEET'!C$3:C$121,""))</f>
        <v/>
      </c>
      <c r="C2699" s="14" t="str">
        <f>IF(ISBLANK(A2699),"",_xlfn.XLOOKUP(A2699,'DISPATCH SHEET'!C$3:C$121,'DISPATCH SHEET'!#REF!,""))</f>
        <v/>
      </c>
    </row>
    <row r="2700" spans="2:3" x14ac:dyDescent="0.2">
      <c r="B2700" s="14" t="str">
        <f>IF(A2700="","",_xlfn.XLOOKUP(A2700,'DISPATCH SHEET'!B$3:B$121,'DISPATCH SHEET'!C$3:C$121,""))</f>
        <v/>
      </c>
      <c r="C2700" s="14" t="str">
        <f>IF(ISBLANK(A2700),"",_xlfn.XLOOKUP(A2700,'DISPATCH SHEET'!C$3:C$121,'DISPATCH SHEET'!#REF!,""))</f>
        <v/>
      </c>
    </row>
    <row r="2701" spans="2:3" x14ac:dyDescent="0.2">
      <c r="B2701" s="14" t="str">
        <f>IF(A2701="","",_xlfn.XLOOKUP(A2701,'DISPATCH SHEET'!B$3:B$121,'DISPATCH SHEET'!C$3:C$121,""))</f>
        <v/>
      </c>
      <c r="C2701" s="14" t="str">
        <f>IF(ISBLANK(A2701),"",_xlfn.XLOOKUP(A2701,'DISPATCH SHEET'!C$3:C$121,'DISPATCH SHEET'!#REF!,""))</f>
        <v/>
      </c>
    </row>
    <row r="2702" spans="2:3" x14ac:dyDescent="0.2">
      <c r="B2702" s="14" t="str">
        <f>IF(A2702="","",_xlfn.XLOOKUP(A2702,'DISPATCH SHEET'!B$3:B$121,'DISPATCH SHEET'!C$3:C$121,""))</f>
        <v/>
      </c>
      <c r="C2702" s="14" t="str">
        <f>IF(ISBLANK(A2702),"",_xlfn.XLOOKUP(A2702,'DISPATCH SHEET'!C$3:C$121,'DISPATCH SHEET'!#REF!,""))</f>
        <v/>
      </c>
    </row>
    <row r="2703" spans="2:3" x14ac:dyDescent="0.2">
      <c r="B2703" s="14" t="str">
        <f>IF(A2703="","",_xlfn.XLOOKUP(A2703,'DISPATCH SHEET'!B$3:B$121,'DISPATCH SHEET'!C$3:C$121,""))</f>
        <v/>
      </c>
      <c r="C2703" s="14" t="str">
        <f>IF(ISBLANK(A2703),"",_xlfn.XLOOKUP(A2703,'DISPATCH SHEET'!C$3:C$121,'DISPATCH SHEET'!#REF!,""))</f>
        <v/>
      </c>
    </row>
    <row r="2704" spans="2:3" x14ac:dyDescent="0.2">
      <c r="B2704" s="14" t="str">
        <f>IF(A2704="","",_xlfn.XLOOKUP(A2704,'DISPATCH SHEET'!B$3:B$121,'DISPATCH SHEET'!C$3:C$121,""))</f>
        <v/>
      </c>
      <c r="C2704" s="14" t="str">
        <f>IF(ISBLANK(A2704),"",_xlfn.XLOOKUP(A2704,'DISPATCH SHEET'!C$3:C$121,'DISPATCH SHEET'!#REF!,""))</f>
        <v/>
      </c>
    </row>
    <row r="2705" spans="2:3" x14ac:dyDescent="0.2">
      <c r="B2705" s="14" t="str">
        <f>IF(A2705="","",_xlfn.XLOOKUP(A2705,'DISPATCH SHEET'!B$3:B$121,'DISPATCH SHEET'!C$3:C$121,""))</f>
        <v/>
      </c>
      <c r="C2705" s="14" t="str">
        <f>IF(ISBLANK(A2705),"",_xlfn.XLOOKUP(A2705,'DISPATCH SHEET'!C$3:C$121,'DISPATCH SHEET'!#REF!,""))</f>
        <v/>
      </c>
    </row>
    <row r="2706" spans="2:3" x14ac:dyDescent="0.2">
      <c r="B2706" s="14" t="str">
        <f>IF(A2706="","",_xlfn.XLOOKUP(A2706,'DISPATCH SHEET'!B$3:B$121,'DISPATCH SHEET'!C$3:C$121,""))</f>
        <v/>
      </c>
      <c r="C2706" s="14" t="str">
        <f>IF(ISBLANK(A2706),"",_xlfn.XLOOKUP(A2706,'DISPATCH SHEET'!C$3:C$121,'DISPATCH SHEET'!#REF!,""))</f>
        <v/>
      </c>
    </row>
    <row r="2707" spans="2:3" x14ac:dyDescent="0.2">
      <c r="B2707" s="14" t="str">
        <f>IF(A2707="","",_xlfn.XLOOKUP(A2707,'DISPATCH SHEET'!B$3:B$121,'DISPATCH SHEET'!C$3:C$121,""))</f>
        <v/>
      </c>
      <c r="C2707" s="14" t="str">
        <f>IF(ISBLANK(A2707),"",_xlfn.XLOOKUP(A2707,'DISPATCH SHEET'!C$3:C$121,'DISPATCH SHEET'!#REF!,""))</f>
        <v/>
      </c>
    </row>
    <row r="2708" spans="2:3" x14ac:dyDescent="0.2">
      <c r="B2708" s="14" t="str">
        <f>IF(A2708="","",_xlfn.XLOOKUP(A2708,'DISPATCH SHEET'!B$3:B$121,'DISPATCH SHEET'!C$3:C$121,""))</f>
        <v/>
      </c>
      <c r="C2708" s="14" t="str">
        <f>IF(ISBLANK(A2708),"",_xlfn.XLOOKUP(A2708,'DISPATCH SHEET'!C$3:C$121,'DISPATCH SHEET'!#REF!,""))</f>
        <v/>
      </c>
    </row>
    <row r="2709" spans="2:3" x14ac:dyDescent="0.2">
      <c r="B2709" s="14" t="str">
        <f>IF(A2709="","",_xlfn.XLOOKUP(A2709,'DISPATCH SHEET'!B$3:B$121,'DISPATCH SHEET'!C$3:C$121,""))</f>
        <v/>
      </c>
      <c r="C2709" s="14" t="str">
        <f>IF(ISBLANK(A2709),"",_xlfn.XLOOKUP(A2709,'DISPATCH SHEET'!C$3:C$121,'DISPATCH SHEET'!#REF!,""))</f>
        <v/>
      </c>
    </row>
    <row r="2710" spans="2:3" x14ac:dyDescent="0.2">
      <c r="B2710" s="14" t="str">
        <f>IF(A2710="","",_xlfn.XLOOKUP(A2710,'DISPATCH SHEET'!B$3:B$121,'DISPATCH SHEET'!C$3:C$121,""))</f>
        <v/>
      </c>
      <c r="C2710" s="14" t="str">
        <f>IF(ISBLANK(A2710),"",_xlfn.XLOOKUP(A2710,'DISPATCH SHEET'!C$3:C$121,'DISPATCH SHEET'!#REF!,""))</f>
        <v/>
      </c>
    </row>
    <row r="2711" spans="2:3" x14ac:dyDescent="0.2">
      <c r="B2711" s="14" t="str">
        <f>IF(A2711="","",_xlfn.XLOOKUP(A2711,'DISPATCH SHEET'!B$3:B$121,'DISPATCH SHEET'!C$3:C$121,""))</f>
        <v/>
      </c>
      <c r="C2711" s="14" t="str">
        <f>IF(ISBLANK(A2711),"",_xlfn.XLOOKUP(A2711,'DISPATCH SHEET'!C$3:C$121,'DISPATCH SHEET'!#REF!,""))</f>
        <v/>
      </c>
    </row>
    <row r="2712" spans="2:3" x14ac:dyDescent="0.2">
      <c r="B2712" s="14" t="str">
        <f>IF(A2712="","",_xlfn.XLOOKUP(A2712,'DISPATCH SHEET'!B$3:B$121,'DISPATCH SHEET'!C$3:C$121,""))</f>
        <v/>
      </c>
      <c r="C2712" s="14" t="str">
        <f>IF(ISBLANK(A2712),"",_xlfn.XLOOKUP(A2712,'DISPATCH SHEET'!C$3:C$121,'DISPATCH SHEET'!#REF!,""))</f>
        <v/>
      </c>
    </row>
    <row r="2713" spans="2:3" x14ac:dyDescent="0.2">
      <c r="B2713" s="14" t="str">
        <f>IF(A2713="","",_xlfn.XLOOKUP(A2713,'DISPATCH SHEET'!B$3:B$121,'DISPATCH SHEET'!C$3:C$121,""))</f>
        <v/>
      </c>
      <c r="C2713" s="14" t="str">
        <f>IF(ISBLANK(A2713),"",_xlfn.XLOOKUP(A2713,'DISPATCH SHEET'!C$3:C$121,'DISPATCH SHEET'!#REF!,""))</f>
        <v/>
      </c>
    </row>
    <row r="2714" spans="2:3" x14ac:dyDescent="0.2">
      <c r="B2714" s="14" t="str">
        <f>IF(A2714="","",_xlfn.XLOOKUP(A2714,'DISPATCH SHEET'!B$3:B$121,'DISPATCH SHEET'!C$3:C$121,""))</f>
        <v/>
      </c>
      <c r="C2714" s="14" t="str">
        <f>IF(ISBLANK(A2714),"",_xlfn.XLOOKUP(A2714,'DISPATCH SHEET'!C$3:C$121,'DISPATCH SHEET'!#REF!,""))</f>
        <v/>
      </c>
    </row>
    <row r="2715" spans="2:3" x14ac:dyDescent="0.2">
      <c r="B2715" s="14" t="str">
        <f>IF(A2715="","",_xlfn.XLOOKUP(A2715,'DISPATCH SHEET'!B$3:B$121,'DISPATCH SHEET'!C$3:C$121,""))</f>
        <v/>
      </c>
      <c r="C2715" s="14" t="str">
        <f>IF(ISBLANK(A2715),"",_xlfn.XLOOKUP(A2715,'DISPATCH SHEET'!C$3:C$121,'DISPATCH SHEET'!#REF!,""))</f>
        <v/>
      </c>
    </row>
    <row r="2716" spans="2:3" x14ac:dyDescent="0.2">
      <c r="B2716" s="14" t="str">
        <f>IF(A2716="","",_xlfn.XLOOKUP(A2716,'DISPATCH SHEET'!B$3:B$121,'DISPATCH SHEET'!C$3:C$121,""))</f>
        <v/>
      </c>
      <c r="C2716" s="14" t="str">
        <f>IF(ISBLANK(A2716),"",_xlfn.XLOOKUP(A2716,'DISPATCH SHEET'!C$3:C$121,'DISPATCH SHEET'!#REF!,""))</f>
        <v/>
      </c>
    </row>
    <row r="2717" spans="2:3" x14ac:dyDescent="0.2">
      <c r="B2717" s="14" t="str">
        <f>IF(A2717="","",_xlfn.XLOOKUP(A2717,'DISPATCH SHEET'!B$3:B$121,'DISPATCH SHEET'!C$3:C$121,""))</f>
        <v/>
      </c>
      <c r="C2717" s="14" t="str">
        <f>IF(ISBLANK(A2717),"",_xlfn.XLOOKUP(A2717,'DISPATCH SHEET'!C$3:C$121,'DISPATCH SHEET'!#REF!,""))</f>
        <v/>
      </c>
    </row>
    <row r="2718" spans="2:3" x14ac:dyDescent="0.2">
      <c r="B2718" s="14" t="str">
        <f>IF(A2718="","",_xlfn.XLOOKUP(A2718,'DISPATCH SHEET'!B$3:B$121,'DISPATCH SHEET'!C$3:C$121,""))</f>
        <v/>
      </c>
      <c r="C2718" s="14" t="str">
        <f>IF(ISBLANK(A2718),"",_xlfn.XLOOKUP(A2718,'DISPATCH SHEET'!C$3:C$121,'DISPATCH SHEET'!#REF!,""))</f>
        <v/>
      </c>
    </row>
    <row r="2719" spans="2:3" x14ac:dyDescent="0.2">
      <c r="B2719" s="14" t="str">
        <f>IF(A2719="","",_xlfn.XLOOKUP(A2719,'DISPATCH SHEET'!B$3:B$121,'DISPATCH SHEET'!C$3:C$121,""))</f>
        <v/>
      </c>
      <c r="C2719" s="14" t="str">
        <f>IF(ISBLANK(A2719),"",_xlfn.XLOOKUP(A2719,'DISPATCH SHEET'!C$3:C$121,'DISPATCH SHEET'!#REF!,""))</f>
        <v/>
      </c>
    </row>
    <row r="2720" spans="2:3" x14ac:dyDescent="0.2">
      <c r="B2720" s="14" t="str">
        <f>IF(A2720="","",_xlfn.XLOOKUP(A2720,'DISPATCH SHEET'!B$3:B$121,'DISPATCH SHEET'!C$3:C$121,""))</f>
        <v/>
      </c>
      <c r="C2720" s="14" t="str">
        <f>IF(ISBLANK(A2720),"",_xlfn.XLOOKUP(A2720,'DISPATCH SHEET'!C$3:C$121,'DISPATCH SHEET'!#REF!,""))</f>
        <v/>
      </c>
    </row>
    <row r="2721" spans="2:3" x14ac:dyDescent="0.2">
      <c r="B2721" s="14" t="str">
        <f>IF(A2721="","",_xlfn.XLOOKUP(A2721,'DISPATCH SHEET'!B$3:B$121,'DISPATCH SHEET'!C$3:C$121,""))</f>
        <v/>
      </c>
      <c r="C2721" s="14" t="str">
        <f>IF(ISBLANK(A2721),"",_xlfn.XLOOKUP(A2721,'DISPATCH SHEET'!C$3:C$121,'DISPATCH SHEET'!#REF!,""))</f>
        <v/>
      </c>
    </row>
    <row r="2722" spans="2:3" x14ac:dyDescent="0.2">
      <c r="B2722" s="14" t="str">
        <f>IF(A2722="","",_xlfn.XLOOKUP(A2722,'DISPATCH SHEET'!B$3:B$121,'DISPATCH SHEET'!C$3:C$121,""))</f>
        <v/>
      </c>
      <c r="C2722" s="14" t="str">
        <f>IF(ISBLANK(A2722),"",_xlfn.XLOOKUP(A2722,'DISPATCH SHEET'!C$3:C$121,'DISPATCH SHEET'!#REF!,""))</f>
        <v/>
      </c>
    </row>
    <row r="2723" spans="2:3" x14ac:dyDescent="0.2">
      <c r="B2723" s="14" t="str">
        <f>IF(A2723="","",_xlfn.XLOOKUP(A2723,'DISPATCH SHEET'!B$3:B$121,'DISPATCH SHEET'!C$3:C$121,""))</f>
        <v/>
      </c>
      <c r="C2723" s="14" t="str">
        <f>IF(ISBLANK(A2723),"",_xlfn.XLOOKUP(A2723,'DISPATCH SHEET'!C$3:C$121,'DISPATCH SHEET'!#REF!,""))</f>
        <v/>
      </c>
    </row>
    <row r="2724" spans="2:3" x14ac:dyDescent="0.2">
      <c r="B2724" s="14" t="str">
        <f>IF(A2724="","",_xlfn.XLOOKUP(A2724,'DISPATCH SHEET'!B$3:B$121,'DISPATCH SHEET'!C$3:C$121,""))</f>
        <v/>
      </c>
      <c r="C2724" s="14" t="str">
        <f>IF(ISBLANK(A2724),"",_xlfn.XLOOKUP(A2724,'DISPATCH SHEET'!C$3:C$121,'DISPATCH SHEET'!#REF!,""))</f>
        <v/>
      </c>
    </row>
    <row r="2725" spans="2:3" x14ac:dyDescent="0.2">
      <c r="B2725" s="14" t="str">
        <f>IF(A2725="","",_xlfn.XLOOKUP(A2725,'DISPATCH SHEET'!B$3:B$121,'DISPATCH SHEET'!C$3:C$121,""))</f>
        <v/>
      </c>
      <c r="C2725" s="14" t="str">
        <f>IF(ISBLANK(A2725),"",_xlfn.XLOOKUP(A2725,'DISPATCH SHEET'!C$3:C$121,'DISPATCH SHEET'!#REF!,""))</f>
        <v/>
      </c>
    </row>
    <row r="2726" spans="2:3" x14ac:dyDescent="0.2">
      <c r="B2726" s="14" t="str">
        <f>IF(A2726="","",_xlfn.XLOOKUP(A2726,'DISPATCH SHEET'!B$3:B$121,'DISPATCH SHEET'!C$3:C$121,""))</f>
        <v/>
      </c>
      <c r="C2726" s="14" t="str">
        <f>IF(ISBLANK(A2726),"",_xlfn.XLOOKUP(A2726,'DISPATCH SHEET'!C$3:C$121,'DISPATCH SHEET'!#REF!,""))</f>
        <v/>
      </c>
    </row>
    <row r="2727" spans="2:3" x14ac:dyDescent="0.2">
      <c r="B2727" s="14" t="str">
        <f>IF(A2727="","",_xlfn.XLOOKUP(A2727,'DISPATCH SHEET'!B$3:B$121,'DISPATCH SHEET'!C$3:C$121,""))</f>
        <v/>
      </c>
      <c r="C2727" s="14" t="str">
        <f>IF(ISBLANK(A2727),"",_xlfn.XLOOKUP(A2727,'DISPATCH SHEET'!C$3:C$121,'DISPATCH SHEET'!#REF!,""))</f>
        <v/>
      </c>
    </row>
    <row r="2728" spans="2:3" x14ac:dyDescent="0.2">
      <c r="B2728" s="14" t="str">
        <f>IF(A2728="","",_xlfn.XLOOKUP(A2728,'DISPATCH SHEET'!B$3:B$121,'DISPATCH SHEET'!C$3:C$121,""))</f>
        <v/>
      </c>
      <c r="C2728" s="14" t="str">
        <f>IF(ISBLANK(A2728),"",_xlfn.XLOOKUP(A2728,'DISPATCH SHEET'!C$3:C$121,'DISPATCH SHEET'!#REF!,""))</f>
        <v/>
      </c>
    </row>
    <row r="2729" spans="2:3" x14ac:dyDescent="0.2">
      <c r="B2729" s="14" t="str">
        <f>IF(A2729="","",_xlfn.XLOOKUP(A2729,'DISPATCH SHEET'!B$3:B$121,'DISPATCH SHEET'!C$3:C$121,""))</f>
        <v/>
      </c>
      <c r="C2729" s="14" t="str">
        <f>IF(ISBLANK(A2729),"",_xlfn.XLOOKUP(A2729,'DISPATCH SHEET'!C$3:C$121,'DISPATCH SHEET'!#REF!,""))</f>
        <v/>
      </c>
    </row>
    <row r="2730" spans="2:3" x14ac:dyDescent="0.2">
      <c r="B2730" s="14" t="str">
        <f>IF(A2730="","",_xlfn.XLOOKUP(A2730,'DISPATCH SHEET'!B$3:B$121,'DISPATCH SHEET'!C$3:C$121,""))</f>
        <v/>
      </c>
      <c r="C2730" s="14" t="str">
        <f>IF(ISBLANK(A2730),"",_xlfn.XLOOKUP(A2730,'DISPATCH SHEET'!C$3:C$121,'DISPATCH SHEET'!#REF!,""))</f>
        <v/>
      </c>
    </row>
    <row r="2731" spans="2:3" x14ac:dyDescent="0.2">
      <c r="B2731" s="14" t="str">
        <f>IF(A2731="","",_xlfn.XLOOKUP(A2731,'DISPATCH SHEET'!B$3:B$121,'DISPATCH SHEET'!C$3:C$121,""))</f>
        <v/>
      </c>
      <c r="C2731" s="14" t="str">
        <f>IF(ISBLANK(A2731),"",_xlfn.XLOOKUP(A2731,'DISPATCH SHEET'!C$3:C$121,'DISPATCH SHEET'!#REF!,""))</f>
        <v/>
      </c>
    </row>
    <row r="2732" spans="2:3" x14ac:dyDescent="0.2">
      <c r="B2732" s="14" t="str">
        <f>IF(A2732="","",_xlfn.XLOOKUP(A2732,'DISPATCH SHEET'!B$3:B$121,'DISPATCH SHEET'!C$3:C$121,""))</f>
        <v/>
      </c>
      <c r="C2732" s="14" t="str">
        <f>IF(ISBLANK(A2732),"",_xlfn.XLOOKUP(A2732,'DISPATCH SHEET'!C$3:C$121,'DISPATCH SHEET'!#REF!,""))</f>
        <v/>
      </c>
    </row>
    <row r="2733" spans="2:3" x14ac:dyDescent="0.2">
      <c r="B2733" s="14" t="str">
        <f>IF(A2733="","",_xlfn.XLOOKUP(A2733,'DISPATCH SHEET'!B$3:B$121,'DISPATCH SHEET'!C$3:C$121,""))</f>
        <v/>
      </c>
      <c r="C2733" s="14" t="str">
        <f>IF(ISBLANK(A2733),"",_xlfn.XLOOKUP(A2733,'DISPATCH SHEET'!C$3:C$121,'DISPATCH SHEET'!#REF!,""))</f>
        <v/>
      </c>
    </row>
    <row r="2734" spans="2:3" x14ac:dyDescent="0.2">
      <c r="B2734" s="14" t="str">
        <f>IF(A2734="","",_xlfn.XLOOKUP(A2734,'DISPATCH SHEET'!B$3:B$121,'DISPATCH SHEET'!C$3:C$121,""))</f>
        <v/>
      </c>
      <c r="C2734" s="14" t="str">
        <f>IF(ISBLANK(A2734),"",_xlfn.XLOOKUP(A2734,'DISPATCH SHEET'!C$3:C$121,'DISPATCH SHEET'!#REF!,""))</f>
        <v/>
      </c>
    </row>
    <row r="2735" spans="2:3" x14ac:dyDescent="0.2">
      <c r="B2735" s="14" t="str">
        <f>IF(A2735="","",_xlfn.XLOOKUP(A2735,'DISPATCH SHEET'!B$3:B$121,'DISPATCH SHEET'!C$3:C$121,""))</f>
        <v/>
      </c>
      <c r="C2735" s="14" t="str">
        <f>IF(ISBLANK(A2735),"",_xlfn.XLOOKUP(A2735,'DISPATCH SHEET'!C$3:C$121,'DISPATCH SHEET'!#REF!,""))</f>
        <v/>
      </c>
    </row>
    <row r="2736" spans="2:3" x14ac:dyDescent="0.2">
      <c r="B2736" s="14" t="str">
        <f>IF(A2736="","",_xlfn.XLOOKUP(A2736,'DISPATCH SHEET'!B$3:B$121,'DISPATCH SHEET'!C$3:C$121,""))</f>
        <v/>
      </c>
      <c r="C2736" s="14" t="str">
        <f>IF(ISBLANK(A2736),"",_xlfn.XLOOKUP(A2736,'DISPATCH SHEET'!C$3:C$121,'DISPATCH SHEET'!#REF!,""))</f>
        <v/>
      </c>
    </row>
    <row r="2737" spans="2:3" x14ac:dyDescent="0.2">
      <c r="B2737" s="14" t="str">
        <f>IF(A2737="","",_xlfn.XLOOKUP(A2737,'DISPATCH SHEET'!B$3:B$121,'DISPATCH SHEET'!C$3:C$121,""))</f>
        <v/>
      </c>
      <c r="C2737" s="14" t="str">
        <f>IF(ISBLANK(A2737),"",_xlfn.XLOOKUP(A2737,'DISPATCH SHEET'!C$3:C$121,'DISPATCH SHEET'!#REF!,""))</f>
        <v/>
      </c>
    </row>
    <row r="2738" spans="2:3" x14ac:dyDescent="0.2">
      <c r="B2738" s="14" t="str">
        <f>IF(A2738="","",_xlfn.XLOOKUP(A2738,'DISPATCH SHEET'!B$3:B$121,'DISPATCH SHEET'!C$3:C$121,""))</f>
        <v/>
      </c>
      <c r="C2738" s="14" t="str">
        <f>IF(ISBLANK(A2738),"",_xlfn.XLOOKUP(A2738,'DISPATCH SHEET'!C$3:C$121,'DISPATCH SHEET'!#REF!,""))</f>
        <v/>
      </c>
    </row>
    <row r="2739" spans="2:3" x14ac:dyDescent="0.2">
      <c r="B2739" s="14" t="str">
        <f>IF(A2739="","",_xlfn.XLOOKUP(A2739,'DISPATCH SHEET'!B$3:B$121,'DISPATCH SHEET'!C$3:C$121,""))</f>
        <v/>
      </c>
      <c r="C2739" s="14" t="str">
        <f>IF(ISBLANK(A2739),"",_xlfn.XLOOKUP(A2739,'DISPATCH SHEET'!C$3:C$121,'DISPATCH SHEET'!#REF!,""))</f>
        <v/>
      </c>
    </row>
    <row r="2740" spans="2:3" x14ac:dyDescent="0.2">
      <c r="B2740" s="14" t="str">
        <f>IF(A2740="","",_xlfn.XLOOKUP(A2740,'DISPATCH SHEET'!B$3:B$121,'DISPATCH SHEET'!C$3:C$121,""))</f>
        <v/>
      </c>
      <c r="C2740" s="14" t="str">
        <f>IF(ISBLANK(A2740),"",_xlfn.XLOOKUP(A2740,'DISPATCH SHEET'!C$3:C$121,'DISPATCH SHEET'!#REF!,""))</f>
        <v/>
      </c>
    </row>
    <row r="2741" spans="2:3" x14ac:dyDescent="0.2">
      <c r="B2741" s="14" t="str">
        <f>IF(A2741="","",_xlfn.XLOOKUP(A2741,'DISPATCH SHEET'!B$3:B$121,'DISPATCH SHEET'!C$3:C$121,""))</f>
        <v/>
      </c>
      <c r="C2741" s="14" t="str">
        <f>IF(ISBLANK(A2741),"",_xlfn.XLOOKUP(A2741,'DISPATCH SHEET'!C$3:C$121,'DISPATCH SHEET'!#REF!,""))</f>
        <v/>
      </c>
    </row>
    <row r="2742" spans="2:3" x14ac:dyDescent="0.2">
      <c r="B2742" s="14" t="str">
        <f>IF(A2742="","",_xlfn.XLOOKUP(A2742,'DISPATCH SHEET'!B$3:B$121,'DISPATCH SHEET'!C$3:C$121,""))</f>
        <v/>
      </c>
      <c r="C2742" s="14" t="str">
        <f>IF(ISBLANK(A2742),"",_xlfn.XLOOKUP(A2742,'DISPATCH SHEET'!C$3:C$121,'DISPATCH SHEET'!#REF!,""))</f>
        <v/>
      </c>
    </row>
    <row r="2743" spans="2:3" x14ac:dyDescent="0.2">
      <c r="B2743" s="14" t="str">
        <f>IF(A2743="","",_xlfn.XLOOKUP(A2743,'DISPATCH SHEET'!B$3:B$121,'DISPATCH SHEET'!C$3:C$121,""))</f>
        <v/>
      </c>
      <c r="C2743" s="14" t="str">
        <f>IF(ISBLANK(A2743),"",_xlfn.XLOOKUP(A2743,'DISPATCH SHEET'!C$3:C$121,'DISPATCH SHEET'!#REF!,""))</f>
        <v/>
      </c>
    </row>
    <row r="2744" spans="2:3" x14ac:dyDescent="0.2">
      <c r="B2744" s="14" t="str">
        <f>IF(A2744="","",_xlfn.XLOOKUP(A2744,'DISPATCH SHEET'!B$3:B$121,'DISPATCH SHEET'!C$3:C$121,""))</f>
        <v/>
      </c>
      <c r="C2744" s="14" t="str">
        <f>IF(ISBLANK(A2744),"",_xlfn.XLOOKUP(A2744,'DISPATCH SHEET'!C$3:C$121,'DISPATCH SHEET'!#REF!,""))</f>
        <v/>
      </c>
    </row>
    <row r="2745" spans="2:3" x14ac:dyDescent="0.2">
      <c r="B2745" s="14" t="str">
        <f>IF(A2745="","",_xlfn.XLOOKUP(A2745,'DISPATCH SHEET'!B$3:B$121,'DISPATCH SHEET'!C$3:C$121,""))</f>
        <v/>
      </c>
      <c r="C2745" s="14" t="str">
        <f>IF(ISBLANK(A2745),"",_xlfn.XLOOKUP(A2745,'DISPATCH SHEET'!C$3:C$121,'DISPATCH SHEET'!#REF!,""))</f>
        <v/>
      </c>
    </row>
    <row r="2746" spans="2:3" x14ac:dyDescent="0.2">
      <c r="B2746" s="14" t="str">
        <f>IF(A2746="","",_xlfn.XLOOKUP(A2746,'DISPATCH SHEET'!B$3:B$121,'DISPATCH SHEET'!C$3:C$121,""))</f>
        <v/>
      </c>
      <c r="C2746" s="14" t="str">
        <f>IF(ISBLANK(A2746),"",_xlfn.XLOOKUP(A2746,'DISPATCH SHEET'!C$3:C$121,'DISPATCH SHEET'!#REF!,""))</f>
        <v/>
      </c>
    </row>
    <row r="2747" spans="2:3" x14ac:dyDescent="0.2">
      <c r="B2747" s="14" t="str">
        <f>IF(A2747="","",_xlfn.XLOOKUP(A2747,'DISPATCH SHEET'!B$3:B$121,'DISPATCH SHEET'!C$3:C$121,""))</f>
        <v/>
      </c>
      <c r="C2747" s="14" t="str">
        <f>IF(ISBLANK(A2747),"",_xlfn.XLOOKUP(A2747,'DISPATCH SHEET'!C$3:C$121,'DISPATCH SHEET'!#REF!,""))</f>
        <v/>
      </c>
    </row>
    <row r="2748" spans="2:3" x14ac:dyDescent="0.2">
      <c r="B2748" s="14" t="str">
        <f>IF(A2748="","",_xlfn.XLOOKUP(A2748,'DISPATCH SHEET'!B$3:B$121,'DISPATCH SHEET'!C$3:C$121,""))</f>
        <v/>
      </c>
      <c r="C2748" s="14" t="str">
        <f>IF(ISBLANK(A2748),"",_xlfn.XLOOKUP(A2748,'DISPATCH SHEET'!C$3:C$121,'DISPATCH SHEET'!#REF!,""))</f>
        <v/>
      </c>
    </row>
    <row r="2749" spans="2:3" x14ac:dyDescent="0.2">
      <c r="B2749" s="14" t="str">
        <f>IF(A2749="","",_xlfn.XLOOKUP(A2749,'DISPATCH SHEET'!B$3:B$121,'DISPATCH SHEET'!C$3:C$121,""))</f>
        <v/>
      </c>
      <c r="C2749" s="14" t="str">
        <f>IF(ISBLANK(A2749),"",_xlfn.XLOOKUP(A2749,'DISPATCH SHEET'!C$3:C$121,'DISPATCH SHEET'!#REF!,""))</f>
        <v/>
      </c>
    </row>
    <row r="2750" spans="2:3" x14ac:dyDescent="0.2">
      <c r="B2750" s="14" t="str">
        <f>IF(A2750="","",_xlfn.XLOOKUP(A2750,'DISPATCH SHEET'!B$3:B$121,'DISPATCH SHEET'!C$3:C$121,""))</f>
        <v/>
      </c>
      <c r="C2750" s="14" t="str">
        <f>IF(ISBLANK(A2750),"",_xlfn.XLOOKUP(A2750,'DISPATCH SHEET'!C$3:C$121,'DISPATCH SHEET'!#REF!,""))</f>
        <v/>
      </c>
    </row>
    <row r="2751" spans="2:3" x14ac:dyDescent="0.2">
      <c r="B2751" s="14" t="str">
        <f>IF(A2751="","",_xlfn.XLOOKUP(A2751,'DISPATCH SHEET'!B$3:B$121,'DISPATCH SHEET'!C$3:C$121,""))</f>
        <v/>
      </c>
      <c r="C2751" s="14" t="str">
        <f>IF(ISBLANK(A2751),"",_xlfn.XLOOKUP(A2751,'DISPATCH SHEET'!C$3:C$121,'DISPATCH SHEET'!#REF!,""))</f>
        <v/>
      </c>
    </row>
    <row r="2752" spans="2:3" x14ac:dyDescent="0.2">
      <c r="B2752" s="14" t="str">
        <f>IF(A2752="","",_xlfn.XLOOKUP(A2752,'DISPATCH SHEET'!B$3:B$121,'DISPATCH SHEET'!C$3:C$121,""))</f>
        <v/>
      </c>
      <c r="C2752" s="14" t="str">
        <f>IF(ISBLANK(A2752),"",_xlfn.XLOOKUP(A2752,'DISPATCH SHEET'!C$3:C$121,'DISPATCH SHEET'!#REF!,""))</f>
        <v/>
      </c>
    </row>
    <row r="2753" spans="2:3" x14ac:dyDescent="0.2">
      <c r="B2753" s="14" t="str">
        <f>IF(A2753="","",_xlfn.XLOOKUP(A2753,'DISPATCH SHEET'!B$3:B$121,'DISPATCH SHEET'!C$3:C$121,""))</f>
        <v/>
      </c>
      <c r="C2753" s="14" t="str">
        <f>IF(ISBLANK(A2753),"",_xlfn.XLOOKUP(A2753,'DISPATCH SHEET'!C$3:C$121,'DISPATCH SHEET'!#REF!,""))</f>
        <v/>
      </c>
    </row>
    <row r="2754" spans="2:3" x14ac:dyDescent="0.2">
      <c r="B2754" s="14" t="str">
        <f>IF(A2754="","",_xlfn.XLOOKUP(A2754,'DISPATCH SHEET'!B$3:B$121,'DISPATCH SHEET'!C$3:C$121,""))</f>
        <v/>
      </c>
      <c r="C2754" s="14" t="str">
        <f>IF(ISBLANK(A2754),"",_xlfn.XLOOKUP(A2754,'DISPATCH SHEET'!C$3:C$121,'DISPATCH SHEET'!#REF!,""))</f>
        <v/>
      </c>
    </row>
    <row r="2755" spans="2:3" x14ac:dyDescent="0.2">
      <c r="B2755" s="14" t="str">
        <f>IF(A2755="","",_xlfn.XLOOKUP(A2755,'DISPATCH SHEET'!B$3:B$121,'DISPATCH SHEET'!C$3:C$121,""))</f>
        <v/>
      </c>
      <c r="C2755" s="14" t="str">
        <f>IF(ISBLANK(A2755),"",_xlfn.XLOOKUP(A2755,'DISPATCH SHEET'!C$3:C$121,'DISPATCH SHEET'!#REF!,""))</f>
        <v/>
      </c>
    </row>
    <row r="2756" spans="2:3" x14ac:dyDescent="0.2">
      <c r="B2756" s="14" t="str">
        <f>IF(A2756="","",_xlfn.XLOOKUP(A2756,'DISPATCH SHEET'!B$3:B$121,'DISPATCH SHEET'!C$3:C$121,""))</f>
        <v/>
      </c>
      <c r="C2756" s="14" t="str">
        <f>IF(ISBLANK(A2756),"",_xlfn.XLOOKUP(A2756,'DISPATCH SHEET'!C$3:C$121,'DISPATCH SHEET'!#REF!,""))</f>
        <v/>
      </c>
    </row>
    <row r="2757" spans="2:3" x14ac:dyDescent="0.2">
      <c r="B2757" s="14" t="str">
        <f>IF(A2757="","",_xlfn.XLOOKUP(A2757,'DISPATCH SHEET'!B$3:B$121,'DISPATCH SHEET'!C$3:C$121,""))</f>
        <v/>
      </c>
      <c r="C2757" s="14" t="str">
        <f>IF(ISBLANK(A2757),"",_xlfn.XLOOKUP(A2757,'DISPATCH SHEET'!C$3:C$121,'DISPATCH SHEET'!#REF!,""))</f>
        <v/>
      </c>
    </row>
    <row r="2758" spans="2:3" x14ac:dyDescent="0.2">
      <c r="B2758" s="14" t="str">
        <f>IF(A2758="","",_xlfn.XLOOKUP(A2758,'DISPATCH SHEET'!B$3:B$121,'DISPATCH SHEET'!C$3:C$121,""))</f>
        <v/>
      </c>
      <c r="C2758" s="14" t="str">
        <f>IF(ISBLANK(A2758),"",_xlfn.XLOOKUP(A2758,'DISPATCH SHEET'!C$3:C$121,'DISPATCH SHEET'!#REF!,""))</f>
        <v/>
      </c>
    </row>
    <row r="2759" spans="2:3" x14ac:dyDescent="0.2">
      <c r="B2759" s="14" t="str">
        <f>IF(A2759="","",_xlfn.XLOOKUP(A2759,'DISPATCH SHEET'!B$3:B$121,'DISPATCH SHEET'!C$3:C$121,""))</f>
        <v/>
      </c>
      <c r="C2759" s="14" t="str">
        <f>IF(ISBLANK(A2759),"",_xlfn.XLOOKUP(A2759,'DISPATCH SHEET'!C$3:C$121,'DISPATCH SHEET'!#REF!,""))</f>
        <v/>
      </c>
    </row>
    <row r="2760" spans="2:3" x14ac:dyDescent="0.2">
      <c r="B2760" s="14" t="str">
        <f>IF(A2760="","",_xlfn.XLOOKUP(A2760,'DISPATCH SHEET'!B$3:B$121,'DISPATCH SHEET'!C$3:C$121,""))</f>
        <v/>
      </c>
      <c r="C2760" s="14" t="str">
        <f>IF(ISBLANK(A2760),"",_xlfn.XLOOKUP(A2760,'DISPATCH SHEET'!C$3:C$121,'DISPATCH SHEET'!#REF!,""))</f>
        <v/>
      </c>
    </row>
    <row r="2761" spans="2:3" x14ac:dyDescent="0.2">
      <c r="B2761" s="14" t="str">
        <f>IF(A2761="","",_xlfn.XLOOKUP(A2761,'DISPATCH SHEET'!B$3:B$121,'DISPATCH SHEET'!C$3:C$121,""))</f>
        <v/>
      </c>
      <c r="C2761" s="14" t="str">
        <f>IF(ISBLANK(A2761),"",_xlfn.XLOOKUP(A2761,'DISPATCH SHEET'!C$3:C$121,'DISPATCH SHEET'!#REF!,""))</f>
        <v/>
      </c>
    </row>
    <row r="2762" spans="2:3" x14ac:dyDescent="0.2">
      <c r="B2762" s="14" t="str">
        <f>IF(A2762="","",_xlfn.XLOOKUP(A2762,'DISPATCH SHEET'!B$3:B$121,'DISPATCH SHEET'!C$3:C$121,""))</f>
        <v/>
      </c>
      <c r="C2762" s="14" t="str">
        <f>IF(ISBLANK(A2762),"",_xlfn.XLOOKUP(A2762,'DISPATCH SHEET'!C$3:C$121,'DISPATCH SHEET'!#REF!,""))</f>
        <v/>
      </c>
    </row>
    <row r="2763" spans="2:3" x14ac:dyDescent="0.2">
      <c r="B2763" s="14" t="str">
        <f>IF(A2763="","",_xlfn.XLOOKUP(A2763,'DISPATCH SHEET'!B$3:B$121,'DISPATCH SHEET'!C$3:C$121,""))</f>
        <v/>
      </c>
      <c r="C2763" s="14" t="str">
        <f>IF(ISBLANK(A2763),"",_xlfn.XLOOKUP(A2763,'DISPATCH SHEET'!C$3:C$121,'DISPATCH SHEET'!#REF!,""))</f>
        <v/>
      </c>
    </row>
    <row r="2764" spans="2:3" x14ac:dyDescent="0.2">
      <c r="B2764" s="14" t="str">
        <f>IF(A2764="","",_xlfn.XLOOKUP(A2764,'DISPATCH SHEET'!B$3:B$121,'DISPATCH SHEET'!C$3:C$121,""))</f>
        <v/>
      </c>
      <c r="C2764" s="14" t="str">
        <f>IF(ISBLANK(A2764),"",_xlfn.XLOOKUP(A2764,'DISPATCH SHEET'!C$3:C$121,'DISPATCH SHEET'!#REF!,""))</f>
        <v/>
      </c>
    </row>
    <row r="2765" spans="2:3" x14ac:dyDescent="0.2">
      <c r="B2765" s="14" t="str">
        <f>IF(A2765="","",_xlfn.XLOOKUP(A2765,'DISPATCH SHEET'!B$3:B$121,'DISPATCH SHEET'!C$3:C$121,""))</f>
        <v/>
      </c>
      <c r="C2765" s="14" t="str">
        <f>IF(ISBLANK(A2765),"",_xlfn.XLOOKUP(A2765,'DISPATCH SHEET'!C$3:C$121,'DISPATCH SHEET'!#REF!,""))</f>
        <v/>
      </c>
    </row>
    <row r="2766" spans="2:3" x14ac:dyDescent="0.2">
      <c r="B2766" s="14" t="str">
        <f>IF(A2766="","",_xlfn.XLOOKUP(A2766,'DISPATCH SHEET'!B$3:B$121,'DISPATCH SHEET'!C$3:C$121,""))</f>
        <v/>
      </c>
      <c r="C2766" s="14" t="str">
        <f>IF(ISBLANK(A2766),"",_xlfn.XLOOKUP(A2766,'DISPATCH SHEET'!C$3:C$121,'DISPATCH SHEET'!#REF!,""))</f>
        <v/>
      </c>
    </row>
    <row r="2767" spans="2:3" x14ac:dyDescent="0.2">
      <c r="B2767" s="14" t="str">
        <f>IF(A2767="","",_xlfn.XLOOKUP(A2767,'DISPATCH SHEET'!B$3:B$121,'DISPATCH SHEET'!C$3:C$121,""))</f>
        <v/>
      </c>
      <c r="C2767" s="14" t="str">
        <f>IF(ISBLANK(A2767),"",_xlfn.XLOOKUP(A2767,'DISPATCH SHEET'!C$3:C$121,'DISPATCH SHEET'!#REF!,""))</f>
        <v/>
      </c>
    </row>
    <row r="2768" spans="2:3" x14ac:dyDescent="0.2">
      <c r="B2768" s="14" t="str">
        <f>IF(A2768="","",_xlfn.XLOOKUP(A2768,'DISPATCH SHEET'!B$3:B$121,'DISPATCH SHEET'!C$3:C$121,""))</f>
        <v/>
      </c>
      <c r="C2768" s="14" t="str">
        <f>IF(ISBLANK(A2768),"",_xlfn.XLOOKUP(A2768,'DISPATCH SHEET'!C$3:C$121,'DISPATCH SHEET'!#REF!,""))</f>
        <v/>
      </c>
    </row>
    <row r="2769" spans="2:3" x14ac:dyDescent="0.2">
      <c r="B2769" s="14" t="str">
        <f>IF(A2769="","",_xlfn.XLOOKUP(A2769,'DISPATCH SHEET'!B$3:B$121,'DISPATCH SHEET'!C$3:C$121,""))</f>
        <v/>
      </c>
      <c r="C2769" s="14" t="str">
        <f>IF(ISBLANK(A2769),"",_xlfn.XLOOKUP(A2769,'DISPATCH SHEET'!C$3:C$121,'DISPATCH SHEET'!#REF!,""))</f>
        <v/>
      </c>
    </row>
    <row r="2770" spans="2:3" x14ac:dyDescent="0.2">
      <c r="B2770" s="14" t="str">
        <f>IF(A2770="","",_xlfn.XLOOKUP(A2770,'DISPATCH SHEET'!B$3:B$121,'DISPATCH SHEET'!C$3:C$121,""))</f>
        <v/>
      </c>
      <c r="C2770" s="14" t="str">
        <f>IF(ISBLANK(A2770),"",_xlfn.XLOOKUP(A2770,'DISPATCH SHEET'!C$3:C$121,'DISPATCH SHEET'!#REF!,""))</f>
        <v/>
      </c>
    </row>
    <row r="2771" spans="2:3" x14ac:dyDescent="0.2">
      <c r="B2771" s="14" t="str">
        <f>IF(A2771="","",_xlfn.XLOOKUP(A2771,'DISPATCH SHEET'!B$3:B$121,'DISPATCH SHEET'!C$3:C$121,""))</f>
        <v/>
      </c>
      <c r="C2771" s="14" t="str">
        <f>IF(ISBLANK(A2771),"",_xlfn.XLOOKUP(A2771,'DISPATCH SHEET'!C$3:C$121,'DISPATCH SHEET'!#REF!,""))</f>
        <v/>
      </c>
    </row>
    <row r="2772" spans="2:3" x14ac:dyDescent="0.2">
      <c r="B2772" s="14" t="str">
        <f>IF(A2772="","",_xlfn.XLOOKUP(A2772,'DISPATCH SHEET'!B$3:B$121,'DISPATCH SHEET'!C$3:C$121,""))</f>
        <v/>
      </c>
      <c r="C2772" s="14" t="str">
        <f>IF(ISBLANK(A2772),"",_xlfn.XLOOKUP(A2772,'DISPATCH SHEET'!C$3:C$121,'DISPATCH SHEET'!#REF!,""))</f>
        <v/>
      </c>
    </row>
    <row r="2773" spans="2:3" x14ac:dyDescent="0.2">
      <c r="B2773" s="14" t="str">
        <f>IF(A2773="","",_xlfn.XLOOKUP(A2773,'DISPATCH SHEET'!B$3:B$121,'DISPATCH SHEET'!C$3:C$121,""))</f>
        <v/>
      </c>
      <c r="C2773" s="14" t="str">
        <f>IF(ISBLANK(A2773),"",_xlfn.XLOOKUP(A2773,'DISPATCH SHEET'!C$3:C$121,'DISPATCH SHEET'!#REF!,""))</f>
        <v/>
      </c>
    </row>
    <row r="2774" spans="2:3" x14ac:dyDescent="0.2">
      <c r="B2774" s="14" t="str">
        <f>IF(A2774="","",_xlfn.XLOOKUP(A2774,'DISPATCH SHEET'!B$3:B$121,'DISPATCH SHEET'!C$3:C$121,""))</f>
        <v/>
      </c>
      <c r="C2774" s="14" t="str">
        <f>IF(ISBLANK(A2774),"",_xlfn.XLOOKUP(A2774,'DISPATCH SHEET'!C$3:C$121,'DISPATCH SHEET'!#REF!,""))</f>
        <v/>
      </c>
    </row>
    <row r="2775" spans="2:3" x14ac:dyDescent="0.2">
      <c r="B2775" s="14" t="str">
        <f>IF(A2775="","",_xlfn.XLOOKUP(A2775,'DISPATCH SHEET'!B$3:B$121,'DISPATCH SHEET'!C$3:C$121,""))</f>
        <v/>
      </c>
      <c r="C2775" s="14" t="str">
        <f>IF(ISBLANK(A2775),"",_xlfn.XLOOKUP(A2775,'DISPATCH SHEET'!C$3:C$121,'DISPATCH SHEET'!#REF!,""))</f>
        <v/>
      </c>
    </row>
    <row r="2776" spans="2:3" x14ac:dyDescent="0.2">
      <c r="B2776" s="14" t="str">
        <f>IF(A2776="","",_xlfn.XLOOKUP(A2776,'DISPATCH SHEET'!B$3:B$121,'DISPATCH SHEET'!C$3:C$121,""))</f>
        <v/>
      </c>
      <c r="C2776" s="14" t="str">
        <f>IF(ISBLANK(A2776),"",_xlfn.XLOOKUP(A2776,'DISPATCH SHEET'!C$3:C$121,'DISPATCH SHEET'!#REF!,""))</f>
        <v/>
      </c>
    </row>
    <row r="2777" spans="2:3" x14ac:dyDescent="0.2">
      <c r="B2777" s="14" t="str">
        <f>IF(A2777="","",_xlfn.XLOOKUP(A2777,'DISPATCH SHEET'!B$3:B$121,'DISPATCH SHEET'!C$3:C$121,""))</f>
        <v/>
      </c>
      <c r="C2777" s="14" t="str">
        <f>IF(ISBLANK(A2777),"",_xlfn.XLOOKUP(A2777,'DISPATCH SHEET'!C$3:C$121,'DISPATCH SHEET'!#REF!,""))</f>
        <v/>
      </c>
    </row>
    <row r="2778" spans="2:3" x14ac:dyDescent="0.2">
      <c r="B2778" s="14" t="str">
        <f>IF(A2778="","",_xlfn.XLOOKUP(A2778,'DISPATCH SHEET'!B$3:B$121,'DISPATCH SHEET'!C$3:C$121,""))</f>
        <v/>
      </c>
      <c r="C2778" s="14" t="str">
        <f>IF(ISBLANK(A2778),"",_xlfn.XLOOKUP(A2778,'DISPATCH SHEET'!C$3:C$121,'DISPATCH SHEET'!#REF!,""))</f>
        <v/>
      </c>
    </row>
    <row r="2779" spans="2:3" x14ac:dyDescent="0.2">
      <c r="B2779" s="14" t="str">
        <f>IF(A2779="","",_xlfn.XLOOKUP(A2779,'DISPATCH SHEET'!B$3:B$121,'DISPATCH SHEET'!C$3:C$121,""))</f>
        <v/>
      </c>
      <c r="C2779" s="14" t="str">
        <f>IF(ISBLANK(A2779),"",_xlfn.XLOOKUP(A2779,'DISPATCH SHEET'!C$3:C$121,'DISPATCH SHEET'!#REF!,""))</f>
        <v/>
      </c>
    </row>
    <row r="2780" spans="2:3" x14ac:dyDescent="0.2">
      <c r="B2780" s="14" t="str">
        <f>IF(A2780="","",_xlfn.XLOOKUP(A2780,'DISPATCH SHEET'!B$3:B$121,'DISPATCH SHEET'!C$3:C$121,""))</f>
        <v/>
      </c>
      <c r="C2780" s="14" t="str">
        <f>IF(ISBLANK(A2780),"",_xlfn.XLOOKUP(A2780,'DISPATCH SHEET'!C$3:C$121,'DISPATCH SHEET'!#REF!,""))</f>
        <v/>
      </c>
    </row>
    <row r="2781" spans="2:3" x14ac:dyDescent="0.2">
      <c r="B2781" s="14" t="str">
        <f>IF(A2781="","",_xlfn.XLOOKUP(A2781,'DISPATCH SHEET'!B$3:B$121,'DISPATCH SHEET'!C$3:C$121,""))</f>
        <v/>
      </c>
      <c r="C2781" s="14" t="str">
        <f>IF(ISBLANK(A2781),"",_xlfn.XLOOKUP(A2781,'DISPATCH SHEET'!C$3:C$121,'DISPATCH SHEET'!#REF!,""))</f>
        <v/>
      </c>
    </row>
    <row r="2782" spans="2:3" x14ac:dyDescent="0.2">
      <c r="B2782" s="14" t="str">
        <f>IF(A2782="","",_xlfn.XLOOKUP(A2782,'DISPATCH SHEET'!B$3:B$121,'DISPATCH SHEET'!C$3:C$121,""))</f>
        <v/>
      </c>
      <c r="C2782" s="14" t="str">
        <f>IF(ISBLANK(A2782),"",_xlfn.XLOOKUP(A2782,'DISPATCH SHEET'!C$3:C$121,'DISPATCH SHEET'!#REF!,""))</f>
        <v/>
      </c>
    </row>
    <row r="2783" spans="2:3" x14ac:dyDescent="0.2">
      <c r="B2783" s="14" t="str">
        <f>IF(A2783="","",_xlfn.XLOOKUP(A2783,'DISPATCH SHEET'!B$3:B$121,'DISPATCH SHEET'!C$3:C$121,""))</f>
        <v/>
      </c>
      <c r="C2783" s="14" t="str">
        <f>IF(ISBLANK(A2783),"",_xlfn.XLOOKUP(A2783,'DISPATCH SHEET'!C$3:C$121,'DISPATCH SHEET'!#REF!,""))</f>
        <v/>
      </c>
    </row>
    <row r="2784" spans="2:3" x14ac:dyDescent="0.2">
      <c r="B2784" s="14" t="str">
        <f>IF(A2784="","",_xlfn.XLOOKUP(A2784,'DISPATCH SHEET'!B$3:B$121,'DISPATCH SHEET'!C$3:C$121,""))</f>
        <v/>
      </c>
      <c r="C2784" s="14" t="str">
        <f>IF(ISBLANK(A2784),"",_xlfn.XLOOKUP(A2784,'DISPATCH SHEET'!C$3:C$121,'DISPATCH SHEET'!#REF!,""))</f>
        <v/>
      </c>
    </row>
    <row r="2785" spans="2:3" x14ac:dyDescent="0.2">
      <c r="B2785" s="14" t="str">
        <f>IF(A2785="","",_xlfn.XLOOKUP(A2785,'DISPATCH SHEET'!B$3:B$121,'DISPATCH SHEET'!C$3:C$121,""))</f>
        <v/>
      </c>
      <c r="C2785" s="14" t="str">
        <f>IF(ISBLANK(A2785),"",_xlfn.XLOOKUP(A2785,'DISPATCH SHEET'!C$3:C$121,'DISPATCH SHEET'!#REF!,""))</f>
        <v/>
      </c>
    </row>
    <row r="2786" spans="2:3" x14ac:dyDescent="0.2">
      <c r="B2786" s="14" t="str">
        <f>IF(A2786="","",_xlfn.XLOOKUP(A2786,'DISPATCH SHEET'!B$3:B$121,'DISPATCH SHEET'!C$3:C$121,""))</f>
        <v/>
      </c>
      <c r="C2786" s="14" t="str">
        <f>IF(ISBLANK(A2786),"",_xlfn.XLOOKUP(A2786,'DISPATCH SHEET'!C$3:C$121,'DISPATCH SHEET'!#REF!,""))</f>
        <v/>
      </c>
    </row>
    <row r="2787" spans="2:3" x14ac:dyDescent="0.2">
      <c r="B2787" s="14" t="str">
        <f>IF(A2787="","",_xlfn.XLOOKUP(A2787,'DISPATCH SHEET'!B$3:B$121,'DISPATCH SHEET'!C$3:C$121,""))</f>
        <v/>
      </c>
      <c r="C2787" s="14" t="str">
        <f>IF(ISBLANK(A2787),"",_xlfn.XLOOKUP(A2787,'DISPATCH SHEET'!C$3:C$121,'DISPATCH SHEET'!#REF!,""))</f>
        <v/>
      </c>
    </row>
    <row r="2788" spans="2:3" x14ac:dyDescent="0.2">
      <c r="B2788" s="14" t="str">
        <f>IF(A2788="","",_xlfn.XLOOKUP(A2788,'DISPATCH SHEET'!B$3:B$121,'DISPATCH SHEET'!C$3:C$121,""))</f>
        <v/>
      </c>
      <c r="C2788" s="14" t="str">
        <f>IF(ISBLANK(A2788),"",_xlfn.XLOOKUP(A2788,'DISPATCH SHEET'!C$3:C$121,'DISPATCH SHEET'!#REF!,""))</f>
        <v/>
      </c>
    </row>
    <row r="2789" spans="2:3" x14ac:dyDescent="0.2">
      <c r="B2789" s="14" t="str">
        <f>IF(A2789="","",_xlfn.XLOOKUP(A2789,'DISPATCH SHEET'!B$3:B$121,'DISPATCH SHEET'!C$3:C$121,""))</f>
        <v/>
      </c>
      <c r="C2789" s="14" t="str">
        <f>IF(ISBLANK(A2789),"",_xlfn.XLOOKUP(A2789,'DISPATCH SHEET'!C$3:C$121,'DISPATCH SHEET'!#REF!,""))</f>
        <v/>
      </c>
    </row>
    <row r="2790" spans="2:3" x14ac:dyDescent="0.2">
      <c r="B2790" s="14" t="str">
        <f>IF(A2790="","",_xlfn.XLOOKUP(A2790,'DISPATCH SHEET'!B$3:B$121,'DISPATCH SHEET'!C$3:C$121,""))</f>
        <v/>
      </c>
      <c r="C2790" s="14" t="str">
        <f>IF(ISBLANK(A2790),"",_xlfn.XLOOKUP(A2790,'DISPATCH SHEET'!C$3:C$121,'DISPATCH SHEET'!#REF!,""))</f>
        <v/>
      </c>
    </row>
    <row r="2791" spans="2:3" x14ac:dyDescent="0.2">
      <c r="B2791" s="14" t="str">
        <f>IF(A2791="","",_xlfn.XLOOKUP(A2791,'DISPATCH SHEET'!B$3:B$121,'DISPATCH SHEET'!C$3:C$121,""))</f>
        <v/>
      </c>
      <c r="C2791" s="14" t="str">
        <f>IF(ISBLANK(A2791),"",_xlfn.XLOOKUP(A2791,'DISPATCH SHEET'!C$3:C$121,'DISPATCH SHEET'!#REF!,""))</f>
        <v/>
      </c>
    </row>
    <row r="2792" spans="2:3" x14ac:dyDescent="0.2">
      <c r="B2792" s="14" t="str">
        <f>IF(A2792="","",_xlfn.XLOOKUP(A2792,'DISPATCH SHEET'!B$3:B$121,'DISPATCH SHEET'!C$3:C$121,""))</f>
        <v/>
      </c>
      <c r="C2792" s="14" t="str">
        <f>IF(ISBLANK(A2792),"",_xlfn.XLOOKUP(A2792,'DISPATCH SHEET'!C$3:C$121,'DISPATCH SHEET'!#REF!,""))</f>
        <v/>
      </c>
    </row>
    <row r="2793" spans="2:3" x14ac:dyDescent="0.2">
      <c r="B2793" s="14" t="str">
        <f>IF(A2793="","",_xlfn.XLOOKUP(A2793,'DISPATCH SHEET'!B$3:B$121,'DISPATCH SHEET'!C$3:C$121,""))</f>
        <v/>
      </c>
      <c r="C2793" s="14" t="str">
        <f>IF(ISBLANK(A2793),"",_xlfn.XLOOKUP(A2793,'DISPATCH SHEET'!C$3:C$121,'DISPATCH SHEET'!#REF!,""))</f>
        <v/>
      </c>
    </row>
    <row r="2794" spans="2:3" x14ac:dyDescent="0.2">
      <c r="B2794" s="14" t="str">
        <f>IF(A2794="","",_xlfn.XLOOKUP(A2794,'DISPATCH SHEET'!B$3:B$121,'DISPATCH SHEET'!C$3:C$121,""))</f>
        <v/>
      </c>
      <c r="C2794" s="14" t="str">
        <f>IF(ISBLANK(A2794),"",_xlfn.XLOOKUP(A2794,'DISPATCH SHEET'!C$3:C$121,'DISPATCH SHEET'!#REF!,""))</f>
        <v/>
      </c>
    </row>
    <row r="2795" spans="2:3" x14ac:dyDescent="0.2">
      <c r="B2795" s="14" t="str">
        <f>IF(A2795="","",_xlfn.XLOOKUP(A2795,'DISPATCH SHEET'!B$3:B$121,'DISPATCH SHEET'!C$3:C$121,""))</f>
        <v/>
      </c>
      <c r="C2795" s="14" t="str">
        <f>IF(ISBLANK(A2795),"",_xlfn.XLOOKUP(A2795,'DISPATCH SHEET'!C$3:C$121,'DISPATCH SHEET'!#REF!,""))</f>
        <v/>
      </c>
    </row>
    <row r="2796" spans="2:3" x14ac:dyDescent="0.2">
      <c r="B2796" s="14" t="str">
        <f>IF(A2796="","",_xlfn.XLOOKUP(A2796,'DISPATCH SHEET'!B$3:B$121,'DISPATCH SHEET'!C$3:C$121,""))</f>
        <v/>
      </c>
      <c r="C2796" s="14" t="str">
        <f>IF(ISBLANK(A2796),"",_xlfn.XLOOKUP(A2796,'DISPATCH SHEET'!C$3:C$121,'DISPATCH SHEET'!#REF!,""))</f>
        <v/>
      </c>
    </row>
    <row r="2797" spans="2:3" x14ac:dyDescent="0.2">
      <c r="B2797" s="14" t="str">
        <f>IF(A2797="","",_xlfn.XLOOKUP(A2797,'DISPATCH SHEET'!B$3:B$121,'DISPATCH SHEET'!C$3:C$121,""))</f>
        <v/>
      </c>
      <c r="C2797" s="14" t="str">
        <f>IF(ISBLANK(A2797),"",_xlfn.XLOOKUP(A2797,'DISPATCH SHEET'!C$3:C$121,'DISPATCH SHEET'!#REF!,""))</f>
        <v/>
      </c>
    </row>
    <row r="2798" spans="2:3" x14ac:dyDescent="0.2">
      <c r="B2798" s="14" t="str">
        <f>IF(A2798="","",_xlfn.XLOOKUP(A2798,'DISPATCH SHEET'!B$3:B$121,'DISPATCH SHEET'!C$3:C$121,""))</f>
        <v/>
      </c>
      <c r="C2798" s="14" t="str">
        <f>IF(ISBLANK(A2798),"",_xlfn.XLOOKUP(A2798,'DISPATCH SHEET'!C$3:C$121,'DISPATCH SHEET'!#REF!,""))</f>
        <v/>
      </c>
    </row>
    <row r="2799" spans="2:3" x14ac:dyDescent="0.2">
      <c r="B2799" s="14" t="str">
        <f>IF(A2799="","",_xlfn.XLOOKUP(A2799,'DISPATCH SHEET'!B$3:B$121,'DISPATCH SHEET'!C$3:C$121,""))</f>
        <v/>
      </c>
      <c r="C2799" s="14" t="str">
        <f>IF(ISBLANK(A2799),"",_xlfn.XLOOKUP(A2799,'DISPATCH SHEET'!C$3:C$121,'DISPATCH SHEET'!#REF!,""))</f>
        <v/>
      </c>
    </row>
    <row r="2800" spans="2:3" x14ac:dyDescent="0.2">
      <c r="B2800" s="14" t="str">
        <f>IF(A2800="","",_xlfn.XLOOKUP(A2800,'DISPATCH SHEET'!B$3:B$121,'DISPATCH SHEET'!C$3:C$121,""))</f>
        <v/>
      </c>
      <c r="C2800" s="14" t="str">
        <f>IF(ISBLANK(A2800),"",_xlfn.XLOOKUP(A2800,'DISPATCH SHEET'!C$3:C$121,'DISPATCH SHEET'!#REF!,""))</f>
        <v/>
      </c>
    </row>
    <row r="2801" spans="2:3" x14ac:dyDescent="0.2">
      <c r="B2801" s="14" t="str">
        <f>IF(A2801="","",_xlfn.XLOOKUP(A2801,'DISPATCH SHEET'!B$3:B$121,'DISPATCH SHEET'!C$3:C$121,""))</f>
        <v/>
      </c>
      <c r="C2801" s="14" t="str">
        <f>IF(ISBLANK(A2801),"",_xlfn.XLOOKUP(A2801,'DISPATCH SHEET'!C$3:C$121,'DISPATCH SHEET'!#REF!,""))</f>
        <v/>
      </c>
    </row>
    <row r="2802" spans="2:3" x14ac:dyDescent="0.2">
      <c r="B2802" s="14" t="str">
        <f>IF(A2802="","",_xlfn.XLOOKUP(A2802,'DISPATCH SHEET'!B$3:B$121,'DISPATCH SHEET'!C$3:C$121,""))</f>
        <v/>
      </c>
      <c r="C2802" s="14" t="str">
        <f>IF(ISBLANK(A2802),"",_xlfn.XLOOKUP(A2802,'DISPATCH SHEET'!C$3:C$121,'DISPATCH SHEET'!#REF!,""))</f>
        <v/>
      </c>
    </row>
    <row r="2803" spans="2:3" x14ac:dyDescent="0.2">
      <c r="B2803" s="14" t="str">
        <f>IF(A2803="","",_xlfn.XLOOKUP(A2803,'DISPATCH SHEET'!B$3:B$121,'DISPATCH SHEET'!C$3:C$121,""))</f>
        <v/>
      </c>
      <c r="C2803" s="14" t="str">
        <f>IF(ISBLANK(A2803),"",_xlfn.XLOOKUP(A2803,'DISPATCH SHEET'!C$3:C$121,'DISPATCH SHEET'!#REF!,""))</f>
        <v/>
      </c>
    </row>
    <row r="2804" spans="2:3" x14ac:dyDescent="0.2">
      <c r="B2804" s="14" t="str">
        <f>IF(A2804="","",_xlfn.XLOOKUP(A2804,'DISPATCH SHEET'!B$3:B$121,'DISPATCH SHEET'!C$3:C$121,""))</f>
        <v/>
      </c>
      <c r="C2804" s="14" t="str">
        <f>IF(ISBLANK(A2804),"",_xlfn.XLOOKUP(A2804,'DISPATCH SHEET'!C$3:C$121,'DISPATCH SHEET'!#REF!,""))</f>
        <v/>
      </c>
    </row>
    <row r="2805" spans="2:3" x14ac:dyDescent="0.2">
      <c r="B2805" s="14" t="str">
        <f>IF(A2805="","",_xlfn.XLOOKUP(A2805,'DISPATCH SHEET'!B$3:B$121,'DISPATCH SHEET'!C$3:C$121,""))</f>
        <v/>
      </c>
      <c r="C2805" s="14" t="str">
        <f>IF(ISBLANK(A2805),"",_xlfn.XLOOKUP(A2805,'DISPATCH SHEET'!C$3:C$121,'DISPATCH SHEET'!#REF!,""))</f>
        <v/>
      </c>
    </row>
    <row r="2806" spans="2:3" x14ac:dyDescent="0.2">
      <c r="B2806" s="14" t="str">
        <f>IF(A2806="","",_xlfn.XLOOKUP(A2806,'DISPATCH SHEET'!B$3:B$121,'DISPATCH SHEET'!C$3:C$121,""))</f>
        <v/>
      </c>
      <c r="C2806" s="14" t="str">
        <f>IF(ISBLANK(A2806),"",_xlfn.XLOOKUP(A2806,'DISPATCH SHEET'!C$3:C$121,'DISPATCH SHEET'!#REF!,""))</f>
        <v/>
      </c>
    </row>
    <row r="2807" spans="2:3" x14ac:dyDescent="0.2">
      <c r="B2807" s="14" t="str">
        <f>IF(A2807="","",_xlfn.XLOOKUP(A2807,'DISPATCH SHEET'!B$3:B$121,'DISPATCH SHEET'!C$3:C$121,""))</f>
        <v/>
      </c>
      <c r="C2807" s="14" t="str">
        <f>IF(ISBLANK(A2807),"",_xlfn.XLOOKUP(A2807,'DISPATCH SHEET'!C$3:C$121,'DISPATCH SHEET'!#REF!,""))</f>
        <v/>
      </c>
    </row>
    <row r="2808" spans="2:3" x14ac:dyDescent="0.2">
      <c r="B2808" s="14" t="str">
        <f>IF(A2808="","",_xlfn.XLOOKUP(A2808,'DISPATCH SHEET'!B$3:B$121,'DISPATCH SHEET'!C$3:C$121,""))</f>
        <v/>
      </c>
      <c r="C2808" s="14" t="str">
        <f>IF(ISBLANK(A2808),"",_xlfn.XLOOKUP(A2808,'DISPATCH SHEET'!C$3:C$121,'DISPATCH SHEET'!#REF!,""))</f>
        <v/>
      </c>
    </row>
    <row r="2809" spans="2:3" x14ac:dyDescent="0.2">
      <c r="B2809" s="14" t="str">
        <f>IF(A2809="","",_xlfn.XLOOKUP(A2809,'DISPATCH SHEET'!B$3:B$121,'DISPATCH SHEET'!C$3:C$121,""))</f>
        <v/>
      </c>
      <c r="C2809" s="14" t="str">
        <f>IF(ISBLANK(A2809),"",_xlfn.XLOOKUP(A2809,'DISPATCH SHEET'!C$3:C$121,'DISPATCH SHEET'!#REF!,""))</f>
        <v/>
      </c>
    </row>
    <row r="2810" spans="2:3" x14ac:dyDescent="0.2">
      <c r="B2810" s="14" t="str">
        <f>IF(A2810="","",_xlfn.XLOOKUP(A2810,'DISPATCH SHEET'!B$3:B$121,'DISPATCH SHEET'!C$3:C$121,""))</f>
        <v/>
      </c>
      <c r="C2810" s="14" t="str">
        <f>IF(ISBLANK(A2810),"",_xlfn.XLOOKUP(A2810,'DISPATCH SHEET'!C$3:C$121,'DISPATCH SHEET'!#REF!,""))</f>
        <v/>
      </c>
    </row>
    <row r="2811" spans="2:3" x14ac:dyDescent="0.2">
      <c r="B2811" s="14" t="str">
        <f>IF(A2811="","",_xlfn.XLOOKUP(A2811,'DISPATCH SHEET'!B$3:B$121,'DISPATCH SHEET'!C$3:C$121,""))</f>
        <v/>
      </c>
      <c r="C2811" s="14" t="str">
        <f>IF(ISBLANK(A2811),"",_xlfn.XLOOKUP(A2811,'DISPATCH SHEET'!C$3:C$121,'DISPATCH SHEET'!#REF!,""))</f>
        <v/>
      </c>
    </row>
    <row r="2812" spans="2:3" x14ac:dyDescent="0.2">
      <c r="B2812" s="14" t="str">
        <f>IF(A2812="","",_xlfn.XLOOKUP(A2812,'DISPATCH SHEET'!B$3:B$121,'DISPATCH SHEET'!C$3:C$121,""))</f>
        <v/>
      </c>
      <c r="C2812" s="14" t="str">
        <f>IF(ISBLANK(A2812),"",_xlfn.XLOOKUP(A2812,'DISPATCH SHEET'!C$3:C$121,'DISPATCH SHEET'!#REF!,""))</f>
        <v/>
      </c>
    </row>
    <row r="2813" spans="2:3" x14ac:dyDescent="0.2">
      <c r="B2813" s="14" t="str">
        <f>IF(A2813="","",_xlfn.XLOOKUP(A2813,'DISPATCH SHEET'!B$3:B$121,'DISPATCH SHEET'!C$3:C$121,""))</f>
        <v/>
      </c>
      <c r="C2813" s="14" t="str">
        <f>IF(ISBLANK(A2813),"",_xlfn.XLOOKUP(A2813,'DISPATCH SHEET'!C$3:C$121,'DISPATCH SHEET'!#REF!,""))</f>
        <v/>
      </c>
    </row>
    <row r="2814" spans="2:3" x14ac:dyDescent="0.2">
      <c r="B2814" s="14" t="str">
        <f>IF(A2814="","",_xlfn.XLOOKUP(A2814,'DISPATCH SHEET'!B$3:B$121,'DISPATCH SHEET'!C$3:C$121,""))</f>
        <v/>
      </c>
      <c r="C2814" s="14" t="str">
        <f>IF(ISBLANK(A2814),"",_xlfn.XLOOKUP(A2814,'DISPATCH SHEET'!C$3:C$121,'DISPATCH SHEET'!#REF!,""))</f>
        <v/>
      </c>
    </row>
    <row r="2815" spans="2:3" x14ac:dyDescent="0.2">
      <c r="B2815" s="14" t="str">
        <f>IF(A2815="","",_xlfn.XLOOKUP(A2815,'DISPATCH SHEET'!B$3:B$121,'DISPATCH SHEET'!C$3:C$121,""))</f>
        <v/>
      </c>
      <c r="C2815" s="14" t="str">
        <f>IF(ISBLANK(A2815),"",_xlfn.XLOOKUP(A2815,'DISPATCH SHEET'!C$3:C$121,'DISPATCH SHEET'!#REF!,""))</f>
        <v/>
      </c>
    </row>
    <row r="2816" spans="2:3" x14ac:dyDescent="0.2">
      <c r="B2816" s="14" t="str">
        <f>IF(A2816="","",_xlfn.XLOOKUP(A2816,'DISPATCH SHEET'!B$3:B$121,'DISPATCH SHEET'!C$3:C$121,""))</f>
        <v/>
      </c>
      <c r="C2816" s="14" t="str">
        <f>IF(ISBLANK(A2816),"",_xlfn.XLOOKUP(A2816,'DISPATCH SHEET'!C$3:C$121,'DISPATCH SHEET'!#REF!,""))</f>
        <v/>
      </c>
    </row>
    <row r="2817" spans="2:3" x14ac:dyDescent="0.2">
      <c r="B2817" s="14" t="str">
        <f>IF(A2817="","",_xlfn.XLOOKUP(A2817,'DISPATCH SHEET'!B$3:B$121,'DISPATCH SHEET'!C$3:C$121,""))</f>
        <v/>
      </c>
      <c r="C2817" s="14" t="str">
        <f>IF(ISBLANK(A2817),"",_xlfn.XLOOKUP(A2817,'DISPATCH SHEET'!C$3:C$121,'DISPATCH SHEET'!#REF!,""))</f>
        <v/>
      </c>
    </row>
    <row r="2818" spans="2:3" x14ac:dyDescent="0.2">
      <c r="B2818" s="14" t="str">
        <f>IF(A2818="","",_xlfn.XLOOKUP(A2818,'DISPATCH SHEET'!B$3:B$121,'DISPATCH SHEET'!C$3:C$121,""))</f>
        <v/>
      </c>
      <c r="C2818" s="14" t="str">
        <f>IF(ISBLANK(A2818),"",_xlfn.XLOOKUP(A2818,'DISPATCH SHEET'!C$3:C$121,'DISPATCH SHEET'!#REF!,""))</f>
        <v/>
      </c>
    </row>
    <row r="2819" spans="2:3" x14ac:dyDescent="0.2">
      <c r="B2819" s="14" t="str">
        <f>IF(A2819="","",_xlfn.XLOOKUP(A2819,'DISPATCH SHEET'!B$3:B$121,'DISPATCH SHEET'!C$3:C$121,""))</f>
        <v/>
      </c>
      <c r="C2819" s="14" t="str">
        <f>IF(ISBLANK(A2819),"",_xlfn.XLOOKUP(A2819,'DISPATCH SHEET'!C$3:C$121,'DISPATCH SHEET'!#REF!,""))</f>
        <v/>
      </c>
    </row>
    <row r="2820" spans="2:3" x14ac:dyDescent="0.2">
      <c r="B2820" s="14" t="str">
        <f>IF(A2820="","",_xlfn.XLOOKUP(A2820,'DISPATCH SHEET'!B$3:B$121,'DISPATCH SHEET'!C$3:C$121,""))</f>
        <v/>
      </c>
      <c r="C2820" s="14" t="str">
        <f>IF(ISBLANK(A2820),"",_xlfn.XLOOKUP(A2820,'DISPATCH SHEET'!C$3:C$121,'DISPATCH SHEET'!#REF!,""))</f>
        <v/>
      </c>
    </row>
    <row r="2821" spans="2:3" x14ac:dyDescent="0.2">
      <c r="B2821" s="14" t="str">
        <f>IF(A2821="","",_xlfn.XLOOKUP(A2821,'DISPATCH SHEET'!B$3:B$121,'DISPATCH SHEET'!C$3:C$121,""))</f>
        <v/>
      </c>
      <c r="C2821" s="14" t="str">
        <f>IF(ISBLANK(A2821),"",_xlfn.XLOOKUP(A2821,'DISPATCH SHEET'!C$3:C$121,'DISPATCH SHEET'!#REF!,""))</f>
        <v/>
      </c>
    </row>
    <row r="2822" spans="2:3" x14ac:dyDescent="0.2">
      <c r="B2822" s="14" t="str">
        <f>IF(A2822="","",_xlfn.XLOOKUP(A2822,'DISPATCH SHEET'!B$3:B$121,'DISPATCH SHEET'!C$3:C$121,""))</f>
        <v/>
      </c>
      <c r="C2822" s="14" t="str">
        <f>IF(ISBLANK(A2822),"",_xlfn.XLOOKUP(A2822,'DISPATCH SHEET'!C$3:C$121,'DISPATCH SHEET'!#REF!,""))</f>
        <v/>
      </c>
    </row>
    <row r="2823" spans="2:3" x14ac:dyDescent="0.2">
      <c r="B2823" s="14" t="str">
        <f>IF(A2823="","",_xlfn.XLOOKUP(A2823,'DISPATCH SHEET'!B$3:B$121,'DISPATCH SHEET'!C$3:C$121,""))</f>
        <v/>
      </c>
      <c r="C2823" s="14" t="str">
        <f>IF(ISBLANK(A2823),"",_xlfn.XLOOKUP(A2823,'DISPATCH SHEET'!C$3:C$121,'DISPATCH SHEET'!#REF!,""))</f>
        <v/>
      </c>
    </row>
    <row r="2824" spans="2:3" x14ac:dyDescent="0.2">
      <c r="B2824" s="14" t="str">
        <f>IF(A2824="","",_xlfn.XLOOKUP(A2824,'DISPATCH SHEET'!B$3:B$121,'DISPATCH SHEET'!C$3:C$121,""))</f>
        <v/>
      </c>
      <c r="C2824" s="14" t="str">
        <f>IF(ISBLANK(A2824),"",_xlfn.XLOOKUP(A2824,'DISPATCH SHEET'!C$3:C$121,'DISPATCH SHEET'!#REF!,""))</f>
        <v/>
      </c>
    </row>
    <row r="2825" spans="2:3" x14ac:dyDescent="0.2">
      <c r="B2825" s="14" t="str">
        <f>IF(A2825="","",_xlfn.XLOOKUP(A2825,'DISPATCH SHEET'!B$3:B$121,'DISPATCH SHEET'!C$3:C$121,""))</f>
        <v/>
      </c>
      <c r="C2825" s="14" t="str">
        <f>IF(ISBLANK(A2825),"",_xlfn.XLOOKUP(A2825,'DISPATCH SHEET'!C$3:C$121,'DISPATCH SHEET'!#REF!,""))</f>
        <v/>
      </c>
    </row>
    <row r="2826" spans="2:3" x14ac:dyDescent="0.2">
      <c r="B2826" s="14" t="str">
        <f>IF(A2826="","",_xlfn.XLOOKUP(A2826,'DISPATCH SHEET'!B$3:B$121,'DISPATCH SHEET'!C$3:C$121,""))</f>
        <v/>
      </c>
      <c r="C2826" s="14" t="str">
        <f>IF(ISBLANK(A2826),"",_xlfn.XLOOKUP(A2826,'DISPATCH SHEET'!C$3:C$121,'DISPATCH SHEET'!#REF!,""))</f>
        <v/>
      </c>
    </row>
    <row r="2827" spans="2:3" x14ac:dyDescent="0.2">
      <c r="B2827" s="14" t="str">
        <f>IF(A2827="","",_xlfn.XLOOKUP(A2827,'DISPATCH SHEET'!B$3:B$121,'DISPATCH SHEET'!C$3:C$121,""))</f>
        <v/>
      </c>
      <c r="C2827" s="14" t="str">
        <f>IF(ISBLANK(A2827),"",_xlfn.XLOOKUP(A2827,'DISPATCH SHEET'!C$3:C$121,'DISPATCH SHEET'!#REF!,""))</f>
        <v/>
      </c>
    </row>
    <row r="2828" spans="2:3" x14ac:dyDescent="0.2">
      <c r="B2828" s="14" t="str">
        <f>IF(A2828="","",_xlfn.XLOOKUP(A2828,'DISPATCH SHEET'!B$3:B$121,'DISPATCH SHEET'!C$3:C$121,""))</f>
        <v/>
      </c>
      <c r="C2828" s="14" t="str">
        <f>IF(ISBLANK(A2828),"",_xlfn.XLOOKUP(A2828,'DISPATCH SHEET'!C$3:C$121,'DISPATCH SHEET'!#REF!,""))</f>
        <v/>
      </c>
    </row>
    <row r="2829" spans="2:3" x14ac:dyDescent="0.2">
      <c r="B2829" s="14" t="str">
        <f>IF(A2829="","",_xlfn.XLOOKUP(A2829,'DISPATCH SHEET'!B$3:B$121,'DISPATCH SHEET'!C$3:C$121,""))</f>
        <v/>
      </c>
      <c r="C2829" s="14" t="str">
        <f>IF(ISBLANK(A2829),"",_xlfn.XLOOKUP(A2829,'DISPATCH SHEET'!C$3:C$121,'DISPATCH SHEET'!#REF!,""))</f>
        <v/>
      </c>
    </row>
    <row r="2830" spans="2:3" x14ac:dyDescent="0.2">
      <c r="B2830" s="14" t="str">
        <f>IF(A2830="","",_xlfn.XLOOKUP(A2830,'DISPATCH SHEET'!B$3:B$121,'DISPATCH SHEET'!C$3:C$121,""))</f>
        <v/>
      </c>
      <c r="C2830" s="14" t="str">
        <f>IF(ISBLANK(A2830),"",_xlfn.XLOOKUP(A2830,'DISPATCH SHEET'!C$3:C$121,'DISPATCH SHEET'!#REF!,""))</f>
        <v/>
      </c>
    </row>
    <row r="2831" spans="2:3" x14ac:dyDescent="0.2">
      <c r="B2831" s="14" t="str">
        <f>IF(A2831="","",_xlfn.XLOOKUP(A2831,'DISPATCH SHEET'!B$3:B$121,'DISPATCH SHEET'!C$3:C$121,""))</f>
        <v/>
      </c>
      <c r="C2831" s="14" t="str">
        <f>IF(ISBLANK(A2831),"",_xlfn.XLOOKUP(A2831,'DISPATCH SHEET'!C$3:C$121,'DISPATCH SHEET'!#REF!,""))</f>
        <v/>
      </c>
    </row>
    <row r="2832" spans="2:3" x14ac:dyDescent="0.2">
      <c r="B2832" s="14" t="str">
        <f>IF(A2832="","",_xlfn.XLOOKUP(A2832,'DISPATCH SHEET'!B$3:B$121,'DISPATCH SHEET'!C$3:C$121,""))</f>
        <v/>
      </c>
      <c r="C2832" s="14" t="str">
        <f>IF(ISBLANK(A2832),"",_xlfn.XLOOKUP(A2832,'DISPATCH SHEET'!C$3:C$121,'DISPATCH SHEET'!#REF!,""))</f>
        <v/>
      </c>
    </row>
    <row r="2833" spans="2:3" x14ac:dyDescent="0.2">
      <c r="B2833" s="14" t="str">
        <f>IF(A2833="","",_xlfn.XLOOKUP(A2833,'DISPATCH SHEET'!B$3:B$121,'DISPATCH SHEET'!C$3:C$121,""))</f>
        <v/>
      </c>
      <c r="C2833" s="14" t="str">
        <f>IF(ISBLANK(A2833),"",_xlfn.XLOOKUP(A2833,'DISPATCH SHEET'!C$3:C$121,'DISPATCH SHEET'!#REF!,""))</f>
        <v/>
      </c>
    </row>
    <row r="2834" spans="2:3" x14ac:dyDescent="0.2">
      <c r="B2834" s="14" t="str">
        <f>IF(A2834="","",_xlfn.XLOOKUP(A2834,'DISPATCH SHEET'!B$3:B$121,'DISPATCH SHEET'!C$3:C$121,""))</f>
        <v/>
      </c>
      <c r="C2834" s="14" t="str">
        <f>IF(ISBLANK(A2834),"",_xlfn.XLOOKUP(A2834,'DISPATCH SHEET'!C$3:C$121,'DISPATCH SHEET'!#REF!,""))</f>
        <v/>
      </c>
    </row>
    <row r="2835" spans="2:3" x14ac:dyDescent="0.2">
      <c r="B2835" s="14" t="str">
        <f>IF(A2835="","",_xlfn.XLOOKUP(A2835,'DISPATCH SHEET'!B$3:B$121,'DISPATCH SHEET'!C$3:C$121,""))</f>
        <v/>
      </c>
      <c r="C2835" s="14" t="str">
        <f>IF(ISBLANK(A2835),"",_xlfn.XLOOKUP(A2835,'DISPATCH SHEET'!C$3:C$121,'DISPATCH SHEET'!#REF!,""))</f>
        <v/>
      </c>
    </row>
    <row r="2836" spans="2:3" x14ac:dyDescent="0.2">
      <c r="B2836" s="14" t="str">
        <f>IF(A2836="","",_xlfn.XLOOKUP(A2836,'DISPATCH SHEET'!B$3:B$121,'DISPATCH SHEET'!C$3:C$121,""))</f>
        <v/>
      </c>
      <c r="C2836" s="14" t="str">
        <f>IF(ISBLANK(A2836),"",_xlfn.XLOOKUP(A2836,'DISPATCH SHEET'!C$3:C$121,'DISPATCH SHEET'!#REF!,""))</f>
        <v/>
      </c>
    </row>
    <row r="2837" spans="2:3" x14ac:dyDescent="0.2">
      <c r="B2837" s="14" t="str">
        <f>IF(A2837="","",_xlfn.XLOOKUP(A2837,'DISPATCH SHEET'!B$3:B$121,'DISPATCH SHEET'!C$3:C$121,""))</f>
        <v/>
      </c>
      <c r="C2837" s="14" t="str">
        <f>IF(ISBLANK(A2837),"",_xlfn.XLOOKUP(A2837,'DISPATCH SHEET'!C$3:C$121,'DISPATCH SHEET'!#REF!,""))</f>
        <v/>
      </c>
    </row>
    <row r="2838" spans="2:3" x14ac:dyDescent="0.2">
      <c r="B2838" s="14" t="str">
        <f>IF(A2838="","",_xlfn.XLOOKUP(A2838,'DISPATCH SHEET'!B$3:B$121,'DISPATCH SHEET'!C$3:C$121,""))</f>
        <v/>
      </c>
      <c r="C2838" s="14" t="str">
        <f>IF(ISBLANK(A2838),"",_xlfn.XLOOKUP(A2838,'DISPATCH SHEET'!C$3:C$121,'DISPATCH SHEET'!#REF!,""))</f>
        <v/>
      </c>
    </row>
    <row r="2839" spans="2:3" x14ac:dyDescent="0.2">
      <c r="B2839" s="14" t="str">
        <f>IF(A2839="","",_xlfn.XLOOKUP(A2839,'DISPATCH SHEET'!B$3:B$121,'DISPATCH SHEET'!C$3:C$121,""))</f>
        <v/>
      </c>
      <c r="C2839" s="14" t="str">
        <f>IF(ISBLANK(A2839),"",_xlfn.XLOOKUP(A2839,'DISPATCH SHEET'!C$3:C$121,'DISPATCH SHEET'!#REF!,""))</f>
        <v/>
      </c>
    </row>
    <row r="2840" spans="2:3" x14ac:dyDescent="0.2">
      <c r="B2840" s="14" t="str">
        <f>IF(A2840="","",_xlfn.XLOOKUP(A2840,'DISPATCH SHEET'!B$3:B$121,'DISPATCH SHEET'!C$3:C$121,""))</f>
        <v/>
      </c>
      <c r="C2840" s="14" t="str">
        <f>IF(ISBLANK(A2840),"",_xlfn.XLOOKUP(A2840,'DISPATCH SHEET'!C$3:C$121,'DISPATCH SHEET'!#REF!,""))</f>
        <v/>
      </c>
    </row>
    <row r="2841" spans="2:3" x14ac:dyDescent="0.2">
      <c r="B2841" s="14" t="str">
        <f>IF(A2841="","",_xlfn.XLOOKUP(A2841,'DISPATCH SHEET'!B$3:B$121,'DISPATCH SHEET'!C$3:C$121,""))</f>
        <v/>
      </c>
      <c r="C2841" s="14" t="str">
        <f>IF(ISBLANK(A2841),"",_xlfn.XLOOKUP(A2841,'DISPATCH SHEET'!C$3:C$121,'DISPATCH SHEET'!#REF!,""))</f>
        <v/>
      </c>
    </row>
    <row r="2842" spans="2:3" x14ac:dyDescent="0.2">
      <c r="B2842" s="14" t="str">
        <f>IF(A2842="","",_xlfn.XLOOKUP(A2842,'DISPATCH SHEET'!B$3:B$121,'DISPATCH SHEET'!C$3:C$121,""))</f>
        <v/>
      </c>
      <c r="C2842" s="14" t="str">
        <f>IF(ISBLANK(A2842),"",_xlfn.XLOOKUP(A2842,'DISPATCH SHEET'!C$3:C$121,'DISPATCH SHEET'!#REF!,""))</f>
        <v/>
      </c>
    </row>
    <row r="2843" spans="2:3" x14ac:dyDescent="0.2">
      <c r="B2843" s="14" t="str">
        <f>IF(A2843="","",_xlfn.XLOOKUP(A2843,'DISPATCH SHEET'!B$3:B$121,'DISPATCH SHEET'!C$3:C$121,""))</f>
        <v/>
      </c>
      <c r="C2843" s="14" t="str">
        <f>IF(ISBLANK(A2843),"",_xlfn.XLOOKUP(A2843,'DISPATCH SHEET'!C$3:C$121,'DISPATCH SHEET'!#REF!,""))</f>
        <v/>
      </c>
    </row>
    <row r="2844" spans="2:3" x14ac:dyDescent="0.2">
      <c r="B2844" s="14" t="str">
        <f>IF(A2844="","",_xlfn.XLOOKUP(A2844,'DISPATCH SHEET'!B$3:B$121,'DISPATCH SHEET'!C$3:C$121,""))</f>
        <v/>
      </c>
      <c r="C2844" s="14" t="str">
        <f>IF(ISBLANK(A2844),"",_xlfn.XLOOKUP(A2844,'DISPATCH SHEET'!C$3:C$121,'DISPATCH SHEET'!#REF!,""))</f>
        <v/>
      </c>
    </row>
    <row r="2845" spans="2:3" x14ac:dyDescent="0.2">
      <c r="B2845" s="14" t="str">
        <f>IF(A2845="","",_xlfn.XLOOKUP(A2845,'DISPATCH SHEET'!B$3:B$121,'DISPATCH SHEET'!C$3:C$121,""))</f>
        <v/>
      </c>
      <c r="C2845" s="14" t="str">
        <f>IF(ISBLANK(A2845),"",_xlfn.XLOOKUP(A2845,'DISPATCH SHEET'!C$3:C$121,'DISPATCH SHEET'!#REF!,""))</f>
        <v/>
      </c>
    </row>
    <row r="2846" spans="2:3" x14ac:dyDescent="0.2">
      <c r="B2846" s="14" t="str">
        <f>IF(A2846="","",_xlfn.XLOOKUP(A2846,'DISPATCH SHEET'!B$3:B$121,'DISPATCH SHEET'!C$3:C$121,""))</f>
        <v/>
      </c>
      <c r="C2846" s="14" t="str">
        <f>IF(ISBLANK(A2846),"",_xlfn.XLOOKUP(A2846,'DISPATCH SHEET'!C$3:C$121,'DISPATCH SHEET'!#REF!,""))</f>
        <v/>
      </c>
    </row>
    <row r="2847" spans="2:3" x14ac:dyDescent="0.2">
      <c r="B2847" s="14" t="str">
        <f>IF(A2847="","",_xlfn.XLOOKUP(A2847,'DISPATCH SHEET'!B$3:B$121,'DISPATCH SHEET'!C$3:C$121,""))</f>
        <v/>
      </c>
      <c r="C2847" s="14" t="str">
        <f>IF(ISBLANK(A2847),"",_xlfn.XLOOKUP(A2847,'DISPATCH SHEET'!C$3:C$121,'DISPATCH SHEET'!#REF!,""))</f>
        <v/>
      </c>
    </row>
    <row r="2848" spans="2:3" x14ac:dyDescent="0.2">
      <c r="B2848" s="14" t="str">
        <f>IF(A2848="","",_xlfn.XLOOKUP(A2848,'DISPATCH SHEET'!B$3:B$121,'DISPATCH SHEET'!C$3:C$121,""))</f>
        <v/>
      </c>
      <c r="C2848" s="14" t="str">
        <f>IF(ISBLANK(A2848),"",_xlfn.XLOOKUP(A2848,'DISPATCH SHEET'!C$3:C$121,'DISPATCH SHEET'!#REF!,""))</f>
        <v/>
      </c>
    </row>
    <row r="2849" spans="2:3" x14ac:dyDescent="0.2">
      <c r="B2849" s="14" t="str">
        <f>IF(A2849="","",_xlfn.XLOOKUP(A2849,'DISPATCH SHEET'!B$3:B$121,'DISPATCH SHEET'!C$3:C$121,""))</f>
        <v/>
      </c>
      <c r="C2849" s="14" t="str">
        <f>IF(ISBLANK(A2849),"",_xlfn.XLOOKUP(A2849,'DISPATCH SHEET'!C$3:C$121,'DISPATCH SHEET'!#REF!,""))</f>
        <v/>
      </c>
    </row>
    <row r="2850" spans="2:3" x14ac:dyDescent="0.2">
      <c r="B2850" s="14" t="str">
        <f>IF(A2850="","",_xlfn.XLOOKUP(A2850,'DISPATCH SHEET'!B$3:B$121,'DISPATCH SHEET'!C$3:C$121,""))</f>
        <v/>
      </c>
      <c r="C2850" s="14" t="str">
        <f>IF(ISBLANK(A2850),"",_xlfn.XLOOKUP(A2850,'DISPATCH SHEET'!C$3:C$121,'DISPATCH SHEET'!#REF!,""))</f>
        <v/>
      </c>
    </row>
    <row r="2851" spans="2:3" x14ac:dyDescent="0.2">
      <c r="B2851" s="14" t="str">
        <f>IF(A2851="","",_xlfn.XLOOKUP(A2851,'DISPATCH SHEET'!B$3:B$121,'DISPATCH SHEET'!C$3:C$121,""))</f>
        <v/>
      </c>
      <c r="C2851" s="14" t="str">
        <f>IF(ISBLANK(A2851),"",_xlfn.XLOOKUP(A2851,'DISPATCH SHEET'!C$3:C$121,'DISPATCH SHEET'!#REF!,""))</f>
        <v/>
      </c>
    </row>
    <row r="2852" spans="2:3" x14ac:dyDescent="0.2">
      <c r="B2852" s="14" t="str">
        <f>IF(A2852="","",_xlfn.XLOOKUP(A2852,'DISPATCH SHEET'!B$3:B$121,'DISPATCH SHEET'!C$3:C$121,""))</f>
        <v/>
      </c>
      <c r="C2852" s="14" t="str">
        <f>IF(ISBLANK(A2852),"",_xlfn.XLOOKUP(A2852,'DISPATCH SHEET'!C$3:C$121,'DISPATCH SHEET'!#REF!,""))</f>
        <v/>
      </c>
    </row>
    <row r="2853" spans="2:3" x14ac:dyDescent="0.2">
      <c r="B2853" s="14" t="str">
        <f>IF(A2853="","",_xlfn.XLOOKUP(A2853,'DISPATCH SHEET'!B$3:B$121,'DISPATCH SHEET'!C$3:C$121,""))</f>
        <v/>
      </c>
      <c r="C2853" s="14" t="str">
        <f>IF(ISBLANK(A2853),"",_xlfn.XLOOKUP(A2853,'DISPATCH SHEET'!C$3:C$121,'DISPATCH SHEET'!#REF!,""))</f>
        <v/>
      </c>
    </row>
    <row r="2854" spans="2:3" x14ac:dyDescent="0.2">
      <c r="B2854" s="14" t="str">
        <f>IF(A2854="","",_xlfn.XLOOKUP(A2854,'DISPATCH SHEET'!B$3:B$121,'DISPATCH SHEET'!C$3:C$121,""))</f>
        <v/>
      </c>
      <c r="C2854" s="14" t="str">
        <f>IF(ISBLANK(A2854),"",_xlfn.XLOOKUP(A2854,'DISPATCH SHEET'!C$3:C$121,'DISPATCH SHEET'!#REF!,""))</f>
        <v/>
      </c>
    </row>
    <row r="2855" spans="2:3" x14ac:dyDescent="0.2">
      <c r="B2855" s="14" t="str">
        <f>IF(A2855="","",_xlfn.XLOOKUP(A2855,'DISPATCH SHEET'!B$3:B$121,'DISPATCH SHEET'!C$3:C$121,""))</f>
        <v/>
      </c>
      <c r="C2855" s="14" t="str">
        <f>IF(ISBLANK(A2855),"",_xlfn.XLOOKUP(A2855,'DISPATCH SHEET'!C$3:C$121,'DISPATCH SHEET'!#REF!,""))</f>
        <v/>
      </c>
    </row>
    <row r="2856" spans="2:3" x14ac:dyDescent="0.2">
      <c r="B2856" s="14" t="str">
        <f>IF(A2856="","",_xlfn.XLOOKUP(A2856,'DISPATCH SHEET'!B$3:B$121,'DISPATCH SHEET'!C$3:C$121,""))</f>
        <v/>
      </c>
      <c r="C2856" s="14" t="str">
        <f>IF(ISBLANK(A2856),"",_xlfn.XLOOKUP(A2856,'DISPATCH SHEET'!C$3:C$121,'DISPATCH SHEET'!#REF!,""))</f>
        <v/>
      </c>
    </row>
    <row r="2857" spans="2:3" x14ac:dyDescent="0.2">
      <c r="B2857" s="14" t="str">
        <f>IF(A2857="","",_xlfn.XLOOKUP(A2857,'DISPATCH SHEET'!B$3:B$121,'DISPATCH SHEET'!C$3:C$121,""))</f>
        <v/>
      </c>
      <c r="C2857" s="14" t="str">
        <f>IF(ISBLANK(A2857),"",_xlfn.XLOOKUP(A2857,'DISPATCH SHEET'!C$3:C$121,'DISPATCH SHEET'!#REF!,""))</f>
        <v/>
      </c>
    </row>
    <row r="2858" spans="2:3" x14ac:dyDescent="0.2">
      <c r="B2858" s="14" t="str">
        <f>IF(A2858="","",_xlfn.XLOOKUP(A2858,'DISPATCH SHEET'!B$3:B$121,'DISPATCH SHEET'!C$3:C$121,""))</f>
        <v/>
      </c>
      <c r="C2858" s="14" t="str">
        <f>IF(ISBLANK(A2858),"",_xlfn.XLOOKUP(A2858,'DISPATCH SHEET'!C$3:C$121,'DISPATCH SHEET'!#REF!,""))</f>
        <v/>
      </c>
    </row>
    <row r="2859" spans="2:3" x14ac:dyDescent="0.2">
      <c r="B2859" s="14" t="str">
        <f>IF(A2859="","",_xlfn.XLOOKUP(A2859,'DISPATCH SHEET'!B$3:B$121,'DISPATCH SHEET'!C$3:C$121,""))</f>
        <v/>
      </c>
      <c r="C2859" s="14" t="str">
        <f>IF(ISBLANK(A2859),"",_xlfn.XLOOKUP(A2859,'DISPATCH SHEET'!C$3:C$121,'DISPATCH SHEET'!#REF!,""))</f>
        <v/>
      </c>
    </row>
    <row r="2860" spans="2:3" x14ac:dyDescent="0.2">
      <c r="B2860" s="14" t="str">
        <f>IF(A2860="","",_xlfn.XLOOKUP(A2860,'DISPATCH SHEET'!B$3:B$121,'DISPATCH SHEET'!C$3:C$121,""))</f>
        <v/>
      </c>
      <c r="C2860" s="14" t="str">
        <f>IF(ISBLANK(A2860),"",_xlfn.XLOOKUP(A2860,'DISPATCH SHEET'!C$3:C$121,'DISPATCH SHEET'!#REF!,""))</f>
        <v/>
      </c>
    </row>
    <row r="2861" spans="2:3" x14ac:dyDescent="0.2">
      <c r="B2861" s="14" t="str">
        <f>IF(A2861="","",_xlfn.XLOOKUP(A2861,'DISPATCH SHEET'!B$3:B$121,'DISPATCH SHEET'!C$3:C$121,""))</f>
        <v/>
      </c>
      <c r="C2861" s="14" t="str">
        <f>IF(ISBLANK(A2861),"",_xlfn.XLOOKUP(A2861,'DISPATCH SHEET'!C$3:C$121,'DISPATCH SHEET'!#REF!,""))</f>
        <v/>
      </c>
    </row>
    <row r="2862" spans="2:3" x14ac:dyDescent="0.2">
      <c r="B2862" s="14" t="str">
        <f>IF(A2862="","",_xlfn.XLOOKUP(A2862,'DISPATCH SHEET'!B$3:B$121,'DISPATCH SHEET'!C$3:C$121,""))</f>
        <v/>
      </c>
      <c r="C2862" s="14" t="str">
        <f>IF(ISBLANK(A2862),"",_xlfn.XLOOKUP(A2862,'DISPATCH SHEET'!C$3:C$121,'DISPATCH SHEET'!#REF!,""))</f>
        <v/>
      </c>
    </row>
    <row r="2863" spans="2:3" x14ac:dyDescent="0.2">
      <c r="B2863" s="14" t="str">
        <f>IF(A2863="","",_xlfn.XLOOKUP(A2863,'DISPATCH SHEET'!B$3:B$121,'DISPATCH SHEET'!C$3:C$121,""))</f>
        <v/>
      </c>
      <c r="C2863" s="14" t="str">
        <f>IF(ISBLANK(A2863),"",_xlfn.XLOOKUP(A2863,'DISPATCH SHEET'!C$3:C$121,'DISPATCH SHEET'!#REF!,""))</f>
        <v/>
      </c>
    </row>
    <row r="2864" spans="2:3" x14ac:dyDescent="0.2">
      <c r="B2864" s="14" t="str">
        <f>IF(A2864="","",_xlfn.XLOOKUP(A2864,'DISPATCH SHEET'!B$3:B$121,'DISPATCH SHEET'!C$3:C$121,""))</f>
        <v/>
      </c>
      <c r="C2864" s="14" t="str">
        <f>IF(ISBLANK(A2864),"",_xlfn.XLOOKUP(A2864,'DISPATCH SHEET'!C$3:C$121,'DISPATCH SHEET'!#REF!,""))</f>
        <v/>
      </c>
    </row>
    <row r="2865" spans="2:3" x14ac:dyDescent="0.2">
      <c r="B2865" s="14" t="str">
        <f>IF(A2865="","",_xlfn.XLOOKUP(A2865,'DISPATCH SHEET'!B$3:B$121,'DISPATCH SHEET'!C$3:C$121,""))</f>
        <v/>
      </c>
      <c r="C2865" s="14" t="str">
        <f>IF(ISBLANK(A2865),"",_xlfn.XLOOKUP(A2865,'DISPATCH SHEET'!C$3:C$121,'DISPATCH SHEET'!#REF!,""))</f>
        <v/>
      </c>
    </row>
    <row r="2866" spans="2:3" x14ac:dyDescent="0.2">
      <c r="B2866" s="14" t="str">
        <f>IF(A2866="","",_xlfn.XLOOKUP(A2866,'DISPATCH SHEET'!B$3:B$121,'DISPATCH SHEET'!C$3:C$121,""))</f>
        <v/>
      </c>
      <c r="C2866" s="14" t="str">
        <f>IF(ISBLANK(A2866),"",_xlfn.XLOOKUP(A2866,'DISPATCH SHEET'!C$3:C$121,'DISPATCH SHEET'!#REF!,""))</f>
        <v/>
      </c>
    </row>
    <row r="2867" spans="2:3" x14ac:dyDescent="0.2">
      <c r="B2867" s="14" t="str">
        <f>IF(A2867="","",_xlfn.XLOOKUP(A2867,'DISPATCH SHEET'!B$3:B$121,'DISPATCH SHEET'!C$3:C$121,""))</f>
        <v/>
      </c>
      <c r="C2867" s="14" t="str">
        <f>IF(ISBLANK(A2867),"",_xlfn.XLOOKUP(A2867,'DISPATCH SHEET'!C$3:C$121,'DISPATCH SHEET'!#REF!,""))</f>
        <v/>
      </c>
    </row>
    <row r="2868" spans="2:3" x14ac:dyDescent="0.2">
      <c r="B2868" s="14" t="str">
        <f>IF(A2868="","",_xlfn.XLOOKUP(A2868,'DISPATCH SHEET'!B$3:B$121,'DISPATCH SHEET'!C$3:C$121,""))</f>
        <v/>
      </c>
      <c r="C2868" s="14" t="str">
        <f>IF(ISBLANK(A2868),"",_xlfn.XLOOKUP(A2868,'DISPATCH SHEET'!C$3:C$121,'DISPATCH SHEET'!#REF!,""))</f>
        <v/>
      </c>
    </row>
    <row r="2869" spans="2:3" x14ac:dyDescent="0.2">
      <c r="B2869" s="14" t="str">
        <f>IF(A2869="","",_xlfn.XLOOKUP(A2869,'DISPATCH SHEET'!B$3:B$121,'DISPATCH SHEET'!C$3:C$121,""))</f>
        <v/>
      </c>
      <c r="C2869" s="14" t="str">
        <f>IF(ISBLANK(A2869),"",_xlfn.XLOOKUP(A2869,'DISPATCH SHEET'!C$3:C$121,'DISPATCH SHEET'!#REF!,""))</f>
        <v/>
      </c>
    </row>
    <row r="2870" spans="2:3" x14ac:dyDescent="0.2">
      <c r="B2870" s="14" t="str">
        <f>IF(A2870="","",_xlfn.XLOOKUP(A2870,'DISPATCH SHEET'!B$3:B$121,'DISPATCH SHEET'!C$3:C$121,""))</f>
        <v/>
      </c>
      <c r="C2870" s="14" t="str">
        <f>IF(ISBLANK(A2870),"",_xlfn.XLOOKUP(A2870,'DISPATCH SHEET'!C$3:C$121,'DISPATCH SHEET'!#REF!,""))</f>
        <v/>
      </c>
    </row>
    <row r="2871" spans="2:3" x14ac:dyDescent="0.2">
      <c r="B2871" s="14" t="str">
        <f>IF(A2871="","",_xlfn.XLOOKUP(A2871,'DISPATCH SHEET'!B$3:B$121,'DISPATCH SHEET'!C$3:C$121,""))</f>
        <v/>
      </c>
      <c r="C2871" s="14" t="str">
        <f>IF(ISBLANK(A2871),"",_xlfn.XLOOKUP(A2871,'DISPATCH SHEET'!C$3:C$121,'DISPATCH SHEET'!#REF!,""))</f>
        <v/>
      </c>
    </row>
    <row r="2872" spans="2:3" x14ac:dyDescent="0.2">
      <c r="B2872" s="14" t="str">
        <f>IF(A2872="","",_xlfn.XLOOKUP(A2872,'DISPATCH SHEET'!B$3:B$121,'DISPATCH SHEET'!C$3:C$121,""))</f>
        <v/>
      </c>
      <c r="C2872" s="14" t="str">
        <f>IF(ISBLANK(A2872),"",_xlfn.XLOOKUP(A2872,'DISPATCH SHEET'!C$3:C$121,'DISPATCH SHEET'!#REF!,""))</f>
        <v/>
      </c>
    </row>
    <row r="2873" spans="2:3" x14ac:dyDescent="0.2">
      <c r="B2873" s="14" t="str">
        <f>IF(A2873="","",_xlfn.XLOOKUP(A2873,'DISPATCH SHEET'!B$3:B$121,'DISPATCH SHEET'!C$3:C$121,""))</f>
        <v/>
      </c>
      <c r="C2873" s="14" t="str">
        <f>IF(ISBLANK(A2873),"",_xlfn.XLOOKUP(A2873,'DISPATCH SHEET'!C$3:C$121,'DISPATCH SHEET'!#REF!,""))</f>
        <v/>
      </c>
    </row>
    <row r="2874" spans="2:3" x14ac:dyDescent="0.2">
      <c r="B2874" s="14" t="str">
        <f>IF(A2874="","",_xlfn.XLOOKUP(A2874,'DISPATCH SHEET'!B$3:B$121,'DISPATCH SHEET'!C$3:C$121,""))</f>
        <v/>
      </c>
      <c r="C2874" s="14" t="str">
        <f>IF(ISBLANK(A2874),"",_xlfn.XLOOKUP(A2874,'DISPATCH SHEET'!C$3:C$121,'DISPATCH SHEET'!#REF!,""))</f>
        <v/>
      </c>
    </row>
    <row r="2875" spans="2:3" x14ac:dyDescent="0.2">
      <c r="B2875" s="14" t="str">
        <f>IF(A2875="","",_xlfn.XLOOKUP(A2875,'DISPATCH SHEET'!B$3:B$121,'DISPATCH SHEET'!C$3:C$121,""))</f>
        <v/>
      </c>
      <c r="C2875" s="14" t="str">
        <f>IF(ISBLANK(A2875),"",_xlfn.XLOOKUP(A2875,'DISPATCH SHEET'!C$3:C$121,'DISPATCH SHEET'!#REF!,""))</f>
        <v/>
      </c>
    </row>
    <row r="2876" spans="2:3" x14ac:dyDescent="0.2">
      <c r="B2876" s="14" t="str">
        <f>IF(A2876="","",_xlfn.XLOOKUP(A2876,'DISPATCH SHEET'!B$3:B$121,'DISPATCH SHEET'!C$3:C$121,""))</f>
        <v/>
      </c>
      <c r="C2876" s="14" t="str">
        <f>IF(ISBLANK(A2876),"",_xlfn.XLOOKUP(A2876,'DISPATCH SHEET'!C$3:C$121,'DISPATCH SHEET'!#REF!,""))</f>
        <v/>
      </c>
    </row>
    <row r="2877" spans="2:3" x14ac:dyDescent="0.2">
      <c r="B2877" s="14" t="str">
        <f>IF(A2877="","",_xlfn.XLOOKUP(A2877,'DISPATCH SHEET'!B$3:B$121,'DISPATCH SHEET'!C$3:C$121,""))</f>
        <v/>
      </c>
      <c r="C2877" s="14" t="str">
        <f>IF(ISBLANK(A2877),"",_xlfn.XLOOKUP(A2877,'DISPATCH SHEET'!C$3:C$121,'DISPATCH SHEET'!#REF!,""))</f>
        <v/>
      </c>
    </row>
    <row r="2878" spans="2:3" x14ac:dyDescent="0.2">
      <c r="B2878" s="14" t="str">
        <f>IF(A2878="","",_xlfn.XLOOKUP(A2878,'DISPATCH SHEET'!B$3:B$121,'DISPATCH SHEET'!C$3:C$121,""))</f>
        <v/>
      </c>
      <c r="C2878" s="14" t="str">
        <f>IF(ISBLANK(A2878),"",_xlfn.XLOOKUP(A2878,'DISPATCH SHEET'!C$3:C$121,'DISPATCH SHEET'!#REF!,""))</f>
        <v/>
      </c>
    </row>
    <row r="2879" spans="2:3" x14ac:dyDescent="0.2">
      <c r="B2879" s="14" t="str">
        <f>IF(A2879="","",_xlfn.XLOOKUP(A2879,'DISPATCH SHEET'!B$3:B$121,'DISPATCH SHEET'!C$3:C$121,""))</f>
        <v/>
      </c>
      <c r="C2879" s="14" t="str">
        <f>IF(ISBLANK(A2879),"",_xlfn.XLOOKUP(A2879,'DISPATCH SHEET'!C$3:C$121,'DISPATCH SHEET'!#REF!,""))</f>
        <v/>
      </c>
    </row>
    <row r="2880" spans="2:3" x14ac:dyDescent="0.2">
      <c r="B2880" s="14" t="str">
        <f>IF(A2880="","",_xlfn.XLOOKUP(A2880,'DISPATCH SHEET'!B$3:B$121,'DISPATCH SHEET'!C$3:C$121,""))</f>
        <v/>
      </c>
      <c r="C2880" s="14" t="str">
        <f>IF(ISBLANK(A2880),"",_xlfn.XLOOKUP(A2880,'DISPATCH SHEET'!C$3:C$121,'DISPATCH SHEET'!#REF!,""))</f>
        <v/>
      </c>
    </row>
    <row r="2881" spans="2:3" x14ac:dyDescent="0.2">
      <c r="B2881" s="14" t="str">
        <f>IF(A2881="","",_xlfn.XLOOKUP(A2881,'DISPATCH SHEET'!B$3:B$121,'DISPATCH SHEET'!C$3:C$121,""))</f>
        <v/>
      </c>
      <c r="C2881" s="14" t="str">
        <f>IF(ISBLANK(A2881),"",_xlfn.XLOOKUP(A2881,'DISPATCH SHEET'!C$3:C$121,'DISPATCH SHEET'!#REF!,""))</f>
        <v/>
      </c>
    </row>
    <row r="2882" spans="2:3" x14ac:dyDescent="0.2">
      <c r="B2882" s="14" t="str">
        <f>IF(A2882="","",_xlfn.XLOOKUP(A2882,'DISPATCH SHEET'!B$3:B$121,'DISPATCH SHEET'!C$3:C$121,""))</f>
        <v/>
      </c>
      <c r="C2882" s="14" t="str">
        <f>IF(ISBLANK(A2882),"",_xlfn.XLOOKUP(A2882,'DISPATCH SHEET'!C$3:C$121,'DISPATCH SHEET'!#REF!,""))</f>
        <v/>
      </c>
    </row>
    <row r="2883" spans="2:3" x14ac:dyDescent="0.2">
      <c r="B2883" s="14" t="str">
        <f>IF(A2883="","",_xlfn.XLOOKUP(A2883,'DISPATCH SHEET'!B$3:B$121,'DISPATCH SHEET'!C$3:C$121,""))</f>
        <v/>
      </c>
      <c r="C2883" s="14" t="str">
        <f>IF(ISBLANK(A2883),"",_xlfn.XLOOKUP(A2883,'DISPATCH SHEET'!C$3:C$121,'DISPATCH SHEET'!#REF!,""))</f>
        <v/>
      </c>
    </row>
    <row r="2884" spans="2:3" x14ac:dyDescent="0.2">
      <c r="B2884" s="14" t="str">
        <f>IF(A2884="","",_xlfn.XLOOKUP(A2884,'DISPATCH SHEET'!B$3:B$121,'DISPATCH SHEET'!C$3:C$121,""))</f>
        <v/>
      </c>
      <c r="C2884" s="14" t="str">
        <f>IF(ISBLANK(A2884),"",_xlfn.XLOOKUP(A2884,'DISPATCH SHEET'!C$3:C$121,'DISPATCH SHEET'!#REF!,""))</f>
        <v/>
      </c>
    </row>
    <row r="2885" spans="2:3" x14ac:dyDescent="0.2">
      <c r="B2885" s="14" t="str">
        <f>IF(A2885="","",_xlfn.XLOOKUP(A2885,'DISPATCH SHEET'!B$3:B$121,'DISPATCH SHEET'!C$3:C$121,""))</f>
        <v/>
      </c>
      <c r="C2885" s="14" t="str">
        <f>IF(ISBLANK(A2885),"",_xlfn.XLOOKUP(A2885,'DISPATCH SHEET'!C$3:C$121,'DISPATCH SHEET'!#REF!,""))</f>
        <v/>
      </c>
    </row>
    <row r="2886" spans="2:3" x14ac:dyDescent="0.2">
      <c r="B2886" s="14" t="str">
        <f>IF(A2886="","",_xlfn.XLOOKUP(A2886,'DISPATCH SHEET'!B$3:B$121,'DISPATCH SHEET'!C$3:C$121,""))</f>
        <v/>
      </c>
      <c r="C2886" s="14" t="str">
        <f>IF(ISBLANK(A2886),"",_xlfn.XLOOKUP(A2886,'DISPATCH SHEET'!C$3:C$121,'DISPATCH SHEET'!#REF!,""))</f>
        <v/>
      </c>
    </row>
    <row r="2887" spans="2:3" x14ac:dyDescent="0.2">
      <c r="B2887" s="14" t="str">
        <f>IF(A2887="","",_xlfn.XLOOKUP(A2887,'DISPATCH SHEET'!B$3:B$121,'DISPATCH SHEET'!C$3:C$121,""))</f>
        <v/>
      </c>
      <c r="C2887" s="14" t="str">
        <f>IF(ISBLANK(A2887),"",_xlfn.XLOOKUP(A2887,'DISPATCH SHEET'!C$3:C$121,'DISPATCH SHEET'!#REF!,""))</f>
        <v/>
      </c>
    </row>
    <row r="2888" spans="2:3" x14ac:dyDescent="0.2">
      <c r="B2888" s="14" t="str">
        <f>IF(A2888="","",_xlfn.XLOOKUP(A2888,'DISPATCH SHEET'!B$3:B$121,'DISPATCH SHEET'!C$3:C$121,""))</f>
        <v/>
      </c>
      <c r="C2888" s="14" t="str">
        <f>IF(ISBLANK(A2888),"",_xlfn.XLOOKUP(A2888,'DISPATCH SHEET'!C$3:C$121,'DISPATCH SHEET'!#REF!,""))</f>
        <v/>
      </c>
    </row>
    <row r="2889" spans="2:3" x14ac:dyDescent="0.2">
      <c r="B2889" s="14" t="str">
        <f>IF(A2889="","",_xlfn.XLOOKUP(A2889,'DISPATCH SHEET'!B$3:B$121,'DISPATCH SHEET'!C$3:C$121,""))</f>
        <v/>
      </c>
      <c r="C2889" s="14" t="str">
        <f>IF(ISBLANK(A2889),"",_xlfn.XLOOKUP(A2889,'DISPATCH SHEET'!C$3:C$121,'DISPATCH SHEET'!#REF!,""))</f>
        <v/>
      </c>
    </row>
    <row r="2890" spans="2:3" x14ac:dyDescent="0.2">
      <c r="B2890" s="14" t="str">
        <f>IF(A2890="","",_xlfn.XLOOKUP(A2890,'DISPATCH SHEET'!B$3:B$121,'DISPATCH SHEET'!C$3:C$121,""))</f>
        <v/>
      </c>
      <c r="C2890" s="14" t="str">
        <f>IF(ISBLANK(A2890),"",_xlfn.XLOOKUP(A2890,'DISPATCH SHEET'!C$3:C$121,'DISPATCH SHEET'!#REF!,""))</f>
        <v/>
      </c>
    </row>
    <row r="2891" spans="2:3" x14ac:dyDescent="0.2">
      <c r="B2891" s="14" t="str">
        <f>IF(A2891="","",_xlfn.XLOOKUP(A2891,'DISPATCH SHEET'!B$3:B$121,'DISPATCH SHEET'!C$3:C$121,""))</f>
        <v/>
      </c>
      <c r="C2891" s="14" t="str">
        <f>IF(ISBLANK(A2891),"",_xlfn.XLOOKUP(A2891,'DISPATCH SHEET'!C$3:C$121,'DISPATCH SHEET'!#REF!,""))</f>
        <v/>
      </c>
    </row>
    <row r="2892" spans="2:3" x14ac:dyDescent="0.2">
      <c r="B2892" s="14" t="str">
        <f>IF(A2892="","",_xlfn.XLOOKUP(A2892,'DISPATCH SHEET'!B$3:B$121,'DISPATCH SHEET'!C$3:C$121,""))</f>
        <v/>
      </c>
      <c r="C2892" s="14" t="str">
        <f>IF(ISBLANK(A2892),"",_xlfn.XLOOKUP(A2892,'DISPATCH SHEET'!C$3:C$121,'DISPATCH SHEET'!#REF!,""))</f>
        <v/>
      </c>
    </row>
    <row r="2893" spans="2:3" x14ac:dyDescent="0.2">
      <c r="B2893" s="14" t="str">
        <f>IF(A2893="","",_xlfn.XLOOKUP(A2893,'DISPATCH SHEET'!B$3:B$121,'DISPATCH SHEET'!C$3:C$121,""))</f>
        <v/>
      </c>
      <c r="C2893" s="14" t="str">
        <f>IF(ISBLANK(A2893),"",_xlfn.XLOOKUP(A2893,'DISPATCH SHEET'!C$3:C$121,'DISPATCH SHEET'!#REF!,""))</f>
        <v/>
      </c>
    </row>
    <row r="2894" spans="2:3" x14ac:dyDescent="0.2">
      <c r="B2894" s="14" t="str">
        <f>IF(A2894="","",_xlfn.XLOOKUP(A2894,'DISPATCH SHEET'!B$3:B$121,'DISPATCH SHEET'!C$3:C$121,""))</f>
        <v/>
      </c>
      <c r="C2894" s="14" t="str">
        <f>IF(ISBLANK(A2894),"",_xlfn.XLOOKUP(A2894,'DISPATCH SHEET'!C$3:C$121,'DISPATCH SHEET'!#REF!,""))</f>
        <v/>
      </c>
    </row>
    <row r="2895" spans="2:3" x14ac:dyDescent="0.2">
      <c r="B2895" s="14" t="str">
        <f>IF(A2895="","",_xlfn.XLOOKUP(A2895,'DISPATCH SHEET'!B$3:B$121,'DISPATCH SHEET'!C$3:C$121,""))</f>
        <v/>
      </c>
      <c r="C2895" s="14" t="str">
        <f>IF(ISBLANK(A2895),"",_xlfn.XLOOKUP(A2895,'DISPATCH SHEET'!C$3:C$121,'DISPATCH SHEET'!#REF!,""))</f>
        <v/>
      </c>
    </row>
    <row r="2896" spans="2:3" x14ac:dyDescent="0.2">
      <c r="B2896" s="14" t="str">
        <f>IF(A2896="","",_xlfn.XLOOKUP(A2896,'DISPATCH SHEET'!B$3:B$121,'DISPATCH SHEET'!C$3:C$121,""))</f>
        <v/>
      </c>
      <c r="C2896" s="14" t="str">
        <f>IF(ISBLANK(A2896),"",_xlfn.XLOOKUP(A2896,'DISPATCH SHEET'!C$3:C$121,'DISPATCH SHEET'!#REF!,""))</f>
        <v/>
      </c>
    </row>
    <row r="2897" spans="2:3" x14ac:dyDescent="0.2">
      <c r="B2897" s="14" t="str">
        <f>IF(A2897="","",_xlfn.XLOOKUP(A2897,'DISPATCH SHEET'!B$3:B$121,'DISPATCH SHEET'!C$3:C$121,""))</f>
        <v/>
      </c>
      <c r="C2897" s="14" t="str">
        <f>IF(ISBLANK(A2897),"",_xlfn.XLOOKUP(A2897,'DISPATCH SHEET'!C$3:C$121,'DISPATCH SHEET'!#REF!,""))</f>
        <v/>
      </c>
    </row>
    <row r="2898" spans="2:3" x14ac:dyDescent="0.2">
      <c r="B2898" s="14" t="str">
        <f>IF(A2898="","",_xlfn.XLOOKUP(A2898,'DISPATCH SHEET'!B$3:B$121,'DISPATCH SHEET'!C$3:C$121,""))</f>
        <v/>
      </c>
      <c r="C2898" s="14" t="str">
        <f>IF(ISBLANK(A2898),"",_xlfn.XLOOKUP(A2898,'DISPATCH SHEET'!C$3:C$121,'DISPATCH SHEET'!#REF!,""))</f>
        <v/>
      </c>
    </row>
    <row r="2899" spans="2:3" x14ac:dyDescent="0.2">
      <c r="B2899" s="14" t="str">
        <f>IF(A2899="","",_xlfn.XLOOKUP(A2899,'DISPATCH SHEET'!B$3:B$121,'DISPATCH SHEET'!C$3:C$121,""))</f>
        <v/>
      </c>
      <c r="C2899" s="14" t="str">
        <f>IF(ISBLANK(A2899),"",_xlfn.XLOOKUP(A2899,'DISPATCH SHEET'!C$3:C$121,'DISPATCH SHEET'!#REF!,""))</f>
        <v/>
      </c>
    </row>
    <row r="2900" spans="2:3" x14ac:dyDescent="0.2">
      <c r="B2900" s="14" t="str">
        <f>IF(A2900="","",_xlfn.XLOOKUP(A2900,'DISPATCH SHEET'!B$3:B$121,'DISPATCH SHEET'!C$3:C$121,""))</f>
        <v/>
      </c>
      <c r="C2900" s="14" t="str">
        <f>IF(ISBLANK(A2900),"",_xlfn.XLOOKUP(A2900,'DISPATCH SHEET'!C$3:C$121,'DISPATCH SHEET'!#REF!,""))</f>
        <v/>
      </c>
    </row>
    <row r="2901" spans="2:3" x14ac:dyDescent="0.2">
      <c r="B2901" s="14" t="str">
        <f>IF(A2901="","",_xlfn.XLOOKUP(A2901,'DISPATCH SHEET'!B$3:B$121,'DISPATCH SHEET'!C$3:C$121,""))</f>
        <v/>
      </c>
      <c r="C2901" s="14" t="str">
        <f>IF(ISBLANK(A2901),"",_xlfn.XLOOKUP(A2901,'DISPATCH SHEET'!C$3:C$121,'DISPATCH SHEET'!#REF!,""))</f>
        <v/>
      </c>
    </row>
    <row r="2902" spans="2:3" x14ac:dyDescent="0.2">
      <c r="B2902" s="14" t="str">
        <f>IF(A2902="","",_xlfn.XLOOKUP(A2902,'DISPATCH SHEET'!B$3:B$121,'DISPATCH SHEET'!C$3:C$121,""))</f>
        <v/>
      </c>
      <c r="C2902" s="14" t="str">
        <f>IF(ISBLANK(A2902),"",_xlfn.XLOOKUP(A2902,'DISPATCH SHEET'!C$3:C$121,'DISPATCH SHEET'!#REF!,""))</f>
        <v/>
      </c>
    </row>
    <row r="2903" spans="2:3" x14ac:dyDescent="0.2">
      <c r="B2903" s="14" t="str">
        <f>IF(A2903="","",_xlfn.XLOOKUP(A2903,'DISPATCH SHEET'!B$3:B$121,'DISPATCH SHEET'!C$3:C$121,""))</f>
        <v/>
      </c>
      <c r="C2903" s="14" t="str">
        <f>IF(ISBLANK(A2903),"",_xlfn.XLOOKUP(A2903,'DISPATCH SHEET'!C$3:C$121,'DISPATCH SHEET'!#REF!,""))</f>
        <v/>
      </c>
    </row>
    <row r="2904" spans="2:3" x14ac:dyDescent="0.2">
      <c r="B2904" s="14" t="str">
        <f>IF(A2904="","",_xlfn.XLOOKUP(A2904,'DISPATCH SHEET'!B$3:B$121,'DISPATCH SHEET'!C$3:C$121,""))</f>
        <v/>
      </c>
      <c r="C2904" s="14" t="str">
        <f>IF(ISBLANK(A2904),"",_xlfn.XLOOKUP(A2904,'DISPATCH SHEET'!C$3:C$121,'DISPATCH SHEET'!#REF!,""))</f>
        <v/>
      </c>
    </row>
    <row r="2905" spans="2:3" x14ac:dyDescent="0.2">
      <c r="B2905" s="14" t="str">
        <f>IF(A2905="","",_xlfn.XLOOKUP(A2905,'DISPATCH SHEET'!B$3:B$121,'DISPATCH SHEET'!C$3:C$121,""))</f>
        <v/>
      </c>
      <c r="C2905" s="14" t="str">
        <f>IF(ISBLANK(A2905),"",_xlfn.XLOOKUP(A2905,'DISPATCH SHEET'!C$3:C$121,'DISPATCH SHEET'!#REF!,""))</f>
        <v/>
      </c>
    </row>
    <row r="2906" spans="2:3" x14ac:dyDescent="0.2">
      <c r="B2906" s="14" t="str">
        <f>IF(A2906="","",_xlfn.XLOOKUP(A2906,'DISPATCH SHEET'!B$3:B$121,'DISPATCH SHEET'!C$3:C$121,""))</f>
        <v/>
      </c>
      <c r="C2906" s="14" t="str">
        <f>IF(ISBLANK(A2906),"",_xlfn.XLOOKUP(A2906,'DISPATCH SHEET'!C$3:C$121,'DISPATCH SHEET'!#REF!,""))</f>
        <v/>
      </c>
    </row>
    <row r="2907" spans="2:3" x14ac:dyDescent="0.2">
      <c r="B2907" s="14" t="str">
        <f>IF(A2907="","",_xlfn.XLOOKUP(A2907,'DISPATCH SHEET'!B$3:B$121,'DISPATCH SHEET'!C$3:C$121,""))</f>
        <v/>
      </c>
      <c r="C2907" s="14" t="str">
        <f>IF(ISBLANK(A2907),"",_xlfn.XLOOKUP(A2907,'DISPATCH SHEET'!C$3:C$121,'DISPATCH SHEET'!#REF!,""))</f>
        <v/>
      </c>
    </row>
    <row r="2908" spans="2:3" x14ac:dyDescent="0.2">
      <c r="B2908" s="14" t="str">
        <f>IF(A2908="","",_xlfn.XLOOKUP(A2908,'DISPATCH SHEET'!B$3:B$121,'DISPATCH SHEET'!C$3:C$121,""))</f>
        <v/>
      </c>
      <c r="C2908" s="14" t="str">
        <f>IF(ISBLANK(A2908),"",_xlfn.XLOOKUP(A2908,'DISPATCH SHEET'!C$3:C$121,'DISPATCH SHEET'!#REF!,""))</f>
        <v/>
      </c>
    </row>
    <row r="2909" spans="2:3" x14ac:dyDescent="0.2">
      <c r="B2909" s="14" t="str">
        <f>IF(A2909="","",_xlfn.XLOOKUP(A2909,'DISPATCH SHEET'!B$3:B$121,'DISPATCH SHEET'!C$3:C$121,""))</f>
        <v/>
      </c>
      <c r="C2909" s="14" t="str">
        <f>IF(ISBLANK(A2909),"",_xlfn.XLOOKUP(A2909,'DISPATCH SHEET'!C$3:C$121,'DISPATCH SHEET'!#REF!,""))</f>
        <v/>
      </c>
    </row>
    <row r="2910" spans="2:3" x14ac:dyDescent="0.2">
      <c r="B2910" s="14" t="str">
        <f>IF(A2910="","",_xlfn.XLOOKUP(A2910,'DISPATCH SHEET'!B$3:B$121,'DISPATCH SHEET'!C$3:C$121,""))</f>
        <v/>
      </c>
      <c r="C2910" s="14" t="str">
        <f>IF(ISBLANK(A2910),"",_xlfn.XLOOKUP(A2910,'DISPATCH SHEET'!C$3:C$121,'DISPATCH SHEET'!#REF!,""))</f>
        <v/>
      </c>
    </row>
    <row r="2911" spans="2:3" x14ac:dyDescent="0.2">
      <c r="B2911" s="14" t="str">
        <f>IF(A2911="","",_xlfn.XLOOKUP(A2911,'DISPATCH SHEET'!B$3:B$121,'DISPATCH SHEET'!C$3:C$121,""))</f>
        <v/>
      </c>
      <c r="C2911" s="14" t="str">
        <f>IF(ISBLANK(A2911),"",_xlfn.XLOOKUP(A2911,'DISPATCH SHEET'!C$3:C$121,'DISPATCH SHEET'!#REF!,""))</f>
        <v/>
      </c>
    </row>
    <row r="2912" spans="2:3" x14ac:dyDescent="0.2">
      <c r="B2912" s="14" t="str">
        <f>IF(A2912="","",_xlfn.XLOOKUP(A2912,'DISPATCH SHEET'!B$3:B$121,'DISPATCH SHEET'!C$3:C$121,""))</f>
        <v/>
      </c>
      <c r="C2912" s="14" t="str">
        <f>IF(ISBLANK(A2912),"",_xlfn.XLOOKUP(A2912,'DISPATCH SHEET'!C$3:C$121,'DISPATCH SHEET'!#REF!,""))</f>
        <v/>
      </c>
    </row>
    <row r="2913" spans="2:3" x14ac:dyDescent="0.2">
      <c r="B2913" s="14" t="str">
        <f>IF(A2913="","",_xlfn.XLOOKUP(A2913,'DISPATCH SHEET'!B$3:B$121,'DISPATCH SHEET'!C$3:C$121,""))</f>
        <v/>
      </c>
      <c r="C2913" s="14" t="str">
        <f>IF(ISBLANK(A2913),"",_xlfn.XLOOKUP(A2913,'DISPATCH SHEET'!C$3:C$121,'DISPATCH SHEET'!#REF!,""))</f>
        <v/>
      </c>
    </row>
    <row r="2914" spans="2:3" x14ac:dyDescent="0.2">
      <c r="B2914" s="14" t="str">
        <f>IF(A2914="","",_xlfn.XLOOKUP(A2914,'DISPATCH SHEET'!B$3:B$121,'DISPATCH SHEET'!C$3:C$121,""))</f>
        <v/>
      </c>
      <c r="C2914" s="14" t="str">
        <f>IF(ISBLANK(A2914),"",_xlfn.XLOOKUP(A2914,'DISPATCH SHEET'!C$3:C$121,'DISPATCH SHEET'!#REF!,""))</f>
        <v/>
      </c>
    </row>
    <row r="2915" spans="2:3" x14ac:dyDescent="0.2">
      <c r="B2915" s="14" t="str">
        <f>IF(A2915="","",_xlfn.XLOOKUP(A2915,'DISPATCH SHEET'!B$3:B$121,'DISPATCH SHEET'!C$3:C$121,""))</f>
        <v/>
      </c>
      <c r="C2915" s="14" t="str">
        <f>IF(ISBLANK(A2915),"",_xlfn.XLOOKUP(A2915,'DISPATCH SHEET'!C$3:C$121,'DISPATCH SHEET'!#REF!,""))</f>
        <v/>
      </c>
    </row>
    <row r="2916" spans="2:3" x14ac:dyDescent="0.2">
      <c r="B2916" s="14" t="str">
        <f>IF(A2916="","",_xlfn.XLOOKUP(A2916,'DISPATCH SHEET'!B$3:B$121,'DISPATCH SHEET'!C$3:C$121,""))</f>
        <v/>
      </c>
      <c r="C2916" s="14" t="str">
        <f>IF(ISBLANK(A2916),"",_xlfn.XLOOKUP(A2916,'DISPATCH SHEET'!C$3:C$121,'DISPATCH SHEET'!#REF!,""))</f>
        <v/>
      </c>
    </row>
    <row r="2917" spans="2:3" x14ac:dyDescent="0.2">
      <c r="B2917" s="14" t="str">
        <f>IF(A2917="","",_xlfn.XLOOKUP(A2917,'DISPATCH SHEET'!B$3:B$121,'DISPATCH SHEET'!C$3:C$121,""))</f>
        <v/>
      </c>
      <c r="C2917" s="14" t="str">
        <f>IF(ISBLANK(A2917),"",_xlfn.XLOOKUP(A2917,'DISPATCH SHEET'!C$3:C$121,'DISPATCH SHEET'!#REF!,""))</f>
        <v/>
      </c>
    </row>
    <row r="2918" spans="2:3" x14ac:dyDescent="0.2">
      <c r="B2918" s="14" t="str">
        <f>IF(A2918="","",_xlfn.XLOOKUP(A2918,'DISPATCH SHEET'!B$3:B$121,'DISPATCH SHEET'!C$3:C$121,""))</f>
        <v/>
      </c>
      <c r="C2918" s="14" t="str">
        <f>IF(ISBLANK(A2918),"",_xlfn.XLOOKUP(A2918,'DISPATCH SHEET'!C$3:C$121,'DISPATCH SHEET'!#REF!,""))</f>
        <v/>
      </c>
    </row>
    <row r="2919" spans="2:3" x14ac:dyDescent="0.2">
      <c r="B2919" s="14" t="str">
        <f>IF(A2919="","",_xlfn.XLOOKUP(A2919,'DISPATCH SHEET'!B$3:B$121,'DISPATCH SHEET'!C$3:C$121,""))</f>
        <v/>
      </c>
      <c r="C2919" s="14" t="str">
        <f>IF(ISBLANK(A2919),"",_xlfn.XLOOKUP(A2919,'DISPATCH SHEET'!C$3:C$121,'DISPATCH SHEET'!#REF!,""))</f>
        <v/>
      </c>
    </row>
    <row r="2920" spans="2:3" x14ac:dyDescent="0.2">
      <c r="B2920" s="14" t="str">
        <f>IF(A2920="","",_xlfn.XLOOKUP(A2920,'DISPATCH SHEET'!B$3:B$121,'DISPATCH SHEET'!C$3:C$121,""))</f>
        <v/>
      </c>
      <c r="C2920" s="14" t="str">
        <f>IF(ISBLANK(A2920),"",_xlfn.XLOOKUP(A2920,'DISPATCH SHEET'!C$3:C$121,'DISPATCH SHEET'!#REF!,""))</f>
        <v/>
      </c>
    </row>
    <row r="2921" spans="2:3" x14ac:dyDescent="0.2">
      <c r="B2921" s="14" t="str">
        <f>IF(A2921="","",_xlfn.XLOOKUP(A2921,'DISPATCH SHEET'!B$3:B$121,'DISPATCH SHEET'!C$3:C$121,""))</f>
        <v/>
      </c>
      <c r="C2921" s="14" t="str">
        <f>IF(ISBLANK(A2921),"",_xlfn.XLOOKUP(A2921,'DISPATCH SHEET'!C$3:C$121,'DISPATCH SHEET'!#REF!,""))</f>
        <v/>
      </c>
    </row>
    <row r="2922" spans="2:3" x14ac:dyDescent="0.2">
      <c r="B2922" s="14" t="str">
        <f>IF(A2922="","",_xlfn.XLOOKUP(A2922,'DISPATCH SHEET'!B$3:B$121,'DISPATCH SHEET'!C$3:C$121,""))</f>
        <v/>
      </c>
      <c r="C2922" s="14" t="str">
        <f>IF(ISBLANK(A2922),"",_xlfn.XLOOKUP(A2922,'DISPATCH SHEET'!C$3:C$121,'DISPATCH SHEET'!#REF!,""))</f>
        <v/>
      </c>
    </row>
    <row r="2923" spans="2:3" x14ac:dyDescent="0.2">
      <c r="B2923" s="14" t="str">
        <f>IF(A2923="","",_xlfn.XLOOKUP(A2923,'DISPATCH SHEET'!B$3:B$121,'DISPATCH SHEET'!C$3:C$121,""))</f>
        <v/>
      </c>
      <c r="C2923" s="14" t="str">
        <f>IF(ISBLANK(A2923),"",_xlfn.XLOOKUP(A2923,'DISPATCH SHEET'!C$3:C$121,'DISPATCH SHEET'!#REF!,""))</f>
        <v/>
      </c>
    </row>
    <row r="2924" spans="2:3" x14ac:dyDescent="0.2">
      <c r="B2924" s="14" t="str">
        <f>IF(A2924="","",_xlfn.XLOOKUP(A2924,'DISPATCH SHEET'!B$3:B$121,'DISPATCH SHEET'!C$3:C$121,""))</f>
        <v/>
      </c>
      <c r="C2924" s="14" t="str">
        <f>IF(ISBLANK(A2924),"",_xlfn.XLOOKUP(A2924,'DISPATCH SHEET'!C$3:C$121,'DISPATCH SHEET'!#REF!,""))</f>
        <v/>
      </c>
    </row>
    <row r="2925" spans="2:3" x14ac:dyDescent="0.2">
      <c r="B2925" s="14" t="str">
        <f>IF(A2925="","",_xlfn.XLOOKUP(A2925,'DISPATCH SHEET'!B$3:B$121,'DISPATCH SHEET'!C$3:C$121,""))</f>
        <v/>
      </c>
      <c r="C2925" s="14" t="str">
        <f>IF(ISBLANK(A2925),"",_xlfn.XLOOKUP(A2925,'DISPATCH SHEET'!C$3:C$121,'DISPATCH SHEET'!#REF!,""))</f>
        <v/>
      </c>
    </row>
    <row r="2926" spans="2:3" x14ac:dyDescent="0.2">
      <c r="B2926" s="14" t="str">
        <f>IF(A2926="","",_xlfn.XLOOKUP(A2926,'DISPATCH SHEET'!B$3:B$121,'DISPATCH SHEET'!C$3:C$121,""))</f>
        <v/>
      </c>
      <c r="C2926" s="14" t="str">
        <f>IF(ISBLANK(A2926),"",_xlfn.XLOOKUP(A2926,'DISPATCH SHEET'!C$3:C$121,'DISPATCH SHEET'!#REF!,""))</f>
        <v/>
      </c>
    </row>
    <row r="2927" spans="2:3" x14ac:dyDescent="0.2">
      <c r="B2927" s="14" t="str">
        <f>IF(A2927="","",_xlfn.XLOOKUP(A2927,'DISPATCH SHEET'!B$3:B$121,'DISPATCH SHEET'!C$3:C$121,""))</f>
        <v/>
      </c>
      <c r="C2927" s="14" t="str">
        <f>IF(ISBLANK(A2927),"",_xlfn.XLOOKUP(A2927,'DISPATCH SHEET'!C$3:C$121,'DISPATCH SHEET'!#REF!,""))</f>
        <v/>
      </c>
    </row>
    <row r="2928" spans="2:3" x14ac:dyDescent="0.2">
      <c r="B2928" s="14" t="str">
        <f>IF(A2928="","",_xlfn.XLOOKUP(A2928,'DISPATCH SHEET'!B$3:B$121,'DISPATCH SHEET'!C$3:C$121,""))</f>
        <v/>
      </c>
      <c r="C2928" s="14" t="str">
        <f>IF(ISBLANK(A2928),"",_xlfn.XLOOKUP(A2928,'DISPATCH SHEET'!C$3:C$121,'DISPATCH SHEET'!#REF!,""))</f>
        <v/>
      </c>
    </row>
    <row r="2929" spans="2:3" x14ac:dyDescent="0.2">
      <c r="B2929" s="14" t="str">
        <f>IF(A2929="","",_xlfn.XLOOKUP(A2929,'DISPATCH SHEET'!B$3:B$121,'DISPATCH SHEET'!C$3:C$121,""))</f>
        <v/>
      </c>
      <c r="C2929" s="14" t="str">
        <f>IF(ISBLANK(A2929),"",_xlfn.XLOOKUP(A2929,'DISPATCH SHEET'!C$3:C$121,'DISPATCH SHEET'!#REF!,""))</f>
        <v/>
      </c>
    </row>
    <row r="2930" spans="2:3" x14ac:dyDescent="0.2">
      <c r="B2930" s="14" t="str">
        <f>IF(A2930="","",_xlfn.XLOOKUP(A2930,'DISPATCH SHEET'!B$3:B$121,'DISPATCH SHEET'!C$3:C$121,""))</f>
        <v/>
      </c>
      <c r="C2930" s="14" t="str">
        <f>IF(ISBLANK(A2930),"",_xlfn.XLOOKUP(A2930,'DISPATCH SHEET'!C$3:C$121,'DISPATCH SHEET'!#REF!,""))</f>
        <v/>
      </c>
    </row>
    <row r="2931" spans="2:3" x14ac:dyDescent="0.2">
      <c r="B2931" s="14" t="str">
        <f>IF(A2931="","",_xlfn.XLOOKUP(A2931,'DISPATCH SHEET'!B$3:B$121,'DISPATCH SHEET'!C$3:C$121,""))</f>
        <v/>
      </c>
      <c r="C2931" s="14" t="str">
        <f>IF(ISBLANK(A2931),"",_xlfn.XLOOKUP(A2931,'DISPATCH SHEET'!C$3:C$121,'DISPATCH SHEET'!#REF!,""))</f>
        <v/>
      </c>
    </row>
    <row r="2932" spans="2:3" x14ac:dyDescent="0.2">
      <c r="B2932" s="14" t="str">
        <f>IF(A2932="","",_xlfn.XLOOKUP(A2932,'DISPATCH SHEET'!B$3:B$121,'DISPATCH SHEET'!C$3:C$121,""))</f>
        <v/>
      </c>
      <c r="C2932" s="14" t="str">
        <f>IF(ISBLANK(A2932),"",_xlfn.XLOOKUP(A2932,'DISPATCH SHEET'!C$3:C$121,'DISPATCH SHEET'!#REF!,""))</f>
        <v/>
      </c>
    </row>
    <row r="2933" spans="2:3" x14ac:dyDescent="0.2">
      <c r="B2933" s="14" t="str">
        <f>IF(A2933="","",_xlfn.XLOOKUP(A2933,'DISPATCH SHEET'!B$3:B$121,'DISPATCH SHEET'!C$3:C$121,""))</f>
        <v/>
      </c>
      <c r="C2933" s="14" t="str">
        <f>IF(ISBLANK(A2933),"",_xlfn.XLOOKUP(A2933,'DISPATCH SHEET'!C$3:C$121,'DISPATCH SHEET'!#REF!,""))</f>
        <v/>
      </c>
    </row>
    <row r="2934" spans="2:3" x14ac:dyDescent="0.2">
      <c r="B2934" s="14" t="str">
        <f>IF(A2934="","",_xlfn.XLOOKUP(A2934,'DISPATCH SHEET'!B$3:B$121,'DISPATCH SHEET'!C$3:C$121,""))</f>
        <v/>
      </c>
      <c r="C2934" s="14" t="str">
        <f>IF(ISBLANK(A2934),"",_xlfn.XLOOKUP(A2934,'DISPATCH SHEET'!C$3:C$121,'DISPATCH SHEET'!#REF!,""))</f>
        <v/>
      </c>
    </row>
    <row r="2935" spans="2:3" x14ac:dyDescent="0.2">
      <c r="B2935" s="14" t="str">
        <f>IF(A2935="","",_xlfn.XLOOKUP(A2935,'DISPATCH SHEET'!B$3:B$121,'DISPATCH SHEET'!C$3:C$121,""))</f>
        <v/>
      </c>
      <c r="C2935" s="14" t="str">
        <f>IF(ISBLANK(A2935),"",_xlfn.XLOOKUP(A2935,'DISPATCH SHEET'!C$3:C$121,'DISPATCH SHEET'!#REF!,""))</f>
        <v/>
      </c>
    </row>
    <row r="2936" spans="2:3" x14ac:dyDescent="0.2">
      <c r="B2936" s="14" t="str">
        <f>IF(A2936="","",_xlfn.XLOOKUP(A2936,'DISPATCH SHEET'!B$3:B$121,'DISPATCH SHEET'!C$3:C$121,""))</f>
        <v/>
      </c>
      <c r="C2936" s="14" t="str">
        <f>IF(ISBLANK(A2936),"",_xlfn.XLOOKUP(A2936,'DISPATCH SHEET'!C$3:C$121,'DISPATCH SHEET'!#REF!,""))</f>
        <v/>
      </c>
    </row>
    <row r="2937" spans="2:3" x14ac:dyDescent="0.2">
      <c r="B2937" s="14" t="str">
        <f>IF(A2937="","",_xlfn.XLOOKUP(A2937,'DISPATCH SHEET'!B$3:B$121,'DISPATCH SHEET'!C$3:C$121,""))</f>
        <v/>
      </c>
      <c r="C2937" s="14" t="str">
        <f>IF(ISBLANK(A2937),"",_xlfn.XLOOKUP(A2937,'DISPATCH SHEET'!C$3:C$121,'DISPATCH SHEET'!#REF!,""))</f>
        <v/>
      </c>
    </row>
    <row r="2938" spans="2:3" x14ac:dyDescent="0.2">
      <c r="B2938" s="14" t="str">
        <f>IF(A2938="","",_xlfn.XLOOKUP(A2938,'DISPATCH SHEET'!B$3:B$121,'DISPATCH SHEET'!C$3:C$121,""))</f>
        <v/>
      </c>
      <c r="C2938" s="14" t="str">
        <f>IF(ISBLANK(A2938),"",_xlfn.XLOOKUP(A2938,'DISPATCH SHEET'!C$3:C$121,'DISPATCH SHEET'!#REF!,""))</f>
        <v/>
      </c>
    </row>
    <row r="2939" spans="2:3" x14ac:dyDescent="0.2">
      <c r="B2939" s="14" t="str">
        <f>IF(A2939="","",_xlfn.XLOOKUP(A2939,'DISPATCH SHEET'!B$3:B$121,'DISPATCH SHEET'!C$3:C$121,""))</f>
        <v/>
      </c>
      <c r="C2939" s="14" t="str">
        <f>IF(ISBLANK(A2939),"",_xlfn.XLOOKUP(A2939,'DISPATCH SHEET'!C$3:C$121,'DISPATCH SHEET'!#REF!,""))</f>
        <v/>
      </c>
    </row>
    <row r="2940" spans="2:3" x14ac:dyDescent="0.2">
      <c r="B2940" s="14" t="str">
        <f>IF(A2940="","",_xlfn.XLOOKUP(A2940,'DISPATCH SHEET'!B$3:B$121,'DISPATCH SHEET'!C$3:C$121,""))</f>
        <v/>
      </c>
      <c r="C2940" s="14" t="str">
        <f>IF(ISBLANK(A2940),"",_xlfn.XLOOKUP(A2940,'DISPATCH SHEET'!C$3:C$121,'DISPATCH SHEET'!#REF!,""))</f>
        <v/>
      </c>
    </row>
    <row r="2941" spans="2:3" x14ac:dyDescent="0.2">
      <c r="B2941" s="14" t="str">
        <f>IF(A2941="","",_xlfn.XLOOKUP(A2941,'DISPATCH SHEET'!B$3:B$121,'DISPATCH SHEET'!C$3:C$121,""))</f>
        <v/>
      </c>
      <c r="C2941" s="14" t="str">
        <f>IF(ISBLANK(A2941),"",_xlfn.XLOOKUP(A2941,'DISPATCH SHEET'!C$3:C$121,'DISPATCH SHEET'!#REF!,""))</f>
        <v/>
      </c>
    </row>
    <row r="2942" spans="2:3" x14ac:dyDescent="0.2">
      <c r="B2942" s="14" t="str">
        <f>IF(A2942="","",_xlfn.XLOOKUP(A2942,'DISPATCH SHEET'!B$3:B$121,'DISPATCH SHEET'!C$3:C$121,""))</f>
        <v/>
      </c>
      <c r="C2942" s="14" t="str">
        <f>IF(ISBLANK(A2942),"",_xlfn.XLOOKUP(A2942,'DISPATCH SHEET'!C$3:C$121,'DISPATCH SHEET'!#REF!,""))</f>
        <v/>
      </c>
    </row>
    <row r="2943" spans="2:3" x14ac:dyDescent="0.2">
      <c r="B2943" s="14" t="str">
        <f>IF(A2943="","",_xlfn.XLOOKUP(A2943,'DISPATCH SHEET'!B$3:B$121,'DISPATCH SHEET'!C$3:C$121,""))</f>
        <v/>
      </c>
      <c r="C2943" s="14" t="str">
        <f>IF(ISBLANK(A2943),"",_xlfn.XLOOKUP(A2943,'DISPATCH SHEET'!C$3:C$121,'DISPATCH SHEET'!#REF!,""))</f>
        <v/>
      </c>
    </row>
    <row r="2944" spans="2:3" x14ac:dyDescent="0.2">
      <c r="B2944" s="14" t="str">
        <f>IF(A2944="","",_xlfn.XLOOKUP(A2944,'DISPATCH SHEET'!B$3:B$121,'DISPATCH SHEET'!C$3:C$121,""))</f>
        <v/>
      </c>
      <c r="C2944" s="14" t="str">
        <f>IF(ISBLANK(A2944),"",_xlfn.XLOOKUP(A2944,'DISPATCH SHEET'!C$3:C$121,'DISPATCH SHEET'!#REF!,""))</f>
        <v/>
      </c>
    </row>
    <row r="2945" spans="2:3" x14ac:dyDescent="0.2">
      <c r="B2945" s="14" t="str">
        <f>IF(A2945="","",_xlfn.XLOOKUP(A2945,'DISPATCH SHEET'!B$3:B$121,'DISPATCH SHEET'!C$3:C$121,""))</f>
        <v/>
      </c>
      <c r="C2945" s="14" t="str">
        <f>IF(ISBLANK(A2945),"",_xlfn.XLOOKUP(A2945,'DISPATCH SHEET'!C$3:C$121,'DISPATCH SHEET'!#REF!,""))</f>
        <v/>
      </c>
    </row>
    <row r="2946" spans="2:3" x14ac:dyDescent="0.2">
      <c r="B2946" s="14" t="str">
        <f>IF(A2946="","",_xlfn.XLOOKUP(A2946,'DISPATCH SHEET'!B$3:B$121,'DISPATCH SHEET'!C$3:C$121,""))</f>
        <v/>
      </c>
      <c r="C2946" s="14" t="str">
        <f>IF(ISBLANK(A2946),"",_xlfn.XLOOKUP(A2946,'DISPATCH SHEET'!C$3:C$121,'DISPATCH SHEET'!#REF!,""))</f>
        <v/>
      </c>
    </row>
    <row r="2947" spans="2:3" x14ac:dyDescent="0.2">
      <c r="B2947" s="14" t="str">
        <f>IF(A2947="","",_xlfn.XLOOKUP(A2947,'DISPATCH SHEET'!B$3:B$121,'DISPATCH SHEET'!C$3:C$121,""))</f>
        <v/>
      </c>
      <c r="C2947" s="14" t="str">
        <f>IF(ISBLANK(A2947),"",_xlfn.XLOOKUP(A2947,'DISPATCH SHEET'!C$3:C$121,'DISPATCH SHEET'!#REF!,""))</f>
        <v/>
      </c>
    </row>
    <row r="2948" spans="2:3" x14ac:dyDescent="0.2">
      <c r="B2948" s="14" t="str">
        <f>IF(A2948="","",_xlfn.XLOOKUP(A2948,'DISPATCH SHEET'!B$3:B$121,'DISPATCH SHEET'!C$3:C$121,""))</f>
        <v/>
      </c>
      <c r="C2948" s="14" t="str">
        <f>IF(ISBLANK(A2948),"",_xlfn.XLOOKUP(A2948,'DISPATCH SHEET'!C$3:C$121,'DISPATCH SHEET'!#REF!,""))</f>
        <v/>
      </c>
    </row>
    <row r="2949" spans="2:3" x14ac:dyDescent="0.2">
      <c r="B2949" s="14" t="str">
        <f>IF(A2949="","",_xlfn.XLOOKUP(A2949,'DISPATCH SHEET'!B$3:B$121,'DISPATCH SHEET'!C$3:C$121,""))</f>
        <v/>
      </c>
      <c r="C2949" s="14" t="str">
        <f>IF(ISBLANK(A2949),"",_xlfn.XLOOKUP(A2949,'DISPATCH SHEET'!C$3:C$121,'DISPATCH SHEET'!#REF!,""))</f>
        <v/>
      </c>
    </row>
    <row r="2950" spans="2:3" x14ac:dyDescent="0.2">
      <c r="B2950" s="14" t="str">
        <f>IF(A2950="","",_xlfn.XLOOKUP(A2950,'DISPATCH SHEET'!B$3:B$121,'DISPATCH SHEET'!C$3:C$121,""))</f>
        <v/>
      </c>
      <c r="C2950" s="14" t="str">
        <f>IF(ISBLANK(A2950),"",_xlfn.XLOOKUP(A2950,'DISPATCH SHEET'!C$3:C$121,'DISPATCH SHEET'!#REF!,""))</f>
        <v/>
      </c>
    </row>
    <row r="2951" spans="2:3" x14ac:dyDescent="0.2">
      <c r="B2951" s="14" t="str">
        <f>IF(A2951="","",_xlfn.XLOOKUP(A2951,'DISPATCH SHEET'!B$3:B$121,'DISPATCH SHEET'!C$3:C$121,""))</f>
        <v/>
      </c>
      <c r="C2951" s="14" t="str">
        <f>IF(ISBLANK(A2951),"",_xlfn.XLOOKUP(A2951,'DISPATCH SHEET'!C$3:C$121,'DISPATCH SHEET'!#REF!,""))</f>
        <v/>
      </c>
    </row>
    <row r="2952" spans="2:3" x14ac:dyDescent="0.2">
      <c r="B2952" s="14" t="str">
        <f>IF(A2952="","",_xlfn.XLOOKUP(A2952,'DISPATCH SHEET'!B$3:B$121,'DISPATCH SHEET'!C$3:C$121,""))</f>
        <v/>
      </c>
      <c r="C2952" s="14" t="str">
        <f>IF(ISBLANK(A2952),"",_xlfn.XLOOKUP(A2952,'DISPATCH SHEET'!C$3:C$121,'DISPATCH SHEET'!#REF!,""))</f>
        <v/>
      </c>
    </row>
    <row r="2953" spans="2:3" x14ac:dyDescent="0.2">
      <c r="B2953" s="14" t="str">
        <f>IF(A2953="","",_xlfn.XLOOKUP(A2953,'DISPATCH SHEET'!B$3:B$121,'DISPATCH SHEET'!C$3:C$121,""))</f>
        <v/>
      </c>
      <c r="C2953" s="14" t="str">
        <f>IF(ISBLANK(A2953),"",_xlfn.XLOOKUP(A2953,'DISPATCH SHEET'!C$3:C$121,'DISPATCH SHEET'!#REF!,""))</f>
        <v/>
      </c>
    </row>
    <row r="2954" spans="2:3" x14ac:dyDescent="0.2">
      <c r="B2954" s="14" t="str">
        <f>IF(A2954="","",_xlfn.XLOOKUP(A2954,'DISPATCH SHEET'!B$3:B$121,'DISPATCH SHEET'!C$3:C$121,""))</f>
        <v/>
      </c>
      <c r="C2954" s="14" t="str">
        <f>IF(ISBLANK(A2954),"",_xlfn.XLOOKUP(A2954,'DISPATCH SHEET'!C$3:C$121,'DISPATCH SHEET'!#REF!,""))</f>
        <v/>
      </c>
    </row>
    <row r="2955" spans="2:3" x14ac:dyDescent="0.2">
      <c r="B2955" s="14" t="str">
        <f>IF(A2955="","",_xlfn.XLOOKUP(A2955,'DISPATCH SHEET'!B$3:B$121,'DISPATCH SHEET'!C$3:C$121,""))</f>
        <v/>
      </c>
      <c r="C2955" s="14" t="str">
        <f>IF(ISBLANK(A2955),"",_xlfn.XLOOKUP(A2955,'DISPATCH SHEET'!C$3:C$121,'DISPATCH SHEET'!#REF!,""))</f>
        <v/>
      </c>
    </row>
    <row r="2956" spans="2:3" x14ac:dyDescent="0.2">
      <c r="B2956" s="14" t="str">
        <f>IF(A2956="","",_xlfn.XLOOKUP(A2956,'DISPATCH SHEET'!B$3:B$121,'DISPATCH SHEET'!C$3:C$121,""))</f>
        <v/>
      </c>
      <c r="C2956" s="14" t="str">
        <f>IF(ISBLANK(A2956),"",_xlfn.XLOOKUP(A2956,'DISPATCH SHEET'!C$3:C$121,'DISPATCH SHEET'!#REF!,""))</f>
        <v/>
      </c>
    </row>
    <row r="2957" spans="2:3" x14ac:dyDescent="0.2">
      <c r="B2957" s="14" t="str">
        <f>IF(A2957="","",_xlfn.XLOOKUP(A2957,'DISPATCH SHEET'!B$3:B$121,'DISPATCH SHEET'!C$3:C$121,""))</f>
        <v/>
      </c>
      <c r="C2957" s="14" t="str">
        <f>IF(ISBLANK(A2957),"",_xlfn.XLOOKUP(A2957,'DISPATCH SHEET'!C$3:C$121,'DISPATCH SHEET'!#REF!,""))</f>
        <v/>
      </c>
    </row>
    <row r="2958" spans="2:3" x14ac:dyDescent="0.2">
      <c r="B2958" s="14" t="str">
        <f>IF(A2958="","",_xlfn.XLOOKUP(A2958,'DISPATCH SHEET'!B$3:B$121,'DISPATCH SHEET'!C$3:C$121,""))</f>
        <v/>
      </c>
      <c r="C2958" s="14" t="str">
        <f>IF(ISBLANK(A2958),"",_xlfn.XLOOKUP(A2958,'DISPATCH SHEET'!C$3:C$121,'DISPATCH SHEET'!#REF!,""))</f>
        <v/>
      </c>
    </row>
    <row r="2959" spans="2:3" x14ac:dyDescent="0.2">
      <c r="B2959" s="14" t="str">
        <f>IF(A2959="","",_xlfn.XLOOKUP(A2959,'DISPATCH SHEET'!B$3:B$121,'DISPATCH SHEET'!C$3:C$121,""))</f>
        <v/>
      </c>
      <c r="C2959" s="14" t="str">
        <f>IF(ISBLANK(A2959),"",_xlfn.XLOOKUP(A2959,'DISPATCH SHEET'!C$3:C$121,'DISPATCH SHEET'!#REF!,""))</f>
        <v/>
      </c>
    </row>
    <row r="2960" spans="2:3" x14ac:dyDescent="0.2">
      <c r="B2960" s="14" t="str">
        <f>IF(A2960="","",_xlfn.XLOOKUP(A2960,'DISPATCH SHEET'!B$3:B$121,'DISPATCH SHEET'!C$3:C$121,""))</f>
        <v/>
      </c>
      <c r="C2960" s="14" t="str">
        <f>IF(ISBLANK(A2960),"",_xlfn.XLOOKUP(A2960,'DISPATCH SHEET'!C$3:C$121,'DISPATCH SHEET'!#REF!,""))</f>
        <v/>
      </c>
    </row>
    <row r="2961" spans="2:3" x14ac:dyDescent="0.2">
      <c r="B2961" s="14" t="str">
        <f>IF(A2961="","",_xlfn.XLOOKUP(A2961,'DISPATCH SHEET'!B$3:B$121,'DISPATCH SHEET'!C$3:C$121,""))</f>
        <v/>
      </c>
      <c r="C2961" s="14" t="str">
        <f>IF(ISBLANK(A2961),"",_xlfn.XLOOKUP(A2961,'DISPATCH SHEET'!C$3:C$121,'DISPATCH SHEET'!#REF!,""))</f>
        <v/>
      </c>
    </row>
    <row r="2962" spans="2:3" x14ac:dyDescent="0.2">
      <c r="B2962" s="14" t="str">
        <f>IF(A2962="","",_xlfn.XLOOKUP(A2962,'DISPATCH SHEET'!B$3:B$121,'DISPATCH SHEET'!C$3:C$121,""))</f>
        <v/>
      </c>
      <c r="C2962" s="14" t="str">
        <f>IF(ISBLANK(A2962),"",_xlfn.XLOOKUP(A2962,'DISPATCH SHEET'!C$3:C$121,'DISPATCH SHEET'!#REF!,""))</f>
        <v/>
      </c>
    </row>
    <row r="2963" spans="2:3" x14ac:dyDescent="0.2">
      <c r="B2963" s="14" t="str">
        <f>IF(A2963="","",_xlfn.XLOOKUP(A2963,'DISPATCH SHEET'!B$3:B$121,'DISPATCH SHEET'!C$3:C$121,""))</f>
        <v/>
      </c>
      <c r="C2963" s="14" t="str">
        <f>IF(ISBLANK(A2963),"",_xlfn.XLOOKUP(A2963,'DISPATCH SHEET'!C$3:C$121,'DISPATCH SHEET'!#REF!,""))</f>
        <v/>
      </c>
    </row>
    <row r="2964" spans="2:3" x14ac:dyDescent="0.2">
      <c r="B2964" s="14" t="str">
        <f>IF(A2964="","",_xlfn.XLOOKUP(A2964,'DISPATCH SHEET'!B$3:B$121,'DISPATCH SHEET'!C$3:C$121,""))</f>
        <v/>
      </c>
      <c r="C2964" s="14" t="str">
        <f>IF(ISBLANK(A2964),"",_xlfn.XLOOKUP(A2964,'DISPATCH SHEET'!C$3:C$121,'DISPATCH SHEET'!#REF!,""))</f>
        <v/>
      </c>
    </row>
    <row r="2965" spans="2:3" x14ac:dyDescent="0.2">
      <c r="B2965" s="14" t="str">
        <f>IF(A2965="","",_xlfn.XLOOKUP(A2965,'DISPATCH SHEET'!B$3:B$121,'DISPATCH SHEET'!C$3:C$121,""))</f>
        <v/>
      </c>
      <c r="C2965" s="14" t="str">
        <f>IF(ISBLANK(A2965),"",_xlfn.XLOOKUP(A2965,'DISPATCH SHEET'!C$3:C$121,'DISPATCH SHEET'!#REF!,""))</f>
        <v/>
      </c>
    </row>
    <row r="2966" spans="2:3" x14ac:dyDescent="0.2">
      <c r="B2966" s="14" t="str">
        <f>IF(A2966="","",_xlfn.XLOOKUP(A2966,'DISPATCH SHEET'!B$3:B$121,'DISPATCH SHEET'!C$3:C$121,""))</f>
        <v/>
      </c>
      <c r="C2966" s="14" t="str">
        <f>IF(ISBLANK(A2966),"",_xlfn.XLOOKUP(A2966,'DISPATCH SHEET'!C$3:C$121,'DISPATCH SHEET'!#REF!,""))</f>
        <v/>
      </c>
    </row>
    <row r="2967" spans="2:3" x14ac:dyDescent="0.2">
      <c r="B2967" s="14" t="str">
        <f>IF(A2967="","",_xlfn.XLOOKUP(A2967,'DISPATCH SHEET'!B$3:B$121,'DISPATCH SHEET'!C$3:C$121,""))</f>
        <v/>
      </c>
      <c r="C2967" s="14" t="str">
        <f>IF(ISBLANK(A2967),"",_xlfn.XLOOKUP(A2967,'DISPATCH SHEET'!C$3:C$121,'DISPATCH SHEET'!#REF!,""))</f>
        <v/>
      </c>
    </row>
    <row r="2968" spans="2:3" x14ac:dyDescent="0.2">
      <c r="B2968" s="14" t="str">
        <f>IF(A2968="","",_xlfn.XLOOKUP(A2968,'DISPATCH SHEET'!B$3:B$121,'DISPATCH SHEET'!C$3:C$121,""))</f>
        <v/>
      </c>
      <c r="C2968" s="14" t="str">
        <f>IF(ISBLANK(A2968),"",_xlfn.XLOOKUP(A2968,'DISPATCH SHEET'!C$3:C$121,'DISPATCH SHEET'!#REF!,""))</f>
        <v/>
      </c>
    </row>
    <row r="2969" spans="2:3" x14ac:dyDescent="0.2">
      <c r="B2969" s="14" t="str">
        <f>IF(A2969="","",_xlfn.XLOOKUP(A2969,'DISPATCH SHEET'!B$3:B$121,'DISPATCH SHEET'!C$3:C$121,""))</f>
        <v/>
      </c>
      <c r="C2969" s="14" t="str">
        <f>IF(ISBLANK(A2969),"",_xlfn.XLOOKUP(A2969,'DISPATCH SHEET'!C$3:C$121,'DISPATCH SHEET'!#REF!,""))</f>
        <v/>
      </c>
    </row>
    <row r="2970" spans="2:3" x14ac:dyDescent="0.2">
      <c r="B2970" s="14" t="str">
        <f>IF(A2970="","",_xlfn.XLOOKUP(A2970,'DISPATCH SHEET'!B$3:B$121,'DISPATCH SHEET'!C$3:C$121,""))</f>
        <v/>
      </c>
      <c r="C2970" s="14" t="str">
        <f>IF(ISBLANK(A2970),"",_xlfn.XLOOKUP(A2970,'DISPATCH SHEET'!C$3:C$121,'DISPATCH SHEET'!#REF!,""))</f>
        <v/>
      </c>
    </row>
    <row r="2971" spans="2:3" x14ac:dyDescent="0.2">
      <c r="B2971" s="14" t="str">
        <f>IF(A2971="","",_xlfn.XLOOKUP(A2971,'DISPATCH SHEET'!B$3:B$121,'DISPATCH SHEET'!C$3:C$121,""))</f>
        <v/>
      </c>
      <c r="C2971" s="14" t="str">
        <f>IF(ISBLANK(A2971),"",_xlfn.XLOOKUP(A2971,'DISPATCH SHEET'!C$3:C$121,'DISPATCH SHEET'!#REF!,""))</f>
        <v/>
      </c>
    </row>
    <row r="2972" spans="2:3" x14ac:dyDescent="0.2">
      <c r="B2972" s="14" t="str">
        <f>IF(A2972="","",_xlfn.XLOOKUP(A2972,'DISPATCH SHEET'!B$3:B$121,'DISPATCH SHEET'!C$3:C$121,""))</f>
        <v/>
      </c>
      <c r="C2972" s="14" t="str">
        <f>IF(ISBLANK(A2972),"",_xlfn.XLOOKUP(A2972,'DISPATCH SHEET'!C$3:C$121,'DISPATCH SHEET'!#REF!,""))</f>
        <v/>
      </c>
    </row>
    <row r="2973" spans="2:3" x14ac:dyDescent="0.2">
      <c r="B2973" s="14" t="str">
        <f>IF(A2973="","",_xlfn.XLOOKUP(A2973,'DISPATCH SHEET'!B$3:B$121,'DISPATCH SHEET'!C$3:C$121,""))</f>
        <v/>
      </c>
      <c r="C2973" s="14" t="str">
        <f>IF(ISBLANK(A2973),"",_xlfn.XLOOKUP(A2973,'DISPATCH SHEET'!C$3:C$121,'DISPATCH SHEET'!#REF!,""))</f>
        <v/>
      </c>
    </row>
    <row r="2974" spans="2:3" x14ac:dyDescent="0.2">
      <c r="B2974" s="14" t="str">
        <f>IF(A2974="","",_xlfn.XLOOKUP(A2974,'DISPATCH SHEET'!B$3:B$121,'DISPATCH SHEET'!C$3:C$121,""))</f>
        <v/>
      </c>
      <c r="C2974" s="14" t="str">
        <f>IF(ISBLANK(A2974),"",_xlfn.XLOOKUP(A2974,'DISPATCH SHEET'!C$3:C$121,'DISPATCH SHEET'!#REF!,""))</f>
        <v/>
      </c>
    </row>
    <row r="2975" spans="2:3" x14ac:dyDescent="0.2">
      <c r="B2975" s="14" t="str">
        <f>IF(A2975="","",_xlfn.XLOOKUP(A2975,'DISPATCH SHEET'!B$3:B$121,'DISPATCH SHEET'!C$3:C$121,""))</f>
        <v/>
      </c>
      <c r="C2975" s="14" t="str">
        <f>IF(ISBLANK(A2975),"",_xlfn.XLOOKUP(A2975,'DISPATCH SHEET'!C$3:C$121,'DISPATCH SHEET'!#REF!,""))</f>
        <v/>
      </c>
    </row>
    <row r="2976" spans="2:3" x14ac:dyDescent="0.2">
      <c r="B2976" s="14" t="str">
        <f>IF(A2976="","",_xlfn.XLOOKUP(A2976,'DISPATCH SHEET'!B$3:B$121,'DISPATCH SHEET'!C$3:C$121,""))</f>
        <v/>
      </c>
      <c r="C2976" s="14" t="str">
        <f>IF(ISBLANK(A2976),"",_xlfn.XLOOKUP(A2976,'DISPATCH SHEET'!C$3:C$121,'DISPATCH SHEET'!#REF!,""))</f>
        <v/>
      </c>
    </row>
    <row r="2977" spans="2:3" x14ac:dyDescent="0.2">
      <c r="B2977" s="14" t="str">
        <f>IF(A2977="","",_xlfn.XLOOKUP(A2977,'DISPATCH SHEET'!B$3:B$121,'DISPATCH SHEET'!C$3:C$121,""))</f>
        <v/>
      </c>
      <c r="C2977" s="14" t="str">
        <f>IF(ISBLANK(A2977),"",_xlfn.XLOOKUP(A2977,'DISPATCH SHEET'!C$3:C$121,'DISPATCH SHEET'!#REF!,""))</f>
        <v/>
      </c>
    </row>
    <row r="2978" spans="2:3" x14ac:dyDescent="0.2">
      <c r="B2978" s="14" t="str">
        <f>IF(A2978="","",_xlfn.XLOOKUP(A2978,'DISPATCH SHEET'!B$3:B$121,'DISPATCH SHEET'!C$3:C$121,""))</f>
        <v/>
      </c>
      <c r="C2978" s="14" t="str">
        <f>IF(ISBLANK(A2978),"",_xlfn.XLOOKUP(A2978,'DISPATCH SHEET'!C$3:C$121,'DISPATCH SHEET'!#REF!,""))</f>
        <v/>
      </c>
    </row>
    <row r="2979" spans="2:3" x14ac:dyDescent="0.2">
      <c r="B2979" s="14" t="str">
        <f>IF(A2979="","",_xlfn.XLOOKUP(A2979,'DISPATCH SHEET'!B$3:B$121,'DISPATCH SHEET'!C$3:C$121,""))</f>
        <v/>
      </c>
      <c r="C2979" s="14" t="str">
        <f>IF(ISBLANK(A2979),"",_xlfn.XLOOKUP(A2979,'DISPATCH SHEET'!C$3:C$121,'DISPATCH SHEET'!#REF!,""))</f>
        <v/>
      </c>
    </row>
    <row r="2980" spans="2:3" x14ac:dyDescent="0.2">
      <c r="B2980" s="14" t="str">
        <f>IF(A2980="","",_xlfn.XLOOKUP(A2980,'DISPATCH SHEET'!B$3:B$121,'DISPATCH SHEET'!C$3:C$121,""))</f>
        <v/>
      </c>
      <c r="C2980" s="14" t="str">
        <f>IF(ISBLANK(A2980),"",_xlfn.XLOOKUP(A2980,'DISPATCH SHEET'!C$3:C$121,'DISPATCH SHEET'!#REF!,""))</f>
        <v/>
      </c>
    </row>
    <row r="2981" spans="2:3" x14ac:dyDescent="0.2">
      <c r="B2981" s="14" t="str">
        <f>IF(A2981="","",_xlfn.XLOOKUP(A2981,'DISPATCH SHEET'!B$3:B$121,'DISPATCH SHEET'!C$3:C$121,""))</f>
        <v/>
      </c>
      <c r="C2981" s="14" t="str">
        <f>IF(ISBLANK(A2981),"",_xlfn.XLOOKUP(A2981,'DISPATCH SHEET'!C$3:C$121,'DISPATCH SHEET'!#REF!,""))</f>
        <v/>
      </c>
    </row>
    <row r="2982" spans="2:3" x14ac:dyDescent="0.2">
      <c r="B2982" s="14" t="str">
        <f>IF(A2982="","",_xlfn.XLOOKUP(A2982,'DISPATCH SHEET'!B$3:B$121,'DISPATCH SHEET'!C$3:C$121,""))</f>
        <v/>
      </c>
      <c r="C2982" s="14" t="str">
        <f>IF(ISBLANK(A2982),"",_xlfn.XLOOKUP(A2982,'DISPATCH SHEET'!C$3:C$121,'DISPATCH SHEET'!#REF!,""))</f>
        <v/>
      </c>
    </row>
    <row r="2983" spans="2:3" x14ac:dyDescent="0.2">
      <c r="B2983" s="14" t="str">
        <f>IF(A2983="","",_xlfn.XLOOKUP(A2983,'DISPATCH SHEET'!B$3:B$121,'DISPATCH SHEET'!C$3:C$121,""))</f>
        <v/>
      </c>
      <c r="C2983" s="14" t="str">
        <f>IF(ISBLANK(A2983),"",_xlfn.XLOOKUP(A2983,'DISPATCH SHEET'!C$3:C$121,'DISPATCH SHEET'!#REF!,""))</f>
        <v/>
      </c>
    </row>
    <row r="2984" spans="2:3" x14ac:dyDescent="0.2">
      <c r="B2984" s="14" t="str">
        <f>IF(A2984="","",_xlfn.XLOOKUP(A2984,'DISPATCH SHEET'!B$3:B$121,'DISPATCH SHEET'!C$3:C$121,""))</f>
        <v/>
      </c>
      <c r="C2984" s="14" t="str">
        <f>IF(ISBLANK(A2984),"",_xlfn.XLOOKUP(A2984,'DISPATCH SHEET'!C$3:C$121,'DISPATCH SHEET'!#REF!,""))</f>
        <v/>
      </c>
    </row>
    <row r="2985" spans="2:3" x14ac:dyDescent="0.2">
      <c r="B2985" s="14" t="str">
        <f>IF(A2985="","",_xlfn.XLOOKUP(A2985,'DISPATCH SHEET'!B$3:B$121,'DISPATCH SHEET'!C$3:C$121,""))</f>
        <v/>
      </c>
      <c r="C2985" s="14" t="str">
        <f>IF(ISBLANK(A2985),"",_xlfn.XLOOKUP(A2985,'DISPATCH SHEET'!C$3:C$121,'DISPATCH SHEET'!#REF!,""))</f>
        <v/>
      </c>
    </row>
    <row r="2986" spans="2:3" x14ac:dyDescent="0.2">
      <c r="B2986" s="14" t="str">
        <f>IF(A2986="","",_xlfn.XLOOKUP(A2986,'DISPATCH SHEET'!B$3:B$121,'DISPATCH SHEET'!C$3:C$121,""))</f>
        <v/>
      </c>
      <c r="C2986" s="14" t="str">
        <f>IF(ISBLANK(A2986),"",_xlfn.XLOOKUP(A2986,'DISPATCH SHEET'!C$3:C$121,'DISPATCH SHEET'!#REF!,""))</f>
        <v/>
      </c>
    </row>
    <row r="2987" spans="2:3" x14ac:dyDescent="0.2">
      <c r="B2987" s="14" t="str">
        <f>IF(A2987="","",_xlfn.XLOOKUP(A2987,'DISPATCH SHEET'!B$3:B$121,'DISPATCH SHEET'!C$3:C$121,""))</f>
        <v/>
      </c>
      <c r="C2987" s="14" t="str">
        <f>IF(ISBLANK(A2987),"",_xlfn.XLOOKUP(A2987,'DISPATCH SHEET'!C$3:C$121,'DISPATCH SHEET'!#REF!,""))</f>
        <v/>
      </c>
    </row>
    <row r="2988" spans="2:3" x14ac:dyDescent="0.2">
      <c r="B2988" s="14" t="str">
        <f>IF(A2988="","",_xlfn.XLOOKUP(A2988,'DISPATCH SHEET'!B$3:B$121,'DISPATCH SHEET'!C$3:C$121,""))</f>
        <v/>
      </c>
      <c r="C2988" s="14" t="str">
        <f>IF(ISBLANK(A2988),"",_xlfn.XLOOKUP(A2988,'DISPATCH SHEET'!C$3:C$121,'DISPATCH SHEET'!#REF!,""))</f>
        <v/>
      </c>
    </row>
    <row r="2989" spans="2:3" x14ac:dyDescent="0.2">
      <c r="B2989" s="14" t="str">
        <f>IF(A2989="","",_xlfn.XLOOKUP(A2989,'DISPATCH SHEET'!B$3:B$121,'DISPATCH SHEET'!C$3:C$121,""))</f>
        <v/>
      </c>
      <c r="C2989" s="14" t="str">
        <f>IF(ISBLANK(A2989),"",_xlfn.XLOOKUP(A2989,'DISPATCH SHEET'!C$3:C$121,'DISPATCH SHEET'!#REF!,""))</f>
        <v/>
      </c>
    </row>
    <row r="2990" spans="2:3" x14ac:dyDescent="0.2">
      <c r="B2990" s="14" t="str">
        <f>IF(A2990="","",_xlfn.XLOOKUP(A2990,'DISPATCH SHEET'!B$3:B$121,'DISPATCH SHEET'!C$3:C$121,""))</f>
        <v/>
      </c>
      <c r="C2990" s="14" t="str">
        <f>IF(ISBLANK(A2990),"",_xlfn.XLOOKUP(A2990,'DISPATCH SHEET'!C$3:C$121,'DISPATCH SHEET'!#REF!,""))</f>
        <v/>
      </c>
    </row>
    <row r="2991" spans="2:3" x14ac:dyDescent="0.2">
      <c r="B2991" s="14" t="str">
        <f>IF(A2991="","",_xlfn.XLOOKUP(A2991,'DISPATCH SHEET'!B$3:B$121,'DISPATCH SHEET'!C$3:C$121,""))</f>
        <v/>
      </c>
      <c r="C2991" s="14" t="str">
        <f>IF(ISBLANK(A2991),"",_xlfn.XLOOKUP(A2991,'DISPATCH SHEET'!C$3:C$121,'DISPATCH SHEET'!#REF!,""))</f>
        <v/>
      </c>
    </row>
    <row r="2992" spans="2:3" x14ac:dyDescent="0.2">
      <c r="B2992" s="14" t="str">
        <f>IF(A2992="","",_xlfn.XLOOKUP(A2992,'DISPATCH SHEET'!B$3:B$121,'DISPATCH SHEET'!C$3:C$121,""))</f>
        <v/>
      </c>
      <c r="C2992" s="14" t="str">
        <f>IF(ISBLANK(A2992),"",_xlfn.XLOOKUP(A2992,'DISPATCH SHEET'!C$3:C$121,'DISPATCH SHEET'!#REF!,""))</f>
        <v/>
      </c>
    </row>
    <row r="2993" spans="2:3" x14ac:dyDescent="0.2">
      <c r="B2993" s="14" t="str">
        <f>IF(A2993="","",_xlfn.XLOOKUP(A2993,'DISPATCH SHEET'!B$3:B$121,'DISPATCH SHEET'!C$3:C$121,""))</f>
        <v/>
      </c>
      <c r="C2993" s="14" t="str">
        <f>IF(ISBLANK(A2993),"",_xlfn.XLOOKUP(A2993,'DISPATCH SHEET'!C$3:C$121,'DISPATCH SHEET'!#REF!,""))</f>
        <v/>
      </c>
    </row>
    <row r="2994" spans="2:3" x14ac:dyDescent="0.2">
      <c r="B2994" s="14" t="str">
        <f>IF(A2994="","",_xlfn.XLOOKUP(A2994,'DISPATCH SHEET'!B$3:B$121,'DISPATCH SHEET'!C$3:C$121,""))</f>
        <v/>
      </c>
      <c r="C2994" s="14" t="str">
        <f>IF(ISBLANK(A2994),"",_xlfn.XLOOKUP(A2994,'DISPATCH SHEET'!C$3:C$121,'DISPATCH SHEET'!#REF!,""))</f>
        <v/>
      </c>
    </row>
    <row r="2995" spans="2:3" x14ac:dyDescent="0.2">
      <c r="B2995" s="14" t="str">
        <f>IF(A2995="","",_xlfn.XLOOKUP(A2995,'DISPATCH SHEET'!B$3:B$121,'DISPATCH SHEET'!C$3:C$121,""))</f>
        <v/>
      </c>
      <c r="C2995" s="14" t="str">
        <f>IF(ISBLANK(A2995),"",_xlfn.XLOOKUP(A2995,'DISPATCH SHEET'!C$3:C$121,'DISPATCH SHEET'!#REF!,""))</f>
        <v/>
      </c>
    </row>
    <row r="2996" spans="2:3" x14ac:dyDescent="0.2">
      <c r="B2996" s="14" t="str">
        <f>IF(A2996="","",_xlfn.XLOOKUP(A2996,'DISPATCH SHEET'!B$3:B$121,'DISPATCH SHEET'!C$3:C$121,""))</f>
        <v/>
      </c>
      <c r="C2996" s="14" t="str">
        <f>IF(ISBLANK(A2996),"",_xlfn.XLOOKUP(A2996,'DISPATCH SHEET'!C$3:C$121,'DISPATCH SHEET'!#REF!,""))</f>
        <v/>
      </c>
    </row>
    <row r="2997" spans="2:3" x14ac:dyDescent="0.2">
      <c r="B2997" s="14" t="str">
        <f>IF(A2997="","",_xlfn.XLOOKUP(A2997,'DISPATCH SHEET'!B$3:B$121,'DISPATCH SHEET'!C$3:C$121,""))</f>
        <v/>
      </c>
      <c r="C2997" s="14" t="str">
        <f>IF(ISBLANK(A2997),"",_xlfn.XLOOKUP(A2997,'DISPATCH SHEET'!C$3:C$121,'DISPATCH SHEET'!#REF!,""))</f>
        <v/>
      </c>
    </row>
    <row r="2998" spans="2:3" x14ac:dyDescent="0.2">
      <c r="B2998" s="14" t="str">
        <f>IF(A2998="","",_xlfn.XLOOKUP(A2998,'DISPATCH SHEET'!B$3:B$121,'DISPATCH SHEET'!C$3:C$121,""))</f>
        <v/>
      </c>
      <c r="C2998" s="14" t="str">
        <f>IF(ISBLANK(A2998),"",_xlfn.XLOOKUP(A2998,'DISPATCH SHEET'!C$3:C$121,'DISPATCH SHEET'!#REF!,""))</f>
        <v/>
      </c>
    </row>
    <row r="2999" spans="2:3" x14ac:dyDescent="0.2">
      <c r="B2999" s="14" t="str">
        <f>IF(A2999="","",_xlfn.XLOOKUP(A2999,'DISPATCH SHEET'!B$3:B$121,'DISPATCH SHEET'!C$3:C$121,""))</f>
        <v/>
      </c>
      <c r="C2999" s="14" t="str">
        <f>IF(ISBLANK(A2999),"",_xlfn.XLOOKUP(A2999,'DISPATCH SHEET'!C$3:C$121,'DISPATCH SHEET'!#REF!,""))</f>
        <v/>
      </c>
    </row>
    <row r="3000" spans="2:3" x14ac:dyDescent="0.2">
      <c r="B3000" s="14" t="str">
        <f>IF(A3000="","",_xlfn.XLOOKUP(A3000,'DISPATCH SHEET'!B$3:B$121,'DISPATCH SHEET'!C$3:C$121,""))</f>
        <v/>
      </c>
      <c r="C3000" s="14" t="str">
        <f>IF(ISBLANK(A3000),"",_xlfn.XLOOKUP(A3000,'DISPATCH SHEET'!C$3:C$121,'DISPATCH SHEET'!#REF!,""))</f>
        <v/>
      </c>
    </row>
    <row r="3001" spans="2:3" x14ac:dyDescent="0.2">
      <c r="B3001" s="14" t="str">
        <f>IF(A3001="","",_xlfn.XLOOKUP(A3001,'DISPATCH SHEET'!B$3:B$121,'DISPATCH SHEET'!C$3:C$121,""))</f>
        <v/>
      </c>
      <c r="C3001" s="14" t="str">
        <f>IF(ISBLANK(A3001),"",_xlfn.XLOOKUP(A3001,'DISPATCH SHEET'!C$3:C$121,'DISPATCH SHEET'!#REF!,""))</f>
        <v/>
      </c>
    </row>
    <row r="3002" spans="2:3" x14ac:dyDescent="0.2">
      <c r="B3002" s="14" t="str">
        <f>IF(A3002="","",_xlfn.XLOOKUP(A3002,'DISPATCH SHEET'!B$3:B$121,'DISPATCH SHEET'!C$3:C$121,""))</f>
        <v/>
      </c>
      <c r="C3002" s="14" t="str">
        <f>IF(ISBLANK(A3002),"",_xlfn.XLOOKUP(A3002,'DISPATCH SHEET'!C$3:C$121,'DISPATCH SHEET'!#REF!,""))</f>
        <v/>
      </c>
    </row>
    <row r="3003" spans="2:3" x14ac:dyDescent="0.2">
      <c r="B3003" s="14" t="str">
        <f>IF(A3003="","",_xlfn.XLOOKUP(A3003,'DISPATCH SHEET'!B$3:B$121,'DISPATCH SHEET'!C$3:C$121,""))</f>
        <v/>
      </c>
      <c r="C3003" s="14" t="str">
        <f>IF(ISBLANK(A3003),"",_xlfn.XLOOKUP(A3003,'DISPATCH SHEET'!C$3:C$121,'DISPATCH SHEET'!#REF!,""))</f>
        <v/>
      </c>
    </row>
    <row r="3004" spans="2:3" x14ac:dyDescent="0.2">
      <c r="B3004" s="14" t="str">
        <f>IF(A3004="","",_xlfn.XLOOKUP(A3004,'DISPATCH SHEET'!B$3:B$121,'DISPATCH SHEET'!C$3:C$121,""))</f>
        <v/>
      </c>
      <c r="C3004" s="14" t="str">
        <f>IF(ISBLANK(A3004),"",_xlfn.XLOOKUP(A3004,'DISPATCH SHEET'!C$3:C$121,'DISPATCH SHEET'!#REF!,""))</f>
        <v/>
      </c>
    </row>
    <row r="3005" spans="2:3" x14ac:dyDescent="0.2">
      <c r="B3005" s="14" t="str">
        <f>IF(A3005="","",_xlfn.XLOOKUP(A3005,'DISPATCH SHEET'!B$3:B$121,'DISPATCH SHEET'!C$3:C$121,""))</f>
        <v/>
      </c>
      <c r="C3005" s="14" t="str">
        <f>IF(ISBLANK(A3005),"",_xlfn.XLOOKUP(A3005,'DISPATCH SHEET'!C$3:C$121,'DISPATCH SHEET'!#REF!,""))</f>
        <v/>
      </c>
    </row>
    <row r="3006" spans="2:3" x14ac:dyDescent="0.2">
      <c r="B3006" s="14" t="str">
        <f>IF(A3006="","",_xlfn.XLOOKUP(A3006,'DISPATCH SHEET'!B$3:B$121,'DISPATCH SHEET'!C$3:C$121,""))</f>
        <v/>
      </c>
      <c r="C3006" s="14" t="str">
        <f>IF(ISBLANK(A3006),"",_xlfn.XLOOKUP(A3006,'DISPATCH SHEET'!C$3:C$121,'DISPATCH SHEET'!#REF!,""))</f>
        <v/>
      </c>
    </row>
    <row r="3007" spans="2:3" x14ac:dyDescent="0.2">
      <c r="B3007" s="14" t="str">
        <f>IF(A3007="","",_xlfn.XLOOKUP(A3007,'DISPATCH SHEET'!B$3:B$121,'DISPATCH SHEET'!C$3:C$121,""))</f>
        <v/>
      </c>
      <c r="C3007" s="14" t="str">
        <f>IF(ISBLANK(A3007),"",_xlfn.XLOOKUP(A3007,'DISPATCH SHEET'!C$3:C$121,'DISPATCH SHEET'!#REF!,""))</f>
        <v/>
      </c>
    </row>
    <row r="3008" spans="2:3" x14ac:dyDescent="0.2">
      <c r="B3008" s="14" t="str">
        <f>IF(A3008="","",_xlfn.XLOOKUP(A3008,'DISPATCH SHEET'!B$3:B$121,'DISPATCH SHEET'!C$3:C$121,""))</f>
        <v/>
      </c>
      <c r="C3008" s="14" t="str">
        <f>IF(ISBLANK(A3008),"",_xlfn.XLOOKUP(A3008,'DISPATCH SHEET'!C$3:C$121,'DISPATCH SHEET'!#REF!,""))</f>
        <v/>
      </c>
    </row>
    <row r="3009" spans="2:3" x14ac:dyDescent="0.2">
      <c r="B3009" s="14" t="str">
        <f>IF(A3009="","",_xlfn.XLOOKUP(A3009,'DISPATCH SHEET'!B$3:B$121,'DISPATCH SHEET'!C$3:C$121,""))</f>
        <v/>
      </c>
      <c r="C3009" s="14" t="str">
        <f>IF(ISBLANK(A3009),"",_xlfn.XLOOKUP(A3009,'DISPATCH SHEET'!C$3:C$121,'DISPATCH SHEET'!#REF!,""))</f>
        <v/>
      </c>
    </row>
    <row r="3010" spans="2:3" x14ac:dyDescent="0.2">
      <c r="B3010" s="14" t="str">
        <f>IF(A3010="","",_xlfn.XLOOKUP(A3010,'DISPATCH SHEET'!B$3:B$121,'DISPATCH SHEET'!C$3:C$121,""))</f>
        <v/>
      </c>
      <c r="C3010" s="14" t="str">
        <f>IF(ISBLANK(A3010),"",_xlfn.XLOOKUP(A3010,'DISPATCH SHEET'!C$3:C$121,'DISPATCH SHEET'!#REF!,""))</f>
        <v/>
      </c>
    </row>
    <row r="3011" spans="2:3" x14ac:dyDescent="0.2">
      <c r="B3011" s="14" t="str">
        <f>IF(A3011="","",_xlfn.XLOOKUP(A3011,'DISPATCH SHEET'!B$3:B$121,'DISPATCH SHEET'!C$3:C$121,""))</f>
        <v/>
      </c>
      <c r="C3011" s="14" t="str">
        <f>IF(ISBLANK(A3011),"",_xlfn.XLOOKUP(A3011,'DISPATCH SHEET'!C$3:C$121,'DISPATCH SHEET'!#REF!,""))</f>
        <v/>
      </c>
    </row>
    <row r="3012" spans="2:3" x14ac:dyDescent="0.2">
      <c r="B3012" s="14" t="str">
        <f>IF(A3012="","",_xlfn.XLOOKUP(A3012,'DISPATCH SHEET'!B$3:B$121,'DISPATCH SHEET'!C$3:C$121,""))</f>
        <v/>
      </c>
      <c r="C3012" s="14" t="str">
        <f>IF(ISBLANK(A3012),"",_xlfn.XLOOKUP(A3012,'DISPATCH SHEET'!C$3:C$121,'DISPATCH SHEET'!#REF!,""))</f>
        <v/>
      </c>
    </row>
    <row r="3013" spans="2:3" x14ac:dyDescent="0.2">
      <c r="B3013" s="14" t="str">
        <f>IF(A3013="","",_xlfn.XLOOKUP(A3013,'DISPATCH SHEET'!B$3:B$121,'DISPATCH SHEET'!C$3:C$121,""))</f>
        <v/>
      </c>
      <c r="C3013" s="14" t="str">
        <f>IF(ISBLANK(A3013),"",_xlfn.XLOOKUP(A3013,'DISPATCH SHEET'!C$3:C$121,'DISPATCH SHEET'!#REF!,""))</f>
        <v/>
      </c>
    </row>
    <row r="3014" spans="2:3" x14ac:dyDescent="0.2">
      <c r="B3014" s="14" t="str">
        <f>IF(A3014="","",_xlfn.XLOOKUP(A3014,'DISPATCH SHEET'!B$3:B$121,'DISPATCH SHEET'!C$3:C$121,""))</f>
        <v/>
      </c>
      <c r="C3014" s="14" t="str">
        <f>IF(ISBLANK(A3014),"",_xlfn.XLOOKUP(A3014,'DISPATCH SHEET'!C$3:C$121,'DISPATCH SHEET'!#REF!,""))</f>
        <v/>
      </c>
    </row>
    <row r="3015" spans="2:3" x14ac:dyDescent="0.2">
      <c r="B3015" s="14" t="str">
        <f>IF(A3015="","",_xlfn.XLOOKUP(A3015,'DISPATCH SHEET'!B$3:B$121,'DISPATCH SHEET'!C$3:C$121,""))</f>
        <v/>
      </c>
      <c r="C3015" s="14" t="str">
        <f>IF(ISBLANK(A3015),"",_xlfn.XLOOKUP(A3015,'DISPATCH SHEET'!C$3:C$121,'DISPATCH SHEET'!#REF!,""))</f>
        <v/>
      </c>
    </row>
    <row r="3016" spans="2:3" x14ac:dyDescent="0.2">
      <c r="B3016" s="14" t="str">
        <f>IF(A3016="","",_xlfn.XLOOKUP(A3016,'DISPATCH SHEET'!B$3:B$121,'DISPATCH SHEET'!C$3:C$121,""))</f>
        <v/>
      </c>
      <c r="C3016" s="14" t="str">
        <f>IF(ISBLANK(A3016),"",_xlfn.XLOOKUP(A3016,'DISPATCH SHEET'!C$3:C$121,'DISPATCH SHEET'!#REF!,""))</f>
        <v/>
      </c>
    </row>
    <row r="3017" spans="2:3" x14ac:dyDescent="0.2">
      <c r="B3017" s="14" t="str">
        <f>IF(A3017="","",_xlfn.XLOOKUP(A3017,'DISPATCH SHEET'!B$3:B$121,'DISPATCH SHEET'!C$3:C$121,""))</f>
        <v/>
      </c>
      <c r="C3017" s="14" t="str">
        <f>IF(ISBLANK(A3017),"",_xlfn.XLOOKUP(A3017,'DISPATCH SHEET'!C$3:C$121,'DISPATCH SHEET'!#REF!,""))</f>
        <v/>
      </c>
    </row>
    <row r="3018" spans="2:3" x14ac:dyDescent="0.2">
      <c r="B3018" s="14" t="str">
        <f>IF(A3018="","",_xlfn.XLOOKUP(A3018,'DISPATCH SHEET'!B$3:B$121,'DISPATCH SHEET'!C$3:C$121,""))</f>
        <v/>
      </c>
      <c r="C3018" s="14" t="str">
        <f>IF(ISBLANK(A3018),"",_xlfn.XLOOKUP(A3018,'DISPATCH SHEET'!C$3:C$121,'DISPATCH SHEET'!#REF!,""))</f>
        <v/>
      </c>
    </row>
    <row r="3019" spans="2:3" x14ac:dyDescent="0.2">
      <c r="B3019" s="14" t="str">
        <f>IF(A3019="","",_xlfn.XLOOKUP(A3019,'DISPATCH SHEET'!B$3:B$121,'DISPATCH SHEET'!C$3:C$121,""))</f>
        <v/>
      </c>
      <c r="C3019" s="14" t="str">
        <f>IF(ISBLANK(A3019),"",_xlfn.XLOOKUP(A3019,'DISPATCH SHEET'!C$3:C$121,'DISPATCH SHEET'!#REF!,""))</f>
        <v/>
      </c>
    </row>
    <row r="3020" spans="2:3" x14ac:dyDescent="0.2">
      <c r="B3020" s="14" t="str">
        <f>IF(A3020="","",_xlfn.XLOOKUP(A3020,'DISPATCH SHEET'!B$3:B$121,'DISPATCH SHEET'!C$3:C$121,""))</f>
        <v/>
      </c>
      <c r="C3020" s="14" t="str">
        <f>IF(ISBLANK(A3020),"",_xlfn.XLOOKUP(A3020,'DISPATCH SHEET'!C$3:C$121,'DISPATCH SHEET'!#REF!,""))</f>
        <v/>
      </c>
    </row>
    <row r="3021" spans="2:3" x14ac:dyDescent="0.2">
      <c r="B3021" s="14" t="str">
        <f>IF(A3021="","",_xlfn.XLOOKUP(A3021,'DISPATCH SHEET'!B$3:B$121,'DISPATCH SHEET'!C$3:C$121,""))</f>
        <v/>
      </c>
      <c r="C3021" s="14" t="str">
        <f>IF(ISBLANK(A3021),"",_xlfn.XLOOKUP(A3021,'DISPATCH SHEET'!C$3:C$121,'DISPATCH SHEET'!#REF!,""))</f>
        <v/>
      </c>
    </row>
    <row r="3022" spans="2:3" x14ac:dyDescent="0.2">
      <c r="B3022" s="14" t="str">
        <f>IF(A3022="","",_xlfn.XLOOKUP(A3022,'DISPATCH SHEET'!B$3:B$121,'DISPATCH SHEET'!C$3:C$121,""))</f>
        <v/>
      </c>
      <c r="C3022" s="14" t="str">
        <f>IF(ISBLANK(A3022),"",_xlfn.XLOOKUP(A3022,'DISPATCH SHEET'!C$3:C$121,'DISPATCH SHEET'!#REF!,""))</f>
        <v/>
      </c>
    </row>
    <row r="3023" spans="2:3" x14ac:dyDescent="0.2">
      <c r="B3023" s="14" t="str">
        <f>IF(A3023="","",_xlfn.XLOOKUP(A3023,'DISPATCH SHEET'!B$3:B$121,'DISPATCH SHEET'!C$3:C$121,""))</f>
        <v/>
      </c>
      <c r="C3023" s="14" t="str">
        <f>IF(ISBLANK(A3023),"",_xlfn.XLOOKUP(A3023,'DISPATCH SHEET'!C$3:C$121,'DISPATCH SHEET'!#REF!,""))</f>
        <v/>
      </c>
    </row>
    <row r="3024" spans="2:3" x14ac:dyDescent="0.2">
      <c r="B3024" s="14" t="str">
        <f>IF(A3024="","",_xlfn.XLOOKUP(A3024,'DISPATCH SHEET'!B$3:B$121,'DISPATCH SHEET'!C$3:C$121,""))</f>
        <v/>
      </c>
      <c r="C3024" s="14" t="str">
        <f>IF(ISBLANK(A3024),"",_xlfn.XLOOKUP(A3024,'DISPATCH SHEET'!C$3:C$121,'DISPATCH SHEET'!#REF!,""))</f>
        <v/>
      </c>
    </row>
    <row r="3025" spans="2:3" x14ac:dyDescent="0.2">
      <c r="B3025" s="14" t="str">
        <f>IF(A3025="","",_xlfn.XLOOKUP(A3025,'DISPATCH SHEET'!B$3:B$121,'DISPATCH SHEET'!C$3:C$121,""))</f>
        <v/>
      </c>
      <c r="C3025" s="14" t="str">
        <f>IF(ISBLANK(A3025),"",_xlfn.XLOOKUP(A3025,'DISPATCH SHEET'!C$3:C$121,'DISPATCH SHEET'!#REF!,""))</f>
        <v/>
      </c>
    </row>
    <row r="3026" spans="2:3" x14ac:dyDescent="0.2">
      <c r="B3026" s="14" t="str">
        <f>IF(A3026="","",_xlfn.XLOOKUP(A3026,'DISPATCH SHEET'!B$3:B$121,'DISPATCH SHEET'!C$3:C$121,""))</f>
        <v/>
      </c>
      <c r="C3026" s="14" t="str">
        <f>IF(ISBLANK(A3026),"",_xlfn.XLOOKUP(A3026,'DISPATCH SHEET'!C$3:C$121,'DISPATCH SHEET'!#REF!,""))</f>
        <v/>
      </c>
    </row>
    <row r="3027" spans="2:3" x14ac:dyDescent="0.2">
      <c r="B3027" s="14" t="str">
        <f>IF(A3027="","",_xlfn.XLOOKUP(A3027,'DISPATCH SHEET'!B$3:B$121,'DISPATCH SHEET'!C$3:C$121,""))</f>
        <v/>
      </c>
      <c r="C3027" s="14" t="str">
        <f>IF(ISBLANK(A3027),"",_xlfn.XLOOKUP(A3027,'DISPATCH SHEET'!C$3:C$121,'DISPATCH SHEET'!#REF!,""))</f>
        <v/>
      </c>
    </row>
    <row r="3028" spans="2:3" x14ac:dyDescent="0.2">
      <c r="B3028" s="14" t="str">
        <f>IF(A3028="","",_xlfn.XLOOKUP(A3028,'DISPATCH SHEET'!B$3:B$121,'DISPATCH SHEET'!C$3:C$121,""))</f>
        <v/>
      </c>
      <c r="C3028" s="14" t="str">
        <f>IF(ISBLANK(A3028),"",_xlfn.XLOOKUP(A3028,'DISPATCH SHEET'!C$3:C$121,'DISPATCH SHEET'!#REF!,""))</f>
        <v/>
      </c>
    </row>
    <row r="3029" spans="2:3" x14ac:dyDescent="0.2">
      <c r="B3029" s="14" t="str">
        <f>IF(A3029="","",_xlfn.XLOOKUP(A3029,'DISPATCH SHEET'!B$3:B$121,'DISPATCH SHEET'!C$3:C$121,""))</f>
        <v/>
      </c>
      <c r="C3029" s="14" t="str">
        <f>IF(ISBLANK(A3029),"",_xlfn.XLOOKUP(A3029,'DISPATCH SHEET'!C$3:C$121,'DISPATCH SHEET'!#REF!,""))</f>
        <v/>
      </c>
    </row>
    <row r="3030" spans="2:3" x14ac:dyDescent="0.2">
      <c r="B3030" s="14" t="str">
        <f>IF(A3030="","",_xlfn.XLOOKUP(A3030,'DISPATCH SHEET'!B$3:B$121,'DISPATCH SHEET'!C$3:C$121,""))</f>
        <v/>
      </c>
      <c r="C3030" s="14" t="str">
        <f>IF(ISBLANK(A3030),"",_xlfn.XLOOKUP(A3030,'DISPATCH SHEET'!C$3:C$121,'DISPATCH SHEET'!#REF!,""))</f>
        <v/>
      </c>
    </row>
    <row r="3031" spans="2:3" x14ac:dyDescent="0.2">
      <c r="B3031" s="14" t="str">
        <f>IF(A3031="","",_xlfn.XLOOKUP(A3031,'DISPATCH SHEET'!B$3:B$121,'DISPATCH SHEET'!C$3:C$121,""))</f>
        <v/>
      </c>
      <c r="C3031" s="14" t="str">
        <f>IF(ISBLANK(A3031),"",_xlfn.XLOOKUP(A3031,'DISPATCH SHEET'!C$3:C$121,'DISPATCH SHEET'!#REF!,""))</f>
        <v/>
      </c>
    </row>
    <row r="3032" spans="2:3" x14ac:dyDescent="0.2">
      <c r="B3032" s="14" t="str">
        <f>IF(A3032="","",_xlfn.XLOOKUP(A3032,'DISPATCH SHEET'!B$3:B$121,'DISPATCH SHEET'!C$3:C$121,""))</f>
        <v/>
      </c>
      <c r="C3032" s="14" t="str">
        <f>IF(ISBLANK(A3032),"",_xlfn.XLOOKUP(A3032,'DISPATCH SHEET'!C$3:C$121,'DISPATCH SHEET'!#REF!,""))</f>
        <v/>
      </c>
    </row>
    <row r="3033" spans="2:3" x14ac:dyDescent="0.2">
      <c r="B3033" s="14" t="str">
        <f>IF(A3033="","",_xlfn.XLOOKUP(A3033,'DISPATCH SHEET'!B$3:B$121,'DISPATCH SHEET'!C$3:C$121,""))</f>
        <v/>
      </c>
      <c r="C3033" s="14" t="str">
        <f>IF(ISBLANK(A3033),"",_xlfn.XLOOKUP(A3033,'DISPATCH SHEET'!C$3:C$121,'DISPATCH SHEET'!#REF!,""))</f>
        <v/>
      </c>
    </row>
    <row r="3034" spans="2:3" x14ac:dyDescent="0.2">
      <c r="B3034" s="14" t="str">
        <f>IF(A3034="","",_xlfn.XLOOKUP(A3034,'DISPATCH SHEET'!B$3:B$121,'DISPATCH SHEET'!C$3:C$121,""))</f>
        <v/>
      </c>
      <c r="C3034" s="14" t="str">
        <f>IF(ISBLANK(A3034),"",_xlfn.XLOOKUP(A3034,'DISPATCH SHEET'!C$3:C$121,'DISPATCH SHEET'!#REF!,""))</f>
        <v/>
      </c>
    </row>
    <row r="3035" spans="2:3" x14ac:dyDescent="0.2">
      <c r="B3035" s="14" t="str">
        <f>IF(A3035="","",_xlfn.XLOOKUP(A3035,'DISPATCH SHEET'!B$3:B$121,'DISPATCH SHEET'!C$3:C$121,""))</f>
        <v/>
      </c>
      <c r="C3035" s="14" t="str">
        <f>IF(ISBLANK(A3035),"",_xlfn.XLOOKUP(A3035,'DISPATCH SHEET'!C$3:C$121,'DISPATCH SHEET'!#REF!,""))</f>
        <v/>
      </c>
    </row>
    <row r="3036" spans="2:3" x14ac:dyDescent="0.2">
      <c r="B3036" s="14" t="str">
        <f>IF(A3036="","",_xlfn.XLOOKUP(A3036,'DISPATCH SHEET'!B$3:B$121,'DISPATCH SHEET'!C$3:C$121,""))</f>
        <v/>
      </c>
      <c r="C3036" s="14" t="str">
        <f>IF(ISBLANK(A3036),"",_xlfn.XLOOKUP(A3036,'DISPATCH SHEET'!C$3:C$121,'DISPATCH SHEET'!#REF!,""))</f>
        <v/>
      </c>
    </row>
    <row r="3037" spans="2:3" x14ac:dyDescent="0.2">
      <c r="B3037" s="14" t="str">
        <f>IF(A3037="","",_xlfn.XLOOKUP(A3037,'DISPATCH SHEET'!B$3:B$121,'DISPATCH SHEET'!C$3:C$121,""))</f>
        <v/>
      </c>
      <c r="C3037" s="14" t="str">
        <f>IF(ISBLANK(A3037),"",_xlfn.XLOOKUP(A3037,'DISPATCH SHEET'!C$3:C$121,'DISPATCH SHEET'!#REF!,""))</f>
        <v/>
      </c>
    </row>
    <row r="3038" spans="2:3" x14ac:dyDescent="0.2">
      <c r="B3038" s="14" t="str">
        <f>IF(A3038="","",_xlfn.XLOOKUP(A3038,'DISPATCH SHEET'!B$3:B$121,'DISPATCH SHEET'!C$3:C$121,""))</f>
        <v/>
      </c>
      <c r="C3038" s="14" t="str">
        <f>IF(ISBLANK(A3038),"",_xlfn.XLOOKUP(A3038,'DISPATCH SHEET'!C$3:C$121,'DISPATCH SHEET'!#REF!,""))</f>
        <v/>
      </c>
    </row>
    <row r="3039" spans="2:3" x14ac:dyDescent="0.2">
      <c r="B3039" s="14" t="str">
        <f>IF(A3039="","",_xlfn.XLOOKUP(A3039,'DISPATCH SHEET'!B$3:B$121,'DISPATCH SHEET'!C$3:C$121,""))</f>
        <v/>
      </c>
      <c r="C3039" s="14" t="str">
        <f>IF(ISBLANK(A3039),"",_xlfn.XLOOKUP(A3039,'DISPATCH SHEET'!C$3:C$121,'DISPATCH SHEET'!#REF!,""))</f>
        <v/>
      </c>
    </row>
    <row r="3040" spans="2:3" x14ac:dyDescent="0.2">
      <c r="B3040" s="14" t="str">
        <f>IF(A3040="","",_xlfn.XLOOKUP(A3040,'DISPATCH SHEET'!B$3:B$121,'DISPATCH SHEET'!C$3:C$121,""))</f>
        <v/>
      </c>
      <c r="C3040" s="14" t="str">
        <f>IF(ISBLANK(A3040),"",_xlfn.XLOOKUP(A3040,'DISPATCH SHEET'!C$3:C$121,'DISPATCH SHEET'!#REF!,""))</f>
        <v/>
      </c>
    </row>
    <row r="3041" spans="2:3" x14ac:dyDescent="0.2">
      <c r="B3041" s="14" t="str">
        <f>IF(A3041="","",_xlfn.XLOOKUP(A3041,'DISPATCH SHEET'!B$3:B$121,'DISPATCH SHEET'!C$3:C$121,""))</f>
        <v/>
      </c>
      <c r="C3041" s="14" t="str">
        <f>IF(ISBLANK(A3041),"",_xlfn.XLOOKUP(A3041,'DISPATCH SHEET'!C$3:C$121,'DISPATCH SHEET'!#REF!,""))</f>
        <v/>
      </c>
    </row>
    <row r="3042" spans="2:3" x14ac:dyDescent="0.2">
      <c r="B3042" s="14" t="str">
        <f>IF(A3042="","",_xlfn.XLOOKUP(A3042,'DISPATCH SHEET'!B$3:B$121,'DISPATCH SHEET'!C$3:C$121,""))</f>
        <v/>
      </c>
      <c r="C3042" s="14" t="str">
        <f>IF(ISBLANK(A3042),"",_xlfn.XLOOKUP(A3042,'DISPATCH SHEET'!C$3:C$121,'DISPATCH SHEET'!#REF!,""))</f>
        <v/>
      </c>
    </row>
    <row r="3043" spans="2:3" x14ac:dyDescent="0.2">
      <c r="B3043" s="14" t="str">
        <f>IF(A3043="","",_xlfn.XLOOKUP(A3043,'DISPATCH SHEET'!B$3:B$121,'DISPATCH SHEET'!C$3:C$121,""))</f>
        <v/>
      </c>
      <c r="C3043" s="14" t="str">
        <f>IF(ISBLANK(A3043),"",_xlfn.XLOOKUP(A3043,'DISPATCH SHEET'!C$3:C$121,'DISPATCH SHEET'!#REF!,""))</f>
        <v/>
      </c>
    </row>
    <row r="3044" spans="2:3" x14ac:dyDescent="0.2">
      <c r="B3044" s="14" t="str">
        <f>IF(A3044="","",_xlfn.XLOOKUP(A3044,'DISPATCH SHEET'!B$3:B$121,'DISPATCH SHEET'!C$3:C$121,""))</f>
        <v/>
      </c>
      <c r="C3044" s="14" t="str">
        <f>IF(ISBLANK(A3044),"",_xlfn.XLOOKUP(A3044,'DISPATCH SHEET'!C$3:C$121,'DISPATCH SHEET'!#REF!,""))</f>
        <v/>
      </c>
    </row>
    <row r="3045" spans="2:3" x14ac:dyDescent="0.2">
      <c r="B3045" s="14" t="str">
        <f>IF(A3045="","",_xlfn.XLOOKUP(A3045,'DISPATCH SHEET'!B$3:B$121,'DISPATCH SHEET'!C$3:C$121,""))</f>
        <v/>
      </c>
      <c r="C3045" s="14" t="str">
        <f>IF(ISBLANK(A3045),"",_xlfn.XLOOKUP(A3045,'DISPATCH SHEET'!C$3:C$121,'DISPATCH SHEET'!#REF!,""))</f>
        <v/>
      </c>
    </row>
    <row r="3046" spans="2:3" x14ac:dyDescent="0.2">
      <c r="B3046" s="14" t="str">
        <f>IF(A3046="","",_xlfn.XLOOKUP(A3046,'DISPATCH SHEET'!B$3:B$121,'DISPATCH SHEET'!C$3:C$121,""))</f>
        <v/>
      </c>
      <c r="C3046" s="14" t="str">
        <f>IF(ISBLANK(A3046),"",_xlfn.XLOOKUP(A3046,'DISPATCH SHEET'!C$3:C$121,'DISPATCH SHEET'!#REF!,""))</f>
        <v/>
      </c>
    </row>
    <row r="3047" spans="2:3" x14ac:dyDescent="0.2">
      <c r="B3047" s="14" t="str">
        <f>IF(A3047="","",_xlfn.XLOOKUP(A3047,'DISPATCH SHEET'!B$3:B$121,'DISPATCH SHEET'!C$3:C$121,""))</f>
        <v/>
      </c>
      <c r="C3047" s="14" t="str">
        <f>IF(ISBLANK(A3047),"",_xlfn.XLOOKUP(A3047,'DISPATCH SHEET'!C$3:C$121,'DISPATCH SHEET'!#REF!,""))</f>
        <v/>
      </c>
    </row>
    <row r="3048" spans="2:3" x14ac:dyDescent="0.2">
      <c r="B3048" s="14" t="str">
        <f>IF(A3048="","",_xlfn.XLOOKUP(A3048,'DISPATCH SHEET'!B$3:B$121,'DISPATCH SHEET'!C$3:C$121,""))</f>
        <v/>
      </c>
      <c r="C3048" s="14" t="str">
        <f>IF(ISBLANK(A3048),"",_xlfn.XLOOKUP(A3048,'DISPATCH SHEET'!C$3:C$121,'DISPATCH SHEET'!#REF!,""))</f>
        <v/>
      </c>
    </row>
    <row r="3049" spans="2:3" x14ac:dyDescent="0.2">
      <c r="B3049" s="14" t="str">
        <f>IF(A3049="","",_xlfn.XLOOKUP(A3049,'DISPATCH SHEET'!B$3:B$121,'DISPATCH SHEET'!C$3:C$121,""))</f>
        <v/>
      </c>
      <c r="C3049" s="14" t="str">
        <f>IF(ISBLANK(A3049),"",_xlfn.XLOOKUP(A3049,'DISPATCH SHEET'!C$3:C$121,'DISPATCH SHEET'!#REF!,""))</f>
        <v/>
      </c>
    </row>
    <row r="3050" spans="2:3" x14ac:dyDescent="0.2">
      <c r="B3050" s="14" t="str">
        <f>IF(A3050="","",_xlfn.XLOOKUP(A3050,'DISPATCH SHEET'!B$3:B$121,'DISPATCH SHEET'!C$3:C$121,""))</f>
        <v/>
      </c>
      <c r="C3050" s="14" t="str">
        <f>IF(ISBLANK(A3050),"",_xlfn.XLOOKUP(A3050,'DISPATCH SHEET'!C$3:C$121,'DISPATCH SHEET'!#REF!,""))</f>
        <v/>
      </c>
    </row>
    <row r="3051" spans="2:3" x14ac:dyDescent="0.2">
      <c r="B3051" s="14" t="str">
        <f>IF(A3051="","",_xlfn.XLOOKUP(A3051,'DISPATCH SHEET'!B$3:B$121,'DISPATCH SHEET'!C$3:C$121,""))</f>
        <v/>
      </c>
      <c r="C3051" s="14" t="str">
        <f>IF(ISBLANK(A3051),"",_xlfn.XLOOKUP(A3051,'DISPATCH SHEET'!C$3:C$121,'DISPATCH SHEET'!#REF!,""))</f>
        <v/>
      </c>
    </row>
    <row r="3052" spans="2:3" x14ac:dyDescent="0.2">
      <c r="B3052" s="14" t="str">
        <f>IF(A3052="","",_xlfn.XLOOKUP(A3052,'DISPATCH SHEET'!B$3:B$121,'DISPATCH SHEET'!C$3:C$121,""))</f>
        <v/>
      </c>
      <c r="C3052" s="14" t="str">
        <f>IF(ISBLANK(A3052),"",_xlfn.XLOOKUP(A3052,'DISPATCH SHEET'!C$3:C$121,'DISPATCH SHEET'!#REF!,""))</f>
        <v/>
      </c>
    </row>
    <row r="3053" spans="2:3" x14ac:dyDescent="0.2">
      <c r="B3053" s="14" t="str">
        <f>IF(A3053="","",_xlfn.XLOOKUP(A3053,'DISPATCH SHEET'!B$3:B$121,'DISPATCH SHEET'!C$3:C$121,""))</f>
        <v/>
      </c>
      <c r="C3053" s="14" t="str">
        <f>IF(ISBLANK(A3053),"",_xlfn.XLOOKUP(A3053,'DISPATCH SHEET'!C$3:C$121,'DISPATCH SHEET'!#REF!,""))</f>
        <v/>
      </c>
    </row>
    <row r="3054" spans="2:3" x14ac:dyDescent="0.2">
      <c r="B3054" s="14" t="str">
        <f>IF(A3054="","",_xlfn.XLOOKUP(A3054,'DISPATCH SHEET'!B$3:B$121,'DISPATCH SHEET'!C$3:C$121,""))</f>
        <v/>
      </c>
      <c r="C3054" s="14" t="str">
        <f>IF(ISBLANK(A3054),"",_xlfn.XLOOKUP(A3054,'DISPATCH SHEET'!C$3:C$121,'DISPATCH SHEET'!#REF!,""))</f>
        <v/>
      </c>
    </row>
    <row r="3055" spans="2:3" x14ac:dyDescent="0.2">
      <c r="B3055" s="14" t="str">
        <f>IF(A3055="","",_xlfn.XLOOKUP(A3055,'DISPATCH SHEET'!B$3:B$121,'DISPATCH SHEET'!C$3:C$121,""))</f>
        <v/>
      </c>
      <c r="C3055" s="14" t="str">
        <f>IF(ISBLANK(A3055),"",_xlfn.XLOOKUP(A3055,'DISPATCH SHEET'!C$3:C$121,'DISPATCH SHEET'!#REF!,""))</f>
        <v/>
      </c>
    </row>
    <row r="3056" spans="2:3" x14ac:dyDescent="0.2">
      <c r="B3056" s="14" t="str">
        <f>IF(A3056="","",_xlfn.XLOOKUP(A3056,'DISPATCH SHEET'!B$3:B$121,'DISPATCH SHEET'!C$3:C$121,""))</f>
        <v/>
      </c>
      <c r="C3056" s="14" t="str">
        <f>IF(ISBLANK(A3056),"",_xlfn.XLOOKUP(A3056,'DISPATCH SHEET'!C$3:C$121,'DISPATCH SHEET'!#REF!,""))</f>
        <v/>
      </c>
    </row>
    <row r="3057" spans="2:3" x14ac:dyDescent="0.2">
      <c r="B3057" s="14" t="str">
        <f>IF(A3057="","",_xlfn.XLOOKUP(A3057,'DISPATCH SHEET'!B$3:B$121,'DISPATCH SHEET'!C$3:C$121,""))</f>
        <v/>
      </c>
      <c r="C3057" s="14" t="str">
        <f>IF(ISBLANK(A3057),"",_xlfn.XLOOKUP(A3057,'DISPATCH SHEET'!C$3:C$121,'DISPATCH SHEET'!#REF!,""))</f>
        <v/>
      </c>
    </row>
    <row r="3058" spans="2:3" x14ac:dyDescent="0.2">
      <c r="B3058" s="14" t="str">
        <f>IF(A3058="","",_xlfn.XLOOKUP(A3058,'DISPATCH SHEET'!B$3:B$121,'DISPATCH SHEET'!C$3:C$121,""))</f>
        <v/>
      </c>
      <c r="C3058" s="14" t="str">
        <f>IF(ISBLANK(A3058),"",_xlfn.XLOOKUP(A3058,'DISPATCH SHEET'!C$3:C$121,'DISPATCH SHEET'!#REF!,""))</f>
        <v/>
      </c>
    </row>
    <row r="3059" spans="2:3" x14ac:dyDescent="0.2">
      <c r="B3059" s="14" t="str">
        <f>IF(A3059="","",_xlfn.XLOOKUP(A3059,'DISPATCH SHEET'!B$3:B$121,'DISPATCH SHEET'!C$3:C$121,""))</f>
        <v/>
      </c>
      <c r="C3059" s="14" t="str">
        <f>IF(ISBLANK(A3059),"",_xlfn.XLOOKUP(A3059,'DISPATCH SHEET'!C$3:C$121,'DISPATCH SHEET'!#REF!,""))</f>
        <v/>
      </c>
    </row>
    <row r="3060" spans="2:3" x14ac:dyDescent="0.2">
      <c r="B3060" s="14" t="str">
        <f>IF(A3060="","",_xlfn.XLOOKUP(A3060,'DISPATCH SHEET'!B$3:B$121,'DISPATCH SHEET'!C$3:C$121,""))</f>
        <v/>
      </c>
      <c r="C3060" s="14" t="str">
        <f>IF(ISBLANK(A3060),"",_xlfn.XLOOKUP(A3060,'DISPATCH SHEET'!C$3:C$121,'DISPATCH SHEET'!#REF!,""))</f>
        <v/>
      </c>
    </row>
    <row r="3061" spans="2:3" x14ac:dyDescent="0.2">
      <c r="B3061" s="14" t="str">
        <f>IF(A3061="","",_xlfn.XLOOKUP(A3061,'DISPATCH SHEET'!B$3:B$121,'DISPATCH SHEET'!C$3:C$121,""))</f>
        <v/>
      </c>
      <c r="C3061" s="14" t="str">
        <f>IF(ISBLANK(A3061),"",_xlfn.XLOOKUP(A3061,'DISPATCH SHEET'!C$3:C$121,'DISPATCH SHEET'!#REF!,""))</f>
        <v/>
      </c>
    </row>
    <row r="3062" spans="2:3" x14ac:dyDescent="0.2">
      <c r="B3062" s="14" t="str">
        <f>IF(A3062="","",_xlfn.XLOOKUP(A3062,'DISPATCH SHEET'!B$3:B$121,'DISPATCH SHEET'!C$3:C$121,""))</f>
        <v/>
      </c>
      <c r="C3062" s="14" t="str">
        <f>IF(ISBLANK(A3062),"",_xlfn.XLOOKUP(A3062,'DISPATCH SHEET'!C$3:C$121,'DISPATCH SHEET'!#REF!,""))</f>
        <v/>
      </c>
    </row>
    <row r="3063" spans="2:3" x14ac:dyDescent="0.2">
      <c r="B3063" s="14" t="str">
        <f>IF(A3063="","",_xlfn.XLOOKUP(A3063,'DISPATCH SHEET'!B$3:B$121,'DISPATCH SHEET'!C$3:C$121,""))</f>
        <v/>
      </c>
      <c r="C3063" s="14" t="str">
        <f>IF(ISBLANK(A3063),"",_xlfn.XLOOKUP(A3063,'DISPATCH SHEET'!C$3:C$121,'DISPATCH SHEET'!#REF!,""))</f>
        <v/>
      </c>
    </row>
    <row r="3064" spans="2:3" x14ac:dyDescent="0.2">
      <c r="B3064" s="14" t="str">
        <f>IF(A3064="","",_xlfn.XLOOKUP(A3064,'DISPATCH SHEET'!B$3:B$121,'DISPATCH SHEET'!C$3:C$121,""))</f>
        <v/>
      </c>
      <c r="C3064" s="14" t="str">
        <f>IF(ISBLANK(A3064),"",_xlfn.XLOOKUP(A3064,'DISPATCH SHEET'!C$3:C$121,'DISPATCH SHEET'!#REF!,""))</f>
        <v/>
      </c>
    </row>
    <row r="3065" spans="2:3" x14ac:dyDescent="0.2">
      <c r="B3065" s="14" t="str">
        <f>IF(A3065="","",_xlfn.XLOOKUP(A3065,'DISPATCH SHEET'!B$3:B$121,'DISPATCH SHEET'!C$3:C$121,""))</f>
        <v/>
      </c>
      <c r="C3065" s="14" t="str">
        <f>IF(ISBLANK(A3065),"",_xlfn.XLOOKUP(A3065,'DISPATCH SHEET'!C$3:C$121,'DISPATCH SHEET'!#REF!,""))</f>
        <v/>
      </c>
    </row>
    <row r="3066" spans="2:3" x14ac:dyDescent="0.2">
      <c r="B3066" s="14" t="str">
        <f>IF(A3066="","",_xlfn.XLOOKUP(A3066,'DISPATCH SHEET'!B$3:B$121,'DISPATCH SHEET'!C$3:C$121,""))</f>
        <v/>
      </c>
      <c r="C3066" s="14" t="str">
        <f>IF(ISBLANK(A3066),"",_xlfn.XLOOKUP(A3066,'DISPATCH SHEET'!C$3:C$121,'DISPATCH SHEET'!#REF!,""))</f>
        <v/>
      </c>
    </row>
    <row r="3067" spans="2:3" x14ac:dyDescent="0.2">
      <c r="B3067" s="14" t="str">
        <f>IF(A3067="","",_xlfn.XLOOKUP(A3067,'DISPATCH SHEET'!B$3:B$121,'DISPATCH SHEET'!C$3:C$121,""))</f>
        <v/>
      </c>
      <c r="C3067" s="14" t="str">
        <f>IF(ISBLANK(A3067),"",_xlfn.XLOOKUP(A3067,'DISPATCH SHEET'!C$3:C$121,'DISPATCH SHEET'!#REF!,""))</f>
        <v/>
      </c>
    </row>
    <row r="3068" spans="2:3" x14ac:dyDescent="0.2">
      <c r="B3068" s="14" t="str">
        <f>IF(A3068="","",_xlfn.XLOOKUP(A3068,'DISPATCH SHEET'!B$3:B$121,'DISPATCH SHEET'!C$3:C$121,""))</f>
        <v/>
      </c>
      <c r="C3068" s="14" t="str">
        <f>IF(ISBLANK(A3068),"",_xlfn.XLOOKUP(A3068,'DISPATCH SHEET'!C$3:C$121,'DISPATCH SHEET'!#REF!,""))</f>
        <v/>
      </c>
    </row>
    <row r="3069" spans="2:3" x14ac:dyDescent="0.2">
      <c r="B3069" s="14" t="str">
        <f>IF(A3069="","",_xlfn.XLOOKUP(A3069,'DISPATCH SHEET'!B$3:B$121,'DISPATCH SHEET'!C$3:C$121,""))</f>
        <v/>
      </c>
      <c r="C3069" s="14" t="str">
        <f>IF(ISBLANK(A3069),"",_xlfn.XLOOKUP(A3069,'DISPATCH SHEET'!C$3:C$121,'DISPATCH SHEET'!#REF!,""))</f>
        <v/>
      </c>
    </row>
    <row r="3070" spans="2:3" x14ac:dyDescent="0.2">
      <c r="B3070" s="14" t="str">
        <f>IF(A3070="","",_xlfn.XLOOKUP(A3070,'DISPATCH SHEET'!B$3:B$121,'DISPATCH SHEET'!C$3:C$121,""))</f>
        <v/>
      </c>
      <c r="C3070" s="14" t="str">
        <f>IF(ISBLANK(A3070),"",_xlfn.XLOOKUP(A3070,'DISPATCH SHEET'!C$3:C$121,'DISPATCH SHEET'!#REF!,""))</f>
        <v/>
      </c>
    </row>
    <row r="3071" spans="2:3" x14ac:dyDescent="0.2">
      <c r="B3071" s="14" t="str">
        <f>IF(A3071="","",_xlfn.XLOOKUP(A3071,'DISPATCH SHEET'!B$3:B$121,'DISPATCH SHEET'!C$3:C$121,""))</f>
        <v/>
      </c>
      <c r="C3071" s="14" t="str">
        <f>IF(ISBLANK(A3071),"",_xlfn.XLOOKUP(A3071,'DISPATCH SHEET'!C$3:C$121,'DISPATCH SHEET'!#REF!,""))</f>
        <v/>
      </c>
    </row>
    <row r="3072" spans="2:3" x14ac:dyDescent="0.2">
      <c r="B3072" s="14" t="str">
        <f>IF(A3072="","",_xlfn.XLOOKUP(A3072,'DISPATCH SHEET'!B$3:B$121,'DISPATCH SHEET'!C$3:C$121,""))</f>
        <v/>
      </c>
      <c r="C3072" s="14" t="str">
        <f>IF(ISBLANK(A3072),"",_xlfn.XLOOKUP(A3072,'DISPATCH SHEET'!C$3:C$121,'DISPATCH SHEET'!#REF!,""))</f>
        <v/>
      </c>
    </row>
    <row r="3073" spans="2:3" x14ac:dyDescent="0.2">
      <c r="B3073" s="14" t="str">
        <f>IF(A3073="","",_xlfn.XLOOKUP(A3073,'DISPATCH SHEET'!B$3:B$121,'DISPATCH SHEET'!C$3:C$121,""))</f>
        <v/>
      </c>
      <c r="C3073" s="14" t="str">
        <f>IF(ISBLANK(A3073),"",_xlfn.XLOOKUP(A3073,'DISPATCH SHEET'!C$3:C$121,'DISPATCH SHEET'!#REF!,""))</f>
        <v/>
      </c>
    </row>
    <row r="3074" spans="2:3" x14ac:dyDescent="0.2">
      <c r="B3074" s="14" t="str">
        <f>IF(A3074="","",_xlfn.XLOOKUP(A3074,'DISPATCH SHEET'!B$3:B$121,'DISPATCH SHEET'!C$3:C$121,""))</f>
        <v/>
      </c>
      <c r="C3074" s="14" t="str">
        <f>IF(ISBLANK(A3074),"",_xlfn.XLOOKUP(A3074,'DISPATCH SHEET'!C$3:C$121,'DISPATCH SHEET'!#REF!,""))</f>
        <v/>
      </c>
    </row>
    <row r="3075" spans="2:3" x14ac:dyDescent="0.2">
      <c r="B3075" s="14" t="str">
        <f>IF(A3075="","",_xlfn.XLOOKUP(A3075,'DISPATCH SHEET'!B$3:B$121,'DISPATCH SHEET'!C$3:C$121,""))</f>
        <v/>
      </c>
      <c r="C3075" s="14" t="str">
        <f>IF(ISBLANK(A3075),"",_xlfn.XLOOKUP(A3075,'DISPATCH SHEET'!C$3:C$121,'DISPATCH SHEET'!#REF!,""))</f>
        <v/>
      </c>
    </row>
    <row r="3076" spans="2:3" x14ac:dyDescent="0.2">
      <c r="B3076" s="14" t="str">
        <f>IF(A3076="","",_xlfn.XLOOKUP(A3076,'DISPATCH SHEET'!B$3:B$121,'DISPATCH SHEET'!C$3:C$121,""))</f>
        <v/>
      </c>
      <c r="C3076" s="14" t="str">
        <f>IF(ISBLANK(A3076),"",_xlfn.XLOOKUP(A3076,'DISPATCH SHEET'!C$3:C$121,'DISPATCH SHEET'!#REF!,""))</f>
        <v/>
      </c>
    </row>
    <row r="3077" spans="2:3" x14ac:dyDescent="0.2">
      <c r="B3077" s="14" t="str">
        <f>IF(A3077="","",_xlfn.XLOOKUP(A3077,'DISPATCH SHEET'!B$3:B$121,'DISPATCH SHEET'!C$3:C$121,""))</f>
        <v/>
      </c>
      <c r="C3077" s="14" t="str">
        <f>IF(ISBLANK(A3077),"",_xlfn.XLOOKUP(A3077,'DISPATCH SHEET'!C$3:C$121,'DISPATCH SHEET'!#REF!,""))</f>
        <v/>
      </c>
    </row>
    <row r="3078" spans="2:3" x14ac:dyDescent="0.2">
      <c r="B3078" s="14" t="str">
        <f>IF(A3078="","",_xlfn.XLOOKUP(A3078,'DISPATCH SHEET'!B$3:B$121,'DISPATCH SHEET'!C$3:C$121,""))</f>
        <v/>
      </c>
      <c r="C3078" s="14" t="str">
        <f>IF(ISBLANK(A3078),"",_xlfn.XLOOKUP(A3078,'DISPATCH SHEET'!C$3:C$121,'DISPATCH SHEET'!#REF!,""))</f>
        <v/>
      </c>
    </row>
    <row r="3079" spans="2:3" x14ac:dyDescent="0.2">
      <c r="B3079" s="14" t="str">
        <f>IF(A3079="","",_xlfn.XLOOKUP(A3079,'DISPATCH SHEET'!B$3:B$121,'DISPATCH SHEET'!C$3:C$121,""))</f>
        <v/>
      </c>
      <c r="C3079" s="14" t="str">
        <f>IF(ISBLANK(A3079),"",_xlfn.XLOOKUP(A3079,'DISPATCH SHEET'!C$3:C$121,'DISPATCH SHEET'!#REF!,""))</f>
        <v/>
      </c>
    </row>
    <row r="3080" spans="2:3" x14ac:dyDescent="0.2">
      <c r="B3080" s="14" t="str">
        <f>IF(A3080="","",_xlfn.XLOOKUP(A3080,'DISPATCH SHEET'!B$3:B$121,'DISPATCH SHEET'!C$3:C$121,""))</f>
        <v/>
      </c>
      <c r="C3080" s="14" t="str">
        <f>IF(ISBLANK(A3080),"",_xlfn.XLOOKUP(A3080,'DISPATCH SHEET'!C$3:C$121,'DISPATCH SHEET'!#REF!,""))</f>
        <v/>
      </c>
    </row>
    <row r="3081" spans="2:3" x14ac:dyDescent="0.2">
      <c r="B3081" s="14" t="str">
        <f>IF(A3081="","",_xlfn.XLOOKUP(A3081,'DISPATCH SHEET'!B$3:B$121,'DISPATCH SHEET'!C$3:C$121,""))</f>
        <v/>
      </c>
      <c r="C3081" s="14" t="str">
        <f>IF(ISBLANK(A3081),"",_xlfn.XLOOKUP(A3081,'DISPATCH SHEET'!C$3:C$121,'DISPATCH SHEET'!#REF!,""))</f>
        <v/>
      </c>
    </row>
    <row r="3082" spans="2:3" x14ac:dyDescent="0.2">
      <c r="B3082" s="14" t="str">
        <f>IF(A3082="","",_xlfn.XLOOKUP(A3082,'DISPATCH SHEET'!B$3:B$121,'DISPATCH SHEET'!C$3:C$121,""))</f>
        <v/>
      </c>
      <c r="C3082" s="14" t="str">
        <f>IF(ISBLANK(A3082),"",_xlfn.XLOOKUP(A3082,'DISPATCH SHEET'!C$3:C$121,'DISPATCH SHEET'!#REF!,""))</f>
        <v/>
      </c>
    </row>
    <row r="3083" spans="2:3" x14ac:dyDescent="0.2">
      <c r="B3083" s="14" t="str">
        <f>IF(A3083="","",_xlfn.XLOOKUP(A3083,'DISPATCH SHEET'!B$3:B$121,'DISPATCH SHEET'!C$3:C$121,""))</f>
        <v/>
      </c>
      <c r="C3083" s="14" t="str">
        <f>IF(ISBLANK(A3083),"",_xlfn.XLOOKUP(A3083,'DISPATCH SHEET'!C$3:C$121,'DISPATCH SHEET'!#REF!,""))</f>
        <v/>
      </c>
    </row>
    <row r="3084" spans="2:3" x14ac:dyDescent="0.2">
      <c r="B3084" s="14" t="str">
        <f>IF(A3084="","",_xlfn.XLOOKUP(A3084,'DISPATCH SHEET'!B$3:B$121,'DISPATCH SHEET'!C$3:C$121,""))</f>
        <v/>
      </c>
      <c r="C3084" s="14" t="str">
        <f>IF(ISBLANK(A3084),"",_xlfn.XLOOKUP(A3084,'DISPATCH SHEET'!C$3:C$121,'DISPATCH SHEET'!#REF!,""))</f>
        <v/>
      </c>
    </row>
    <row r="3085" spans="2:3" x14ac:dyDescent="0.2">
      <c r="B3085" s="14" t="str">
        <f>IF(A3085="","",_xlfn.XLOOKUP(A3085,'DISPATCH SHEET'!B$3:B$121,'DISPATCH SHEET'!C$3:C$121,""))</f>
        <v/>
      </c>
      <c r="C3085" s="14" t="str">
        <f>IF(ISBLANK(A3085),"",_xlfn.XLOOKUP(A3085,'DISPATCH SHEET'!C$3:C$121,'DISPATCH SHEET'!#REF!,""))</f>
        <v/>
      </c>
    </row>
    <row r="3086" spans="2:3" x14ac:dyDescent="0.2">
      <c r="B3086" s="14" t="str">
        <f>IF(A3086="","",_xlfn.XLOOKUP(A3086,'DISPATCH SHEET'!B$3:B$121,'DISPATCH SHEET'!C$3:C$121,""))</f>
        <v/>
      </c>
      <c r="C3086" s="14" t="str">
        <f>IF(ISBLANK(A3086),"",_xlfn.XLOOKUP(A3086,'DISPATCH SHEET'!C$3:C$121,'DISPATCH SHEET'!#REF!,""))</f>
        <v/>
      </c>
    </row>
    <row r="3087" spans="2:3" x14ac:dyDescent="0.2">
      <c r="B3087" s="14" t="str">
        <f>IF(A3087="","",_xlfn.XLOOKUP(A3087,'DISPATCH SHEET'!B$3:B$121,'DISPATCH SHEET'!C$3:C$121,""))</f>
        <v/>
      </c>
      <c r="C3087" s="14" t="str">
        <f>IF(ISBLANK(A3087),"",_xlfn.XLOOKUP(A3087,'DISPATCH SHEET'!C$3:C$121,'DISPATCH SHEET'!#REF!,""))</f>
        <v/>
      </c>
    </row>
    <row r="3088" spans="2:3" x14ac:dyDescent="0.2">
      <c r="B3088" s="14" t="str">
        <f>IF(A3088="","",_xlfn.XLOOKUP(A3088,'DISPATCH SHEET'!B$3:B$121,'DISPATCH SHEET'!C$3:C$121,""))</f>
        <v/>
      </c>
      <c r="C3088" s="14" t="str">
        <f>IF(ISBLANK(A3088),"",_xlfn.XLOOKUP(A3088,'DISPATCH SHEET'!C$3:C$121,'DISPATCH SHEET'!#REF!,""))</f>
        <v/>
      </c>
    </row>
    <row r="3089" spans="2:3" x14ac:dyDescent="0.2">
      <c r="B3089" s="14" t="str">
        <f>IF(A3089="","",_xlfn.XLOOKUP(A3089,'DISPATCH SHEET'!B$3:B$121,'DISPATCH SHEET'!C$3:C$121,""))</f>
        <v/>
      </c>
      <c r="C3089" s="14" t="str">
        <f>IF(ISBLANK(A3089),"",_xlfn.XLOOKUP(A3089,'DISPATCH SHEET'!C$3:C$121,'DISPATCH SHEET'!#REF!,""))</f>
        <v/>
      </c>
    </row>
    <row r="3090" spans="2:3" x14ac:dyDescent="0.2">
      <c r="B3090" s="14" t="str">
        <f>IF(A3090="","",_xlfn.XLOOKUP(A3090,'DISPATCH SHEET'!B$3:B$121,'DISPATCH SHEET'!C$3:C$121,""))</f>
        <v/>
      </c>
      <c r="C3090" s="14" t="str">
        <f>IF(ISBLANK(A3090),"",_xlfn.XLOOKUP(A3090,'DISPATCH SHEET'!C$3:C$121,'DISPATCH SHEET'!#REF!,""))</f>
        <v/>
      </c>
    </row>
    <row r="3091" spans="2:3" x14ac:dyDescent="0.2">
      <c r="B3091" s="14" t="str">
        <f>IF(A3091="","",_xlfn.XLOOKUP(A3091,'DISPATCH SHEET'!B$3:B$121,'DISPATCH SHEET'!C$3:C$121,""))</f>
        <v/>
      </c>
      <c r="C3091" s="14" t="str">
        <f>IF(ISBLANK(A3091),"",_xlfn.XLOOKUP(A3091,'DISPATCH SHEET'!C$3:C$121,'DISPATCH SHEET'!#REF!,""))</f>
        <v/>
      </c>
    </row>
    <row r="3092" spans="2:3" x14ac:dyDescent="0.2">
      <c r="B3092" s="14" t="str">
        <f>IF(A3092="","",_xlfn.XLOOKUP(A3092,'DISPATCH SHEET'!B$3:B$121,'DISPATCH SHEET'!C$3:C$121,""))</f>
        <v/>
      </c>
      <c r="C3092" s="14" t="str">
        <f>IF(ISBLANK(A3092),"",_xlfn.XLOOKUP(A3092,'DISPATCH SHEET'!C$3:C$121,'DISPATCH SHEET'!#REF!,""))</f>
        <v/>
      </c>
    </row>
    <row r="3093" spans="2:3" x14ac:dyDescent="0.2">
      <c r="B3093" s="14" t="str">
        <f>IF(A3093="","",_xlfn.XLOOKUP(A3093,'DISPATCH SHEET'!B$3:B$121,'DISPATCH SHEET'!C$3:C$121,""))</f>
        <v/>
      </c>
      <c r="C3093" s="14" t="str">
        <f>IF(ISBLANK(A3093),"",_xlfn.XLOOKUP(A3093,'DISPATCH SHEET'!C$3:C$121,'DISPATCH SHEET'!#REF!,""))</f>
        <v/>
      </c>
    </row>
    <row r="3094" spans="2:3" x14ac:dyDescent="0.2">
      <c r="B3094" s="14" t="str">
        <f>IF(A3094="","",_xlfn.XLOOKUP(A3094,'DISPATCH SHEET'!B$3:B$121,'DISPATCH SHEET'!C$3:C$121,""))</f>
        <v/>
      </c>
      <c r="C3094" s="14" t="str">
        <f>IF(ISBLANK(A3094),"",_xlfn.XLOOKUP(A3094,'DISPATCH SHEET'!C$3:C$121,'DISPATCH SHEET'!#REF!,""))</f>
        <v/>
      </c>
    </row>
    <row r="3095" spans="2:3" x14ac:dyDescent="0.2">
      <c r="B3095" s="14" t="str">
        <f>IF(A3095="","",_xlfn.XLOOKUP(A3095,'DISPATCH SHEET'!B$3:B$121,'DISPATCH SHEET'!C$3:C$121,""))</f>
        <v/>
      </c>
      <c r="C3095" s="14" t="str">
        <f>IF(ISBLANK(A3095),"",_xlfn.XLOOKUP(A3095,'DISPATCH SHEET'!C$3:C$121,'DISPATCH SHEET'!#REF!,""))</f>
        <v/>
      </c>
    </row>
    <row r="3096" spans="2:3" x14ac:dyDescent="0.2">
      <c r="B3096" s="14" t="str">
        <f>IF(A3096="","",_xlfn.XLOOKUP(A3096,'DISPATCH SHEET'!B$3:B$121,'DISPATCH SHEET'!C$3:C$121,""))</f>
        <v/>
      </c>
      <c r="C3096" s="14" t="str">
        <f>IF(ISBLANK(A3096),"",_xlfn.XLOOKUP(A3096,'DISPATCH SHEET'!C$3:C$121,'DISPATCH SHEET'!#REF!,""))</f>
        <v/>
      </c>
    </row>
    <row r="3097" spans="2:3" x14ac:dyDescent="0.2">
      <c r="B3097" s="14" t="str">
        <f>IF(A3097="","",_xlfn.XLOOKUP(A3097,'DISPATCH SHEET'!B$3:B$121,'DISPATCH SHEET'!C$3:C$121,""))</f>
        <v/>
      </c>
      <c r="C3097" s="14" t="str">
        <f>IF(ISBLANK(A3097),"",_xlfn.XLOOKUP(A3097,'DISPATCH SHEET'!C$3:C$121,'DISPATCH SHEET'!#REF!,""))</f>
        <v/>
      </c>
    </row>
    <row r="3098" spans="2:3" x14ac:dyDescent="0.2">
      <c r="B3098" s="14" t="str">
        <f>IF(A3098="","",_xlfn.XLOOKUP(A3098,'DISPATCH SHEET'!B$3:B$121,'DISPATCH SHEET'!C$3:C$121,""))</f>
        <v/>
      </c>
      <c r="C3098" s="14" t="str">
        <f>IF(ISBLANK(A3098),"",_xlfn.XLOOKUP(A3098,'DISPATCH SHEET'!C$3:C$121,'DISPATCH SHEET'!#REF!,""))</f>
        <v/>
      </c>
    </row>
    <row r="3099" spans="2:3" x14ac:dyDescent="0.2">
      <c r="B3099" s="14" t="str">
        <f>IF(A3099="","",_xlfn.XLOOKUP(A3099,'DISPATCH SHEET'!B$3:B$121,'DISPATCH SHEET'!C$3:C$121,""))</f>
        <v/>
      </c>
      <c r="C3099" s="14" t="str">
        <f>IF(ISBLANK(A3099),"",_xlfn.XLOOKUP(A3099,'DISPATCH SHEET'!C$3:C$121,'DISPATCH SHEET'!#REF!,""))</f>
        <v/>
      </c>
    </row>
    <row r="3100" spans="2:3" x14ac:dyDescent="0.2">
      <c r="B3100" s="14" t="str">
        <f>IF(A3100="","",_xlfn.XLOOKUP(A3100,'DISPATCH SHEET'!B$3:B$121,'DISPATCH SHEET'!C$3:C$121,""))</f>
        <v/>
      </c>
      <c r="C3100" s="14" t="str">
        <f>IF(ISBLANK(A3100),"",_xlfn.XLOOKUP(A3100,'DISPATCH SHEET'!C$3:C$121,'DISPATCH SHEET'!#REF!,""))</f>
        <v/>
      </c>
    </row>
    <row r="3101" spans="2:3" x14ac:dyDescent="0.2">
      <c r="B3101" s="14" t="str">
        <f>IF(A3101="","",_xlfn.XLOOKUP(A3101,'DISPATCH SHEET'!B$3:B$121,'DISPATCH SHEET'!C$3:C$121,""))</f>
        <v/>
      </c>
      <c r="C3101" s="14" t="str">
        <f>IF(ISBLANK(A3101),"",_xlfn.XLOOKUP(A3101,'DISPATCH SHEET'!C$3:C$121,'DISPATCH SHEET'!#REF!,""))</f>
        <v/>
      </c>
    </row>
    <row r="3102" spans="2:3" x14ac:dyDescent="0.2">
      <c r="B3102" s="14" t="str">
        <f>IF(A3102="","",_xlfn.XLOOKUP(A3102,'DISPATCH SHEET'!B$3:B$121,'DISPATCH SHEET'!C$3:C$121,""))</f>
        <v/>
      </c>
      <c r="C3102" s="14" t="str">
        <f>IF(ISBLANK(A3102),"",_xlfn.XLOOKUP(A3102,'DISPATCH SHEET'!C$3:C$121,'DISPATCH SHEET'!#REF!,""))</f>
        <v/>
      </c>
    </row>
    <row r="3103" spans="2:3" x14ac:dyDescent="0.2">
      <c r="B3103" s="14" t="str">
        <f>IF(A3103="","",_xlfn.XLOOKUP(A3103,'DISPATCH SHEET'!B$3:B$121,'DISPATCH SHEET'!C$3:C$121,""))</f>
        <v/>
      </c>
      <c r="C3103" s="14" t="str">
        <f>IF(ISBLANK(A3103),"",_xlfn.XLOOKUP(A3103,'DISPATCH SHEET'!C$3:C$121,'DISPATCH SHEET'!#REF!,""))</f>
        <v/>
      </c>
    </row>
    <row r="3104" spans="2:3" x14ac:dyDescent="0.2">
      <c r="B3104" s="14" t="str">
        <f>IF(A3104="","",_xlfn.XLOOKUP(A3104,'DISPATCH SHEET'!B$3:B$121,'DISPATCH SHEET'!C$3:C$121,""))</f>
        <v/>
      </c>
      <c r="C3104" s="14" t="str">
        <f>IF(ISBLANK(A3104),"",_xlfn.XLOOKUP(A3104,'DISPATCH SHEET'!C$3:C$121,'DISPATCH SHEET'!#REF!,""))</f>
        <v/>
      </c>
    </row>
    <row r="3105" spans="2:3" x14ac:dyDescent="0.2">
      <c r="B3105" s="14" t="str">
        <f>IF(A3105="","",_xlfn.XLOOKUP(A3105,'DISPATCH SHEET'!B$3:B$121,'DISPATCH SHEET'!C$3:C$121,""))</f>
        <v/>
      </c>
      <c r="C3105" s="14" t="str">
        <f>IF(ISBLANK(A3105),"",_xlfn.XLOOKUP(A3105,'DISPATCH SHEET'!C$3:C$121,'DISPATCH SHEET'!#REF!,""))</f>
        <v/>
      </c>
    </row>
    <row r="3106" spans="2:3" x14ac:dyDescent="0.2">
      <c r="B3106" s="14" t="str">
        <f>IF(A3106="","",_xlfn.XLOOKUP(A3106,'DISPATCH SHEET'!B$3:B$121,'DISPATCH SHEET'!C$3:C$121,""))</f>
        <v/>
      </c>
      <c r="C3106" s="14" t="str">
        <f>IF(ISBLANK(A3106),"",_xlfn.XLOOKUP(A3106,'DISPATCH SHEET'!C$3:C$121,'DISPATCH SHEET'!#REF!,""))</f>
        <v/>
      </c>
    </row>
    <row r="3107" spans="2:3" x14ac:dyDescent="0.2">
      <c r="B3107" s="14" t="str">
        <f>IF(A3107="","",_xlfn.XLOOKUP(A3107,'DISPATCH SHEET'!B$3:B$121,'DISPATCH SHEET'!C$3:C$121,""))</f>
        <v/>
      </c>
      <c r="C3107" s="14" t="str">
        <f>IF(ISBLANK(A3107),"",_xlfn.XLOOKUP(A3107,'DISPATCH SHEET'!C$3:C$121,'DISPATCH SHEET'!#REF!,""))</f>
        <v/>
      </c>
    </row>
    <row r="3108" spans="2:3" x14ac:dyDescent="0.2">
      <c r="B3108" s="14" t="str">
        <f>IF(A3108="","",_xlfn.XLOOKUP(A3108,'DISPATCH SHEET'!B$3:B$121,'DISPATCH SHEET'!C$3:C$121,""))</f>
        <v/>
      </c>
      <c r="C3108" s="14" t="str">
        <f>IF(ISBLANK(A3108),"",_xlfn.XLOOKUP(A3108,'DISPATCH SHEET'!C$3:C$121,'DISPATCH SHEET'!#REF!,""))</f>
        <v/>
      </c>
    </row>
    <row r="3109" spans="2:3" x14ac:dyDescent="0.2">
      <c r="B3109" s="14" t="str">
        <f>IF(A3109="","",_xlfn.XLOOKUP(A3109,'DISPATCH SHEET'!B$3:B$121,'DISPATCH SHEET'!C$3:C$121,""))</f>
        <v/>
      </c>
      <c r="C3109" s="14" t="str">
        <f>IF(ISBLANK(A3109),"",_xlfn.XLOOKUP(A3109,'DISPATCH SHEET'!C$3:C$121,'DISPATCH SHEET'!#REF!,""))</f>
        <v/>
      </c>
    </row>
    <row r="3110" spans="2:3" x14ac:dyDescent="0.2">
      <c r="B3110" s="14" t="str">
        <f>IF(A3110="","",_xlfn.XLOOKUP(A3110,'DISPATCH SHEET'!B$3:B$121,'DISPATCH SHEET'!C$3:C$121,""))</f>
        <v/>
      </c>
      <c r="C3110" s="14" t="str">
        <f>IF(ISBLANK(A3110),"",_xlfn.XLOOKUP(A3110,'DISPATCH SHEET'!C$3:C$121,'DISPATCH SHEET'!#REF!,""))</f>
        <v/>
      </c>
    </row>
    <row r="3111" spans="2:3" x14ac:dyDescent="0.2">
      <c r="B3111" s="14" t="str">
        <f>IF(A3111="","",_xlfn.XLOOKUP(A3111,'DISPATCH SHEET'!B$3:B$121,'DISPATCH SHEET'!C$3:C$121,""))</f>
        <v/>
      </c>
      <c r="C3111" s="14" t="str">
        <f>IF(ISBLANK(A3111),"",_xlfn.XLOOKUP(A3111,'DISPATCH SHEET'!C$3:C$121,'DISPATCH SHEET'!#REF!,""))</f>
        <v/>
      </c>
    </row>
    <row r="3112" spans="2:3" x14ac:dyDescent="0.2">
      <c r="B3112" s="14" t="str">
        <f>IF(A3112="","",_xlfn.XLOOKUP(A3112,'DISPATCH SHEET'!B$3:B$121,'DISPATCH SHEET'!C$3:C$121,""))</f>
        <v/>
      </c>
      <c r="C3112" s="14" t="str">
        <f>IF(ISBLANK(A3112),"",_xlfn.XLOOKUP(A3112,'DISPATCH SHEET'!C$3:C$121,'DISPATCH SHEET'!#REF!,""))</f>
        <v/>
      </c>
    </row>
    <row r="3113" spans="2:3" x14ac:dyDescent="0.2">
      <c r="B3113" s="14" t="str">
        <f>IF(A3113="","",_xlfn.XLOOKUP(A3113,'DISPATCH SHEET'!B$3:B$121,'DISPATCH SHEET'!C$3:C$121,""))</f>
        <v/>
      </c>
      <c r="C3113" s="14" t="str">
        <f>IF(ISBLANK(A3113),"",_xlfn.XLOOKUP(A3113,'DISPATCH SHEET'!C$3:C$121,'DISPATCH SHEET'!#REF!,""))</f>
        <v/>
      </c>
    </row>
    <row r="3114" spans="2:3" x14ac:dyDescent="0.2">
      <c r="B3114" s="14" t="str">
        <f>IF(A3114="","",_xlfn.XLOOKUP(A3114,'DISPATCH SHEET'!B$3:B$121,'DISPATCH SHEET'!C$3:C$121,""))</f>
        <v/>
      </c>
      <c r="C3114" s="14" t="str">
        <f>IF(ISBLANK(A3114),"",_xlfn.XLOOKUP(A3114,'DISPATCH SHEET'!C$3:C$121,'DISPATCH SHEET'!#REF!,""))</f>
        <v/>
      </c>
    </row>
    <row r="3115" spans="2:3" x14ac:dyDescent="0.2">
      <c r="B3115" s="14" t="str">
        <f>IF(A3115="","",_xlfn.XLOOKUP(A3115,'DISPATCH SHEET'!B$3:B$121,'DISPATCH SHEET'!C$3:C$121,""))</f>
        <v/>
      </c>
      <c r="C3115" s="14" t="str">
        <f>IF(ISBLANK(A3115),"",_xlfn.XLOOKUP(A3115,'DISPATCH SHEET'!C$3:C$121,'DISPATCH SHEET'!#REF!,""))</f>
        <v/>
      </c>
    </row>
    <row r="3116" spans="2:3" x14ac:dyDescent="0.2">
      <c r="B3116" s="14" t="str">
        <f>IF(A3116="","",_xlfn.XLOOKUP(A3116,'DISPATCH SHEET'!B$3:B$121,'DISPATCH SHEET'!C$3:C$121,""))</f>
        <v/>
      </c>
      <c r="C3116" s="14" t="str">
        <f>IF(ISBLANK(A3116),"",_xlfn.XLOOKUP(A3116,'DISPATCH SHEET'!C$3:C$121,'DISPATCH SHEET'!#REF!,""))</f>
        <v/>
      </c>
    </row>
    <row r="3117" spans="2:3" x14ac:dyDescent="0.2">
      <c r="B3117" s="14" t="str">
        <f>IF(A3117="","",_xlfn.XLOOKUP(A3117,'DISPATCH SHEET'!B$3:B$121,'DISPATCH SHEET'!C$3:C$121,""))</f>
        <v/>
      </c>
      <c r="C3117" s="14" t="str">
        <f>IF(ISBLANK(A3117),"",_xlfn.XLOOKUP(A3117,'DISPATCH SHEET'!C$3:C$121,'DISPATCH SHEET'!#REF!,""))</f>
        <v/>
      </c>
    </row>
    <row r="3118" spans="2:3" x14ac:dyDescent="0.2">
      <c r="B3118" s="14" t="str">
        <f>IF(A3118="","",_xlfn.XLOOKUP(A3118,'DISPATCH SHEET'!B$3:B$121,'DISPATCH SHEET'!C$3:C$121,""))</f>
        <v/>
      </c>
      <c r="C3118" s="14" t="str">
        <f>IF(ISBLANK(A3118),"",_xlfn.XLOOKUP(A3118,'DISPATCH SHEET'!C$3:C$121,'DISPATCH SHEET'!#REF!,""))</f>
        <v/>
      </c>
    </row>
    <row r="3119" spans="2:3" x14ac:dyDescent="0.2">
      <c r="B3119" s="14" t="str">
        <f>IF(A3119="","",_xlfn.XLOOKUP(A3119,'DISPATCH SHEET'!B$3:B$121,'DISPATCH SHEET'!C$3:C$121,""))</f>
        <v/>
      </c>
      <c r="C3119" s="14" t="str">
        <f>IF(ISBLANK(A3119),"",_xlfn.XLOOKUP(A3119,'DISPATCH SHEET'!C$3:C$121,'DISPATCH SHEET'!#REF!,""))</f>
        <v/>
      </c>
    </row>
    <row r="3120" spans="2:3" x14ac:dyDescent="0.2">
      <c r="B3120" s="14" t="str">
        <f>IF(A3120="","",_xlfn.XLOOKUP(A3120,'DISPATCH SHEET'!B$3:B$121,'DISPATCH SHEET'!C$3:C$121,""))</f>
        <v/>
      </c>
      <c r="C3120" s="14" t="str">
        <f>IF(ISBLANK(A3120),"",_xlfn.XLOOKUP(A3120,'DISPATCH SHEET'!C$3:C$121,'DISPATCH SHEET'!#REF!,""))</f>
        <v/>
      </c>
    </row>
    <row r="3121" spans="2:3" x14ac:dyDescent="0.2">
      <c r="B3121" s="14" t="str">
        <f>IF(A3121="","",_xlfn.XLOOKUP(A3121,'DISPATCH SHEET'!B$3:B$121,'DISPATCH SHEET'!C$3:C$121,""))</f>
        <v/>
      </c>
      <c r="C3121" s="14" t="str">
        <f>IF(ISBLANK(A3121),"",_xlfn.XLOOKUP(A3121,'DISPATCH SHEET'!C$3:C$121,'DISPATCH SHEET'!#REF!,""))</f>
        <v/>
      </c>
    </row>
    <row r="3122" spans="2:3" x14ac:dyDescent="0.2">
      <c r="B3122" s="14" t="str">
        <f>IF(A3122="","",_xlfn.XLOOKUP(A3122,'DISPATCH SHEET'!B$3:B$121,'DISPATCH SHEET'!C$3:C$121,""))</f>
        <v/>
      </c>
      <c r="C3122" s="14" t="str">
        <f>IF(ISBLANK(A3122),"",_xlfn.XLOOKUP(A3122,'DISPATCH SHEET'!C$3:C$121,'DISPATCH SHEET'!#REF!,""))</f>
        <v/>
      </c>
    </row>
    <row r="3123" spans="2:3" x14ac:dyDescent="0.2">
      <c r="B3123" s="14" t="str">
        <f>IF(A3123="","",_xlfn.XLOOKUP(A3123,'DISPATCH SHEET'!B$3:B$121,'DISPATCH SHEET'!C$3:C$121,""))</f>
        <v/>
      </c>
      <c r="C3123" s="14" t="str">
        <f>IF(ISBLANK(A3123),"",_xlfn.XLOOKUP(A3123,'DISPATCH SHEET'!C$3:C$121,'DISPATCH SHEET'!#REF!,""))</f>
        <v/>
      </c>
    </row>
    <row r="3124" spans="2:3" x14ac:dyDescent="0.2">
      <c r="B3124" s="14" t="str">
        <f>IF(A3124="","",_xlfn.XLOOKUP(A3124,'DISPATCH SHEET'!B$3:B$121,'DISPATCH SHEET'!C$3:C$121,""))</f>
        <v/>
      </c>
      <c r="C3124" s="14" t="str">
        <f>IF(ISBLANK(A3124),"",_xlfn.XLOOKUP(A3124,'DISPATCH SHEET'!C$3:C$121,'DISPATCH SHEET'!#REF!,""))</f>
        <v/>
      </c>
    </row>
    <row r="3125" spans="2:3" x14ac:dyDescent="0.2">
      <c r="B3125" s="14" t="str">
        <f>IF(A3125="","",_xlfn.XLOOKUP(A3125,'DISPATCH SHEET'!B$3:B$121,'DISPATCH SHEET'!C$3:C$121,""))</f>
        <v/>
      </c>
      <c r="C3125" s="14" t="str">
        <f>IF(ISBLANK(A3125),"",_xlfn.XLOOKUP(A3125,'DISPATCH SHEET'!C$3:C$121,'DISPATCH SHEET'!#REF!,""))</f>
        <v/>
      </c>
    </row>
    <row r="3126" spans="2:3" x14ac:dyDescent="0.2">
      <c r="B3126" s="14" t="str">
        <f>IF(A3126="","",_xlfn.XLOOKUP(A3126,'DISPATCH SHEET'!B$3:B$121,'DISPATCH SHEET'!C$3:C$121,""))</f>
        <v/>
      </c>
      <c r="C3126" s="14" t="str">
        <f>IF(ISBLANK(A3126),"",_xlfn.XLOOKUP(A3126,'DISPATCH SHEET'!C$3:C$121,'DISPATCH SHEET'!#REF!,""))</f>
        <v/>
      </c>
    </row>
    <row r="3127" spans="2:3" x14ac:dyDescent="0.2">
      <c r="B3127" s="14" t="str">
        <f>IF(A3127="","",_xlfn.XLOOKUP(A3127,'DISPATCH SHEET'!B$3:B$121,'DISPATCH SHEET'!C$3:C$121,""))</f>
        <v/>
      </c>
      <c r="C3127" s="14" t="str">
        <f>IF(ISBLANK(A3127),"",_xlfn.XLOOKUP(A3127,'DISPATCH SHEET'!C$3:C$121,'DISPATCH SHEET'!#REF!,""))</f>
        <v/>
      </c>
    </row>
    <row r="3128" spans="2:3" x14ac:dyDescent="0.2">
      <c r="B3128" s="14" t="str">
        <f>IF(A3128="","",_xlfn.XLOOKUP(A3128,'DISPATCH SHEET'!B$3:B$121,'DISPATCH SHEET'!C$3:C$121,""))</f>
        <v/>
      </c>
      <c r="C3128" s="14" t="str">
        <f>IF(ISBLANK(A3128),"",_xlfn.XLOOKUP(A3128,'DISPATCH SHEET'!C$3:C$121,'DISPATCH SHEET'!#REF!,""))</f>
        <v/>
      </c>
    </row>
    <row r="3129" spans="2:3" x14ac:dyDescent="0.2">
      <c r="B3129" s="14" t="str">
        <f>IF(A3129="","",_xlfn.XLOOKUP(A3129,'DISPATCH SHEET'!B$3:B$121,'DISPATCH SHEET'!C$3:C$121,""))</f>
        <v/>
      </c>
      <c r="C3129" s="14" t="str">
        <f>IF(ISBLANK(A3129),"",_xlfn.XLOOKUP(A3129,'DISPATCH SHEET'!C$3:C$121,'DISPATCH SHEET'!#REF!,""))</f>
        <v/>
      </c>
    </row>
    <row r="3130" spans="2:3" x14ac:dyDescent="0.2">
      <c r="B3130" s="14" t="str">
        <f>IF(A3130="","",_xlfn.XLOOKUP(A3130,'DISPATCH SHEET'!B$3:B$121,'DISPATCH SHEET'!C$3:C$121,""))</f>
        <v/>
      </c>
      <c r="C3130" s="14" t="str">
        <f>IF(ISBLANK(A3130),"",_xlfn.XLOOKUP(A3130,'DISPATCH SHEET'!C$3:C$121,'DISPATCH SHEET'!#REF!,""))</f>
        <v/>
      </c>
    </row>
    <row r="3131" spans="2:3" x14ac:dyDescent="0.2">
      <c r="B3131" s="14" t="str">
        <f>IF(A3131="","",_xlfn.XLOOKUP(A3131,'DISPATCH SHEET'!B$3:B$121,'DISPATCH SHEET'!C$3:C$121,""))</f>
        <v/>
      </c>
      <c r="C3131" s="14" t="str">
        <f>IF(ISBLANK(A3131),"",_xlfn.XLOOKUP(A3131,'DISPATCH SHEET'!C$3:C$121,'DISPATCH SHEET'!#REF!,""))</f>
        <v/>
      </c>
    </row>
    <row r="3132" spans="2:3" x14ac:dyDescent="0.2">
      <c r="B3132" s="14" t="str">
        <f>IF(A3132="","",_xlfn.XLOOKUP(A3132,'DISPATCH SHEET'!B$3:B$121,'DISPATCH SHEET'!C$3:C$121,""))</f>
        <v/>
      </c>
      <c r="C3132" s="14" t="str">
        <f>IF(ISBLANK(A3132),"",_xlfn.XLOOKUP(A3132,'DISPATCH SHEET'!C$3:C$121,'DISPATCH SHEET'!#REF!,""))</f>
        <v/>
      </c>
    </row>
    <row r="3133" spans="2:3" x14ac:dyDescent="0.2">
      <c r="B3133" s="14" t="str">
        <f>IF(A3133="","",_xlfn.XLOOKUP(A3133,'DISPATCH SHEET'!B$3:B$121,'DISPATCH SHEET'!C$3:C$121,""))</f>
        <v/>
      </c>
      <c r="C3133" s="14" t="str">
        <f>IF(ISBLANK(A3133),"",_xlfn.XLOOKUP(A3133,'DISPATCH SHEET'!C$3:C$121,'DISPATCH SHEET'!#REF!,""))</f>
        <v/>
      </c>
    </row>
    <row r="3134" spans="2:3" x14ac:dyDescent="0.2">
      <c r="B3134" s="14" t="str">
        <f>IF(A3134="","",_xlfn.XLOOKUP(A3134,'DISPATCH SHEET'!B$3:B$121,'DISPATCH SHEET'!C$3:C$121,""))</f>
        <v/>
      </c>
      <c r="C3134" s="14" t="str">
        <f>IF(ISBLANK(A3134),"",_xlfn.XLOOKUP(A3134,'DISPATCH SHEET'!C$3:C$121,'DISPATCH SHEET'!#REF!,""))</f>
        <v/>
      </c>
    </row>
    <row r="3135" spans="2:3" x14ac:dyDescent="0.2">
      <c r="B3135" s="14" t="str">
        <f>IF(A3135="","",_xlfn.XLOOKUP(A3135,'DISPATCH SHEET'!B$3:B$121,'DISPATCH SHEET'!C$3:C$121,""))</f>
        <v/>
      </c>
      <c r="C3135" s="14" t="str">
        <f>IF(ISBLANK(A3135),"",_xlfn.XLOOKUP(A3135,'DISPATCH SHEET'!C$3:C$121,'DISPATCH SHEET'!#REF!,""))</f>
        <v/>
      </c>
    </row>
    <row r="3136" spans="2:3" x14ac:dyDescent="0.2">
      <c r="B3136" s="14" t="str">
        <f>IF(A3136="","",_xlfn.XLOOKUP(A3136,'DISPATCH SHEET'!B$3:B$121,'DISPATCH SHEET'!C$3:C$121,""))</f>
        <v/>
      </c>
      <c r="C3136" s="14" t="str">
        <f>IF(ISBLANK(A3136),"",_xlfn.XLOOKUP(A3136,'DISPATCH SHEET'!C$3:C$121,'DISPATCH SHEET'!#REF!,""))</f>
        <v/>
      </c>
    </row>
    <row r="3137" spans="2:3" x14ac:dyDescent="0.2">
      <c r="B3137" s="14" t="str">
        <f>IF(A3137="","",_xlfn.XLOOKUP(A3137,'DISPATCH SHEET'!B$3:B$121,'DISPATCH SHEET'!C$3:C$121,""))</f>
        <v/>
      </c>
      <c r="C3137" s="14" t="str">
        <f>IF(ISBLANK(A3137),"",_xlfn.XLOOKUP(A3137,'DISPATCH SHEET'!C$3:C$121,'DISPATCH SHEET'!#REF!,""))</f>
        <v/>
      </c>
    </row>
    <row r="3138" spans="2:3" x14ac:dyDescent="0.2">
      <c r="B3138" s="14" t="str">
        <f>IF(A3138="","",_xlfn.XLOOKUP(A3138,'DISPATCH SHEET'!B$3:B$121,'DISPATCH SHEET'!C$3:C$121,""))</f>
        <v/>
      </c>
      <c r="C3138" s="14" t="str">
        <f>IF(ISBLANK(A3138),"",_xlfn.XLOOKUP(A3138,'DISPATCH SHEET'!C$3:C$121,'DISPATCH SHEET'!#REF!,""))</f>
        <v/>
      </c>
    </row>
    <row r="3139" spans="2:3" x14ac:dyDescent="0.2">
      <c r="B3139" s="14" t="str">
        <f>IF(A3139="","",_xlfn.XLOOKUP(A3139,'DISPATCH SHEET'!B$3:B$121,'DISPATCH SHEET'!C$3:C$121,""))</f>
        <v/>
      </c>
      <c r="C3139" s="14" t="str">
        <f>IF(ISBLANK(A3139),"",_xlfn.XLOOKUP(A3139,'DISPATCH SHEET'!C$3:C$121,'DISPATCH SHEET'!#REF!,""))</f>
        <v/>
      </c>
    </row>
    <row r="3140" spans="2:3" x14ac:dyDescent="0.2">
      <c r="B3140" s="14" t="str">
        <f>IF(A3140="","",_xlfn.XLOOKUP(A3140,'DISPATCH SHEET'!B$3:B$121,'DISPATCH SHEET'!C$3:C$121,""))</f>
        <v/>
      </c>
      <c r="C3140" s="14" t="str">
        <f>IF(ISBLANK(A3140),"",_xlfn.XLOOKUP(A3140,'DISPATCH SHEET'!C$3:C$121,'DISPATCH SHEET'!#REF!,""))</f>
        <v/>
      </c>
    </row>
    <row r="3141" spans="2:3" x14ac:dyDescent="0.2">
      <c r="B3141" s="14" t="str">
        <f>IF(A3141="","",_xlfn.XLOOKUP(A3141,'DISPATCH SHEET'!B$3:B$121,'DISPATCH SHEET'!C$3:C$121,""))</f>
        <v/>
      </c>
      <c r="C3141" s="14" t="str">
        <f>IF(ISBLANK(A3141),"",_xlfn.XLOOKUP(A3141,'DISPATCH SHEET'!C$3:C$121,'DISPATCH SHEET'!#REF!,""))</f>
        <v/>
      </c>
    </row>
    <row r="3142" spans="2:3" x14ac:dyDescent="0.2">
      <c r="B3142" s="14" t="str">
        <f>IF(A3142="","",_xlfn.XLOOKUP(A3142,'DISPATCH SHEET'!B$3:B$121,'DISPATCH SHEET'!C$3:C$121,""))</f>
        <v/>
      </c>
      <c r="C3142" s="14" t="str">
        <f>IF(ISBLANK(A3142),"",_xlfn.XLOOKUP(A3142,'DISPATCH SHEET'!C$3:C$121,'DISPATCH SHEET'!#REF!,""))</f>
        <v/>
      </c>
    </row>
    <row r="3143" spans="2:3" x14ac:dyDescent="0.2">
      <c r="B3143" s="14" t="str">
        <f>IF(A3143="","",_xlfn.XLOOKUP(A3143,'DISPATCH SHEET'!B$3:B$121,'DISPATCH SHEET'!C$3:C$121,""))</f>
        <v/>
      </c>
      <c r="C3143" s="14" t="str">
        <f>IF(ISBLANK(A3143),"",_xlfn.XLOOKUP(A3143,'DISPATCH SHEET'!C$3:C$121,'DISPATCH SHEET'!#REF!,""))</f>
        <v/>
      </c>
    </row>
    <row r="3144" spans="2:3" x14ac:dyDescent="0.2">
      <c r="B3144" s="14" t="str">
        <f>IF(A3144="","",_xlfn.XLOOKUP(A3144,'DISPATCH SHEET'!B$3:B$121,'DISPATCH SHEET'!C$3:C$121,""))</f>
        <v/>
      </c>
      <c r="C3144" s="14" t="str">
        <f>IF(ISBLANK(A3144),"",_xlfn.XLOOKUP(A3144,'DISPATCH SHEET'!C$3:C$121,'DISPATCH SHEET'!#REF!,""))</f>
        <v/>
      </c>
    </row>
    <row r="3145" spans="2:3" x14ac:dyDescent="0.2">
      <c r="B3145" s="14" t="str">
        <f>IF(A3145="","",_xlfn.XLOOKUP(A3145,'DISPATCH SHEET'!B$3:B$121,'DISPATCH SHEET'!C$3:C$121,""))</f>
        <v/>
      </c>
      <c r="C3145" s="14" t="str">
        <f>IF(ISBLANK(A3145),"",_xlfn.XLOOKUP(A3145,'DISPATCH SHEET'!C$3:C$121,'DISPATCH SHEET'!#REF!,""))</f>
        <v/>
      </c>
    </row>
    <row r="3146" spans="2:3" x14ac:dyDescent="0.2">
      <c r="B3146" s="14" t="str">
        <f>IF(A3146="","",_xlfn.XLOOKUP(A3146,'DISPATCH SHEET'!B$3:B$121,'DISPATCH SHEET'!C$3:C$121,""))</f>
        <v/>
      </c>
      <c r="C3146" s="14" t="str">
        <f>IF(ISBLANK(A3146),"",_xlfn.XLOOKUP(A3146,'DISPATCH SHEET'!C$3:C$121,'DISPATCH SHEET'!#REF!,""))</f>
        <v/>
      </c>
    </row>
    <row r="3147" spans="2:3" x14ac:dyDescent="0.2">
      <c r="B3147" s="14" t="str">
        <f>IF(A3147="","",_xlfn.XLOOKUP(A3147,'DISPATCH SHEET'!B$3:B$121,'DISPATCH SHEET'!C$3:C$121,""))</f>
        <v/>
      </c>
      <c r="C3147" s="14" t="str">
        <f>IF(ISBLANK(A3147),"",_xlfn.XLOOKUP(A3147,'DISPATCH SHEET'!C$3:C$121,'DISPATCH SHEET'!#REF!,""))</f>
        <v/>
      </c>
    </row>
    <row r="3148" spans="2:3" x14ac:dyDescent="0.2">
      <c r="B3148" s="14" t="str">
        <f>IF(A3148="","",_xlfn.XLOOKUP(A3148,'DISPATCH SHEET'!B$3:B$121,'DISPATCH SHEET'!C$3:C$121,""))</f>
        <v/>
      </c>
      <c r="C3148" s="14" t="str">
        <f>IF(ISBLANK(A3148),"",_xlfn.XLOOKUP(A3148,'DISPATCH SHEET'!C$3:C$121,'DISPATCH SHEET'!#REF!,""))</f>
        <v/>
      </c>
    </row>
    <row r="3149" spans="2:3" x14ac:dyDescent="0.2">
      <c r="B3149" s="14" t="str">
        <f>IF(A3149="","",_xlfn.XLOOKUP(A3149,'DISPATCH SHEET'!B$3:B$121,'DISPATCH SHEET'!C$3:C$121,""))</f>
        <v/>
      </c>
      <c r="C3149" s="14" t="str">
        <f>IF(ISBLANK(A3149),"",_xlfn.XLOOKUP(A3149,'DISPATCH SHEET'!C$3:C$121,'DISPATCH SHEET'!#REF!,""))</f>
        <v/>
      </c>
    </row>
    <row r="3150" spans="2:3" x14ac:dyDescent="0.2">
      <c r="B3150" s="14" t="str">
        <f>IF(A3150="","",_xlfn.XLOOKUP(A3150,'DISPATCH SHEET'!B$3:B$121,'DISPATCH SHEET'!C$3:C$121,""))</f>
        <v/>
      </c>
      <c r="C3150" s="14" t="str">
        <f>IF(ISBLANK(A3150),"",_xlfn.XLOOKUP(A3150,'DISPATCH SHEET'!C$3:C$121,'DISPATCH SHEET'!#REF!,""))</f>
        <v/>
      </c>
    </row>
    <row r="3151" spans="2:3" x14ac:dyDescent="0.2">
      <c r="B3151" s="14" t="str">
        <f>IF(A3151="","",_xlfn.XLOOKUP(A3151,'DISPATCH SHEET'!B$3:B$121,'DISPATCH SHEET'!C$3:C$121,""))</f>
        <v/>
      </c>
      <c r="C3151" s="14" t="str">
        <f>IF(ISBLANK(A3151),"",_xlfn.XLOOKUP(A3151,'DISPATCH SHEET'!C$3:C$121,'DISPATCH SHEET'!#REF!,""))</f>
        <v/>
      </c>
    </row>
    <row r="3152" spans="2:3" x14ac:dyDescent="0.2">
      <c r="B3152" s="14" t="str">
        <f>IF(A3152="","",_xlfn.XLOOKUP(A3152,'DISPATCH SHEET'!B$3:B$121,'DISPATCH SHEET'!C$3:C$121,""))</f>
        <v/>
      </c>
      <c r="C3152" s="14" t="str">
        <f>IF(ISBLANK(A3152),"",_xlfn.XLOOKUP(A3152,'DISPATCH SHEET'!C$3:C$121,'DISPATCH SHEET'!#REF!,""))</f>
        <v/>
      </c>
    </row>
    <row r="3153" spans="2:3" x14ac:dyDescent="0.2">
      <c r="B3153" s="14" t="str">
        <f>IF(A3153="","",_xlfn.XLOOKUP(A3153,'DISPATCH SHEET'!B$3:B$121,'DISPATCH SHEET'!C$3:C$121,""))</f>
        <v/>
      </c>
      <c r="C3153" s="14" t="str">
        <f>IF(ISBLANK(A3153),"",_xlfn.XLOOKUP(A3153,'DISPATCH SHEET'!C$3:C$121,'DISPATCH SHEET'!#REF!,""))</f>
        <v/>
      </c>
    </row>
    <row r="3154" spans="2:3" x14ac:dyDescent="0.2">
      <c r="B3154" s="14" t="str">
        <f>IF(A3154="","",_xlfn.XLOOKUP(A3154,'DISPATCH SHEET'!B$3:B$121,'DISPATCH SHEET'!C$3:C$121,""))</f>
        <v/>
      </c>
      <c r="C3154" s="14" t="str">
        <f>IF(ISBLANK(A3154),"",_xlfn.XLOOKUP(A3154,'DISPATCH SHEET'!C$3:C$121,'DISPATCH SHEET'!#REF!,""))</f>
        <v/>
      </c>
    </row>
    <row r="3155" spans="2:3" x14ac:dyDescent="0.2">
      <c r="B3155" s="14" t="str">
        <f>IF(A3155="","",_xlfn.XLOOKUP(A3155,'DISPATCH SHEET'!B$3:B$121,'DISPATCH SHEET'!C$3:C$121,""))</f>
        <v/>
      </c>
      <c r="C3155" s="14" t="str">
        <f>IF(ISBLANK(A3155),"",_xlfn.XLOOKUP(A3155,'DISPATCH SHEET'!C$3:C$121,'DISPATCH SHEET'!#REF!,""))</f>
        <v/>
      </c>
    </row>
    <row r="3156" spans="2:3" x14ac:dyDescent="0.2">
      <c r="B3156" s="14" t="str">
        <f>IF(A3156="","",_xlfn.XLOOKUP(A3156,'DISPATCH SHEET'!B$3:B$121,'DISPATCH SHEET'!C$3:C$121,""))</f>
        <v/>
      </c>
      <c r="C3156" s="14" t="str">
        <f>IF(ISBLANK(A3156),"",_xlfn.XLOOKUP(A3156,'DISPATCH SHEET'!C$3:C$121,'DISPATCH SHEET'!#REF!,""))</f>
        <v/>
      </c>
    </row>
    <row r="3157" spans="2:3" x14ac:dyDescent="0.2">
      <c r="B3157" s="14" t="str">
        <f>IF(A3157="","",_xlfn.XLOOKUP(A3157,'DISPATCH SHEET'!B$3:B$121,'DISPATCH SHEET'!C$3:C$121,""))</f>
        <v/>
      </c>
      <c r="C3157" s="14" t="str">
        <f>IF(ISBLANK(A3157),"",_xlfn.XLOOKUP(A3157,'DISPATCH SHEET'!C$3:C$121,'DISPATCH SHEET'!#REF!,""))</f>
        <v/>
      </c>
    </row>
    <row r="3158" spans="2:3" x14ac:dyDescent="0.2">
      <c r="B3158" s="14" t="str">
        <f>IF(A3158="","",_xlfn.XLOOKUP(A3158,'DISPATCH SHEET'!B$3:B$121,'DISPATCH SHEET'!C$3:C$121,""))</f>
        <v/>
      </c>
      <c r="C3158" s="14" t="str">
        <f>IF(ISBLANK(A3158),"",_xlfn.XLOOKUP(A3158,'DISPATCH SHEET'!C$3:C$121,'DISPATCH SHEET'!#REF!,""))</f>
        <v/>
      </c>
    </row>
    <row r="3159" spans="2:3" x14ac:dyDescent="0.2">
      <c r="B3159" s="14" t="str">
        <f>IF(A3159="","",_xlfn.XLOOKUP(A3159,'DISPATCH SHEET'!B$3:B$121,'DISPATCH SHEET'!C$3:C$121,""))</f>
        <v/>
      </c>
      <c r="C3159" s="14" t="str">
        <f>IF(ISBLANK(A3159),"",_xlfn.XLOOKUP(A3159,'DISPATCH SHEET'!C$3:C$121,'DISPATCH SHEET'!#REF!,""))</f>
        <v/>
      </c>
    </row>
    <row r="3160" spans="2:3" x14ac:dyDescent="0.2">
      <c r="B3160" s="14" t="str">
        <f>IF(A3160="","",_xlfn.XLOOKUP(A3160,'DISPATCH SHEET'!B$3:B$121,'DISPATCH SHEET'!C$3:C$121,""))</f>
        <v/>
      </c>
      <c r="C3160" s="14" t="str">
        <f>IF(ISBLANK(A3160),"",_xlfn.XLOOKUP(A3160,'DISPATCH SHEET'!C$3:C$121,'DISPATCH SHEET'!#REF!,""))</f>
        <v/>
      </c>
    </row>
    <row r="3161" spans="2:3" x14ac:dyDescent="0.2">
      <c r="B3161" s="14" t="str">
        <f>IF(A3161="","",_xlfn.XLOOKUP(A3161,'DISPATCH SHEET'!B$3:B$121,'DISPATCH SHEET'!C$3:C$121,""))</f>
        <v/>
      </c>
      <c r="C3161" s="14" t="str">
        <f>IF(ISBLANK(A3161),"",_xlfn.XLOOKUP(A3161,'DISPATCH SHEET'!C$3:C$121,'DISPATCH SHEET'!#REF!,""))</f>
        <v/>
      </c>
    </row>
    <row r="3162" spans="2:3" x14ac:dyDescent="0.2">
      <c r="B3162" s="14" t="str">
        <f>IF(A3162="","",_xlfn.XLOOKUP(A3162,'DISPATCH SHEET'!B$3:B$121,'DISPATCH SHEET'!C$3:C$121,""))</f>
        <v/>
      </c>
      <c r="C3162" s="14" t="str">
        <f>IF(ISBLANK(A3162),"",_xlfn.XLOOKUP(A3162,'DISPATCH SHEET'!C$3:C$121,'DISPATCH SHEET'!#REF!,""))</f>
        <v/>
      </c>
    </row>
    <row r="3163" spans="2:3" x14ac:dyDescent="0.2">
      <c r="B3163" s="14" t="str">
        <f>IF(A3163="","",_xlfn.XLOOKUP(A3163,'DISPATCH SHEET'!B$3:B$121,'DISPATCH SHEET'!C$3:C$121,""))</f>
        <v/>
      </c>
      <c r="C3163" s="14" t="str">
        <f>IF(ISBLANK(A3163),"",_xlfn.XLOOKUP(A3163,'DISPATCH SHEET'!C$3:C$121,'DISPATCH SHEET'!#REF!,""))</f>
        <v/>
      </c>
    </row>
    <row r="3164" spans="2:3" x14ac:dyDescent="0.2">
      <c r="B3164" s="14" t="str">
        <f>IF(A3164="","",_xlfn.XLOOKUP(A3164,'DISPATCH SHEET'!B$3:B$121,'DISPATCH SHEET'!C$3:C$121,""))</f>
        <v/>
      </c>
      <c r="C3164" s="14" t="str">
        <f>IF(ISBLANK(A3164),"",_xlfn.XLOOKUP(A3164,'DISPATCH SHEET'!C$3:C$121,'DISPATCH SHEET'!#REF!,""))</f>
        <v/>
      </c>
    </row>
    <row r="3165" spans="2:3" x14ac:dyDescent="0.2">
      <c r="B3165" s="14" t="str">
        <f>IF(A3165="","",_xlfn.XLOOKUP(A3165,'DISPATCH SHEET'!B$3:B$121,'DISPATCH SHEET'!C$3:C$121,""))</f>
        <v/>
      </c>
      <c r="C3165" s="14" t="str">
        <f>IF(ISBLANK(A3165),"",_xlfn.XLOOKUP(A3165,'DISPATCH SHEET'!C$3:C$121,'DISPATCH SHEET'!#REF!,""))</f>
        <v/>
      </c>
    </row>
    <row r="3166" spans="2:3" x14ac:dyDescent="0.2">
      <c r="B3166" s="14" t="str">
        <f>IF(A3166="","",_xlfn.XLOOKUP(A3166,'DISPATCH SHEET'!B$3:B$121,'DISPATCH SHEET'!C$3:C$121,""))</f>
        <v/>
      </c>
      <c r="C3166" s="14" t="str">
        <f>IF(ISBLANK(A3166),"",_xlfn.XLOOKUP(A3166,'DISPATCH SHEET'!C$3:C$121,'DISPATCH SHEET'!#REF!,""))</f>
        <v/>
      </c>
    </row>
    <row r="3167" spans="2:3" x14ac:dyDescent="0.2">
      <c r="B3167" s="14" t="str">
        <f>IF(A3167="","",_xlfn.XLOOKUP(A3167,'DISPATCH SHEET'!B$3:B$121,'DISPATCH SHEET'!C$3:C$121,""))</f>
        <v/>
      </c>
      <c r="C3167" s="14" t="str">
        <f>IF(ISBLANK(A3167),"",_xlfn.XLOOKUP(A3167,'DISPATCH SHEET'!C$3:C$121,'DISPATCH SHEET'!#REF!,""))</f>
        <v/>
      </c>
    </row>
    <row r="3168" spans="2:3" x14ac:dyDescent="0.2">
      <c r="B3168" s="14" t="str">
        <f>IF(A3168="","",_xlfn.XLOOKUP(A3168,'DISPATCH SHEET'!B$3:B$121,'DISPATCH SHEET'!C$3:C$121,""))</f>
        <v/>
      </c>
      <c r="C3168" s="14" t="str">
        <f>IF(ISBLANK(A3168),"",_xlfn.XLOOKUP(A3168,'DISPATCH SHEET'!C$3:C$121,'DISPATCH SHEET'!#REF!,""))</f>
        <v/>
      </c>
    </row>
    <row r="3169" spans="2:3" x14ac:dyDescent="0.2">
      <c r="B3169" s="14" t="str">
        <f>IF(A3169="","",_xlfn.XLOOKUP(A3169,'DISPATCH SHEET'!B$3:B$121,'DISPATCH SHEET'!C$3:C$121,""))</f>
        <v/>
      </c>
      <c r="C3169" s="14" t="str">
        <f>IF(ISBLANK(A3169),"",_xlfn.XLOOKUP(A3169,'DISPATCH SHEET'!C$3:C$121,'DISPATCH SHEET'!#REF!,""))</f>
        <v/>
      </c>
    </row>
    <row r="3170" spans="2:3" x14ac:dyDescent="0.2">
      <c r="B3170" s="14" t="str">
        <f>IF(A3170="","",_xlfn.XLOOKUP(A3170,'DISPATCH SHEET'!B$3:B$121,'DISPATCH SHEET'!C$3:C$121,""))</f>
        <v/>
      </c>
      <c r="C3170" s="14" t="str">
        <f>IF(ISBLANK(A3170),"",_xlfn.XLOOKUP(A3170,'DISPATCH SHEET'!C$3:C$121,'DISPATCH SHEET'!#REF!,""))</f>
        <v/>
      </c>
    </row>
    <row r="3171" spans="2:3" x14ac:dyDescent="0.2">
      <c r="B3171" s="14" t="str">
        <f>IF(A3171="","",_xlfn.XLOOKUP(A3171,'DISPATCH SHEET'!B$3:B$121,'DISPATCH SHEET'!C$3:C$121,""))</f>
        <v/>
      </c>
      <c r="C3171" s="14" t="str">
        <f>IF(ISBLANK(A3171),"",_xlfn.XLOOKUP(A3171,'DISPATCH SHEET'!C$3:C$121,'DISPATCH SHEET'!#REF!,""))</f>
        <v/>
      </c>
    </row>
    <row r="3172" spans="2:3" x14ac:dyDescent="0.2">
      <c r="B3172" s="14" t="str">
        <f>IF(A3172="","",_xlfn.XLOOKUP(A3172,'DISPATCH SHEET'!B$3:B$121,'DISPATCH SHEET'!C$3:C$121,""))</f>
        <v/>
      </c>
      <c r="C3172" s="14" t="str">
        <f>IF(ISBLANK(A3172),"",_xlfn.XLOOKUP(A3172,'DISPATCH SHEET'!C$3:C$121,'DISPATCH SHEET'!#REF!,""))</f>
        <v/>
      </c>
    </row>
    <row r="3173" spans="2:3" x14ac:dyDescent="0.2">
      <c r="B3173" s="14" t="str">
        <f>IF(A3173="","",_xlfn.XLOOKUP(A3173,'DISPATCH SHEET'!B$3:B$121,'DISPATCH SHEET'!C$3:C$121,""))</f>
        <v/>
      </c>
      <c r="C3173" s="14" t="str">
        <f>IF(ISBLANK(A3173),"",_xlfn.XLOOKUP(A3173,'DISPATCH SHEET'!C$3:C$121,'DISPATCH SHEET'!#REF!,""))</f>
        <v/>
      </c>
    </row>
    <row r="3174" spans="2:3" x14ac:dyDescent="0.2">
      <c r="B3174" s="14" t="str">
        <f>IF(A3174="","",_xlfn.XLOOKUP(A3174,'DISPATCH SHEET'!B$3:B$121,'DISPATCH SHEET'!C$3:C$121,""))</f>
        <v/>
      </c>
      <c r="C3174" s="14" t="str">
        <f>IF(ISBLANK(A3174),"",_xlfn.XLOOKUP(A3174,'DISPATCH SHEET'!C$3:C$121,'DISPATCH SHEET'!#REF!,""))</f>
        <v/>
      </c>
    </row>
    <row r="3175" spans="2:3" x14ac:dyDescent="0.2">
      <c r="B3175" s="14" t="str">
        <f>IF(A3175="","",_xlfn.XLOOKUP(A3175,'DISPATCH SHEET'!B$3:B$121,'DISPATCH SHEET'!C$3:C$121,""))</f>
        <v/>
      </c>
      <c r="C3175" s="14" t="str">
        <f>IF(ISBLANK(A3175),"",_xlfn.XLOOKUP(A3175,'DISPATCH SHEET'!C$3:C$121,'DISPATCH SHEET'!#REF!,""))</f>
        <v/>
      </c>
    </row>
    <row r="3176" spans="2:3" x14ac:dyDescent="0.2">
      <c r="B3176" s="14" t="str">
        <f>IF(A3176="","",_xlfn.XLOOKUP(A3176,'DISPATCH SHEET'!B$3:B$121,'DISPATCH SHEET'!C$3:C$121,""))</f>
        <v/>
      </c>
      <c r="C3176" s="14" t="str">
        <f>IF(ISBLANK(A3176),"",_xlfn.XLOOKUP(A3176,'DISPATCH SHEET'!C$3:C$121,'DISPATCH SHEET'!#REF!,""))</f>
        <v/>
      </c>
    </row>
    <row r="3177" spans="2:3" x14ac:dyDescent="0.2">
      <c r="B3177" s="14" t="str">
        <f>IF(A3177="","",_xlfn.XLOOKUP(A3177,'DISPATCH SHEET'!B$3:B$121,'DISPATCH SHEET'!C$3:C$121,""))</f>
        <v/>
      </c>
      <c r="C3177" s="14" t="str">
        <f>IF(ISBLANK(A3177),"",_xlfn.XLOOKUP(A3177,'DISPATCH SHEET'!C$3:C$121,'DISPATCH SHEET'!#REF!,""))</f>
        <v/>
      </c>
    </row>
    <row r="3178" spans="2:3" x14ac:dyDescent="0.2">
      <c r="B3178" s="14" t="str">
        <f>IF(A3178="","",_xlfn.XLOOKUP(A3178,'DISPATCH SHEET'!B$3:B$121,'DISPATCH SHEET'!C$3:C$121,""))</f>
        <v/>
      </c>
      <c r="C3178" s="14" t="str">
        <f>IF(ISBLANK(A3178),"",_xlfn.XLOOKUP(A3178,'DISPATCH SHEET'!C$3:C$121,'DISPATCH SHEET'!#REF!,""))</f>
        <v/>
      </c>
    </row>
    <row r="3179" spans="2:3" x14ac:dyDescent="0.2">
      <c r="B3179" s="14" t="str">
        <f>IF(A3179="","",_xlfn.XLOOKUP(A3179,'DISPATCH SHEET'!B$3:B$121,'DISPATCH SHEET'!C$3:C$121,""))</f>
        <v/>
      </c>
      <c r="C3179" s="14" t="str">
        <f>IF(ISBLANK(A3179),"",_xlfn.XLOOKUP(A3179,'DISPATCH SHEET'!C$3:C$121,'DISPATCH SHEET'!#REF!,""))</f>
        <v/>
      </c>
    </row>
    <row r="3180" spans="2:3" x14ac:dyDescent="0.2">
      <c r="B3180" s="14" t="str">
        <f>IF(A3180="","",_xlfn.XLOOKUP(A3180,'DISPATCH SHEET'!B$3:B$121,'DISPATCH SHEET'!C$3:C$121,""))</f>
        <v/>
      </c>
      <c r="C3180" s="14" t="str">
        <f>IF(ISBLANK(A3180),"",_xlfn.XLOOKUP(A3180,'DISPATCH SHEET'!C$3:C$121,'DISPATCH SHEET'!#REF!,""))</f>
        <v/>
      </c>
    </row>
    <row r="3181" spans="2:3" x14ac:dyDescent="0.2">
      <c r="B3181" s="14" t="str">
        <f>IF(A3181="","",_xlfn.XLOOKUP(A3181,'DISPATCH SHEET'!B$3:B$121,'DISPATCH SHEET'!C$3:C$121,""))</f>
        <v/>
      </c>
      <c r="C3181" s="14" t="str">
        <f>IF(ISBLANK(A3181),"",_xlfn.XLOOKUP(A3181,'DISPATCH SHEET'!C$3:C$121,'DISPATCH SHEET'!#REF!,""))</f>
        <v/>
      </c>
    </row>
    <row r="3182" spans="2:3" x14ac:dyDescent="0.2">
      <c r="B3182" s="14" t="str">
        <f>IF(A3182="","",_xlfn.XLOOKUP(A3182,'DISPATCH SHEET'!B$3:B$121,'DISPATCH SHEET'!C$3:C$121,""))</f>
        <v/>
      </c>
      <c r="C3182" s="14" t="str">
        <f>IF(ISBLANK(A3182),"",_xlfn.XLOOKUP(A3182,'DISPATCH SHEET'!C$3:C$121,'DISPATCH SHEET'!#REF!,""))</f>
        <v/>
      </c>
    </row>
    <row r="3183" spans="2:3" x14ac:dyDescent="0.2">
      <c r="B3183" s="14" t="str">
        <f>IF(A3183="","",_xlfn.XLOOKUP(A3183,'DISPATCH SHEET'!B$3:B$121,'DISPATCH SHEET'!C$3:C$121,""))</f>
        <v/>
      </c>
      <c r="C3183" s="14" t="str">
        <f>IF(ISBLANK(A3183),"",_xlfn.XLOOKUP(A3183,'DISPATCH SHEET'!C$3:C$121,'DISPATCH SHEET'!#REF!,""))</f>
        <v/>
      </c>
    </row>
    <row r="3184" spans="2:3" x14ac:dyDescent="0.2">
      <c r="B3184" s="14" t="str">
        <f>IF(A3184="","",_xlfn.XLOOKUP(A3184,'DISPATCH SHEET'!B$3:B$121,'DISPATCH SHEET'!C$3:C$121,""))</f>
        <v/>
      </c>
      <c r="C3184" s="14" t="str">
        <f>IF(ISBLANK(A3184),"",_xlfn.XLOOKUP(A3184,'DISPATCH SHEET'!C$3:C$121,'DISPATCH SHEET'!#REF!,""))</f>
        <v/>
      </c>
    </row>
    <row r="3185" spans="2:3" x14ac:dyDescent="0.2">
      <c r="B3185" s="14" t="str">
        <f>IF(A3185="","",_xlfn.XLOOKUP(A3185,'DISPATCH SHEET'!B$3:B$121,'DISPATCH SHEET'!C$3:C$121,""))</f>
        <v/>
      </c>
      <c r="C3185" s="14" t="str">
        <f>IF(ISBLANK(A3185),"",_xlfn.XLOOKUP(A3185,'DISPATCH SHEET'!C$3:C$121,'DISPATCH SHEET'!#REF!,""))</f>
        <v/>
      </c>
    </row>
    <row r="3186" spans="2:3" x14ac:dyDescent="0.2">
      <c r="B3186" s="14" t="str">
        <f>IF(A3186="","",_xlfn.XLOOKUP(A3186,'DISPATCH SHEET'!B$3:B$121,'DISPATCH SHEET'!C$3:C$121,""))</f>
        <v/>
      </c>
      <c r="C3186" s="14" t="str">
        <f>IF(ISBLANK(A3186),"",_xlfn.XLOOKUP(A3186,'DISPATCH SHEET'!C$3:C$121,'DISPATCH SHEET'!#REF!,""))</f>
        <v/>
      </c>
    </row>
    <row r="3187" spans="2:3" x14ac:dyDescent="0.2">
      <c r="B3187" s="14" t="str">
        <f>IF(A3187="","",_xlfn.XLOOKUP(A3187,'DISPATCH SHEET'!B$3:B$121,'DISPATCH SHEET'!C$3:C$121,""))</f>
        <v/>
      </c>
      <c r="C3187" s="14" t="str">
        <f>IF(ISBLANK(A3187),"",_xlfn.XLOOKUP(A3187,'DISPATCH SHEET'!C$3:C$121,'DISPATCH SHEET'!#REF!,""))</f>
        <v/>
      </c>
    </row>
    <row r="3188" spans="2:3" x14ac:dyDescent="0.2">
      <c r="B3188" s="14" t="str">
        <f>IF(A3188="","",_xlfn.XLOOKUP(A3188,'DISPATCH SHEET'!B$3:B$121,'DISPATCH SHEET'!C$3:C$121,""))</f>
        <v/>
      </c>
      <c r="C3188" s="14" t="str">
        <f>IF(ISBLANK(A3188),"",_xlfn.XLOOKUP(A3188,'DISPATCH SHEET'!C$3:C$121,'DISPATCH SHEET'!#REF!,""))</f>
        <v/>
      </c>
    </row>
    <row r="3189" spans="2:3" x14ac:dyDescent="0.2">
      <c r="B3189" s="14" t="str">
        <f>IF(A3189="","",_xlfn.XLOOKUP(A3189,'DISPATCH SHEET'!B$3:B$121,'DISPATCH SHEET'!C$3:C$121,""))</f>
        <v/>
      </c>
      <c r="C3189" s="14" t="str">
        <f>IF(ISBLANK(A3189),"",_xlfn.XLOOKUP(A3189,'DISPATCH SHEET'!C$3:C$121,'DISPATCH SHEET'!#REF!,""))</f>
        <v/>
      </c>
    </row>
    <row r="3190" spans="2:3" x14ac:dyDescent="0.2">
      <c r="B3190" s="14" t="str">
        <f>IF(A3190="","",_xlfn.XLOOKUP(A3190,'DISPATCH SHEET'!B$3:B$121,'DISPATCH SHEET'!C$3:C$121,""))</f>
        <v/>
      </c>
      <c r="C3190" s="14" t="str">
        <f>IF(ISBLANK(A3190),"",_xlfn.XLOOKUP(A3190,'DISPATCH SHEET'!C$3:C$121,'DISPATCH SHEET'!#REF!,""))</f>
        <v/>
      </c>
    </row>
    <row r="3191" spans="2:3" x14ac:dyDescent="0.2">
      <c r="B3191" s="14" t="str">
        <f>IF(A3191="","",_xlfn.XLOOKUP(A3191,'DISPATCH SHEET'!B$3:B$121,'DISPATCH SHEET'!C$3:C$121,""))</f>
        <v/>
      </c>
      <c r="C3191" s="14" t="str">
        <f>IF(ISBLANK(A3191),"",_xlfn.XLOOKUP(A3191,'DISPATCH SHEET'!C$3:C$121,'DISPATCH SHEET'!#REF!,""))</f>
        <v/>
      </c>
    </row>
    <row r="3192" spans="2:3" x14ac:dyDescent="0.2">
      <c r="B3192" s="14" t="str">
        <f>IF(A3192="","",_xlfn.XLOOKUP(A3192,'DISPATCH SHEET'!B$3:B$121,'DISPATCH SHEET'!C$3:C$121,""))</f>
        <v/>
      </c>
      <c r="C3192" s="14" t="str">
        <f>IF(ISBLANK(A3192),"",_xlfn.XLOOKUP(A3192,'DISPATCH SHEET'!C$3:C$121,'DISPATCH SHEET'!#REF!,""))</f>
        <v/>
      </c>
    </row>
    <row r="3193" spans="2:3" x14ac:dyDescent="0.2">
      <c r="B3193" s="14" t="str">
        <f>IF(A3193="","",_xlfn.XLOOKUP(A3193,'DISPATCH SHEET'!B$3:B$121,'DISPATCH SHEET'!C$3:C$121,""))</f>
        <v/>
      </c>
      <c r="C3193" s="14" t="str">
        <f>IF(ISBLANK(A3193),"",_xlfn.XLOOKUP(A3193,'DISPATCH SHEET'!C$3:C$121,'DISPATCH SHEET'!#REF!,""))</f>
        <v/>
      </c>
    </row>
    <row r="3194" spans="2:3" x14ac:dyDescent="0.2">
      <c r="B3194" s="14" t="str">
        <f>IF(A3194="","",_xlfn.XLOOKUP(A3194,'DISPATCH SHEET'!B$3:B$121,'DISPATCH SHEET'!C$3:C$121,""))</f>
        <v/>
      </c>
      <c r="C3194" s="14" t="str">
        <f>IF(ISBLANK(A3194),"",_xlfn.XLOOKUP(A3194,'DISPATCH SHEET'!C$3:C$121,'DISPATCH SHEET'!#REF!,""))</f>
        <v/>
      </c>
    </row>
    <row r="3195" spans="2:3" x14ac:dyDescent="0.2">
      <c r="B3195" s="14" t="str">
        <f>IF(A3195="","",_xlfn.XLOOKUP(A3195,'DISPATCH SHEET'!B$3:B$121,'DISPATCH SHEET'!C$3:C$121,""))</f>
        <v/>
      </c>
      <c r="C3195" s="14" t="str">
        <f>IF(ISBLANK(A3195),"",_xlfn.XLOOKUP(A3195,'DISPATCH SHEET'!C$3:C$121,'DISPATCH SHEET'!#REF!,""))</f>
        <v/>
      </c>
    </row>
    <row r="3196" spans="2:3" x14ac:dyDescent="0.2">
      <c r="B3196" s="14" t="str">
        <f>IF(A3196="","",_xlfn.XLOOKUP(A3196,'DISPATCH SHEET'!B$3:B$121,'DISPATCH SHEET'!C$3:C$121,""))</f>
        <v/>
      </c>
      <c r="C3196" s="14" t="str">
        <f>IF(ISBLANK(A3196),"",_xlfn.XLOOKUP(A3196,'DISPATCH SHEET'!C$3:C$121,'DISPATCH SHEET'!#REF!,""))</f>
        <v/>
      </c>
    </row>
    <row r="3197" spans="2:3" x14ac:dyDescent="0.2">
      <c r="B3197" s="14" t="str">
        <f>IF(A3197="","",_xlfn.XLOOKUP(A3197,'DISPATCH SHEET'!B$3:B$121,'DISPATCH SHEET'!C$3:C$121,""))</f>
        <v/>
      </c>
      <c r="C3197" s="14" t="str">
        <f>IF(ISBLANK(A3197),"",_xlfn.XLOOKUP(A3197,'DISPATCH SHEET'!C$3:C$121,'DISPATCH SHEET'!#REF!,""))</f>
        <v/>
      </c>
    </row>
    <row r="3198" spans="2:3" x14ac:dyDescent="0.2">
      <c r="B3198" s="14" t="str">
        <f>IF(A3198="","",_xlfn.XLOOKUP(A3198,'DISPATCH SHEET'!B$3:B$121,'DISPATCH SHEET'!C$3:C$121,""))</f>
        <v/>
      </c>
      <c r="C3198" s="14" t="str">
        <f>IF(ISBLANK(A3198),"",_xlfn.XLOOKUP(A3198,'DISPATCH SHEET'!C$3:C$121,'DISPATCH SHEET'!#REF!,""))</f>
        <v/>
      </c>
    </row>
    <row r="3199" spans="2:3" x14ac:dyDescent="0.2">
      <c r="B3199" s="14" t="str">
        <f>IF(A3199="","",_xlfn.XLOOKUP(A3199,'DISPATCH SHEET'!B$3:B$121,'DISPATCH SHEET'!C$3:C$121,""))</f>
        <v/>
      </c>
      <c r="C3199" s="14" t="str">
        <f>IF(ISBLANK(A3199),"",_xlfn.XLOOKUP(A3199,'DISPATCH SHEET'!C$3:C$121,'DISPATCH SHEET'!#REF!,""))</f>
        <v/>
      </c>
    </row>
    <row r="3200" spans="2:3" x14ac:dyDescent="0.2">
      <c r="B3200" s="14" t="str">
        <f>IF(A3200="","",_xlfn.XLOOKUP(A3200,'DISPATCH SHEET'!B$3:B$121,'DISPATCH SHEET'!C$3:C$121,""))</f>
        <v/>
      </c>
      <c r="C3200" s="14" t="str">
        <f>IF(ISBLANK(A3200),"",_xlfn.XLOOKUP(A3200,'DISPATCH SHEET'!C$3:C$121,'DISPATCH SHEET'!#REF!,""))</f>
        <v/>
      </c>
    </row>
    <row r="3201" spans="2:3" x14ac:dyDescent="0.2">
      <c r="B3201" s="14" t="str">
        <f>IF(A3201="","",_xlfn.XLOOKUP(A3201,'DISPATCH SHEET'!B$3:B$121,'DISPATCH SHEET'!C$3:C$121,""))</f>
        <v/>
      </c>
      <c r="C3201" s="14" t="str">
        <f>IF(ISBLANK(A3201),"",_xlfn.XLOOKUP(A3201,'DISPATCH SHEET'!C$3:C$121,'DISPATCH SHEET'!#REF!,""))</f>
        <v/>
      </c>
    </row>
    <row r="3202" spans="2:3" x14ac:dyDescent="0.2">
      <c r="B3202" s="14" t="str">
        <f>IF(A3202="","",_xlfn.XLOOKUP(A3202,'DISPATCH SHEET'!B$3:B$121,'DISPATCH SHEET'!C$3:C$121,""))</f>
        <v/>
      </c>
      <c r="C3202" s="14" t="str">
        <f>IF(ISBLANK(A3202),"",_xlfn.XLOOKUP(A3202,'DISPATCH SHEET'!C$3:C$121,'DISPATCH SHEET'!#REF!,""))</f>
        <v/>
      </c>
    </row>
    <row r="3203" spans="2:3" x14ac:dyDescent="0.2">
      <c r="B3203" s="14" t="str">
        <f>IF(A3203="","",_xlfn.XLOOKUP(A3203,'DISPATCH SHEET'!B$3:B$121,'DISPATCH SHEET'!C$3:C$121,""))</f>
        <v/>
      </c>
      <c r="C3203" s="14" t="str">
        <f>IF(ISBLANK(A3203),"",_xlfn.XLOOKUP(A3203,'DISPATCH SHEET'!C$3:C$121,'DISPATCH SHEET'!#REF!,""))</f>
        <v/>
      </c>
    </row>
    <row r="3204" spans="2:3" x14ac:dyDescent="0.2">
      <c r="B3204" s="14" t="str">
        <f>IF(A3204="","",_xlfn.XLOOKUP(A3204,'DISPATCH SHEET'!B$3:B$121,'DISPATCH SHEET'!C$3:C$121,""))</f>
        <v/>
      </c>
      <c r="C3204" s="14" t="str">
        <f>IF(ISBLANK(A3204),"",_xlfn.XLOOKUP(A3204,'DISPATCH SHEET'!C$3:C$121,'DISPATCH SHEET'!#REF!,""))</f>
        <v/>
      </c>
    </row>
    <row r="3205" spans="2:3" x14ac:dyDescent="0.2">
      <c r="B3205" s="14" t="str">
        <f>IF(A3205="","",_xlfn.XLOOKUP(A3205,'DISPATCH SHEET'!B$3:B$121,'DISPATCH SHEET'!C$3:C$121,""))</f>
        <v/>
      </c>
      <c r="C3205" s="14" t="str">
        <f>IF(ISBLANK(A3205),"",_xlfn.XLOOKUP(A3205,'DISPATCH SHEET'!C$3:C$121,'DISPATCH SHEET'!#REF!,""))</f>
        <v/>
      </c>
    </row>
    <row r="3206" spans="2:3" x14ac:dyDescent="0.2">
      <c r="B3206" s="14" t="str">
        <f>IF(A3206="","",_xlfn.XLOOKUP(A3206,'DISPATCH SHEET'!B$3:B$121,'DISPATCH SHEET'!C$3:C$121,""))</f>
        <v/>
      </c>
      <c r="C3206" s="14" t="str">
        <f>IF(ISBLANK(A3206),"",_xlfn.XLOOKUP(A3206,'DISPATCH SHEET'!C$3:C$121,'DISPATCH SHEET'!#REF!,""))</f>
        <v/>
      </c>
    </row>
    <row r="3207" spans="2:3" x14ac:dyDescent="0.2">
      <c r="B3207" s="14" t="str">
        <f>IF(A3207="","",_xlfn.XLOOKUP(A3207,'DISPATCH SHEET'!B$3:B$121,'DISPATCH SHEET'!C$3:C$121,""))</f>
        <v/>
      </c>
      <c r="C3207" s="14" t="str">
        <f>IF(ISBLANK(A3207),"",_xlfn.XLOOKUP(A3207,'DISPATCH SHEET'!C$3:C$121,'DISPATCH SHEET'!#REF!,""))</f>
        <v/>
      </c>
    </row>
    <row r="3208" spans="2:3" x14ac:dyDescent="0.2">
      <c r="B3208" s="14" t="str">
        <f>IF(A3208="","",_xlfn.XLOOKUP(A3208,'DISPATCH SHEET'!B$3:B$121,'DISPATCH SHEET'!C$3:C$121,""))</f>
        <v/>
      </c>
      <c r="C3208" s="14" t="str">
        <f>IF(ISBLANK(A3208),"",_xlfn.XLOOKUP(A3208,'DISPATCH SHEET'!C$3:C$121,'DISPATCH SHEET'!#REF!,""))</f>
        <v/>
      </c>
    </row>
    <row r="3209" spans="2:3" x14ac:dyDescent="0.2">
      <c r="B3209" s="14" t="str">
        <f>IF(A3209="","",_xlfn.XLOOKUP(A3209,'DISPATCH SHEET'!B$3:B$121,'DISPATCH SHEET'!C$3:C$121,""))</f>
        <v/>
      </c>
      <c r="C3209" s="14" t="str">
        <f>IF(ISBLANK(A3209),"",_xlfn.XLOOKUP(A3209,'DISPATCH SHEET'!C$3:C$121,'DISPATCH SHEET'!#REF!,""))</f>
        <v/>
      </c>
    </row>
    <row r="3210" spans="2:3" x14ac:dyDescent="0.2">
      <c r="B3210" s="14" t="str">
        <f>IF(A3210="","",_xlfn.XLOOKUP(A3210,'DISPATCH SHEET'!B$3:B$121,'DISPATCH SHEET'!C$3:C$121,""))</f>
        <v/>
      </c>
      <c r="C3210" s="14" t="str">
        <f>IF(ISBLANK(A3210),"",_xlfn.XLOOKUP(A3210,'DISPATCH SHEET'!C$3:C$121,'DISPATCH SHEET'!#REF!,""))</f>
        <v/>
      </c>
    </row>
    <row r="3211" spans="2:3" x14ac:dyDescent="0.2">
      <c r="B3211" s="14" t="str">
        <f>IF(A3211="","",_xlfn.XLOOKUP(A3211,'DISPATCH SHEET'!B$3:B$121,'DISPATCH SHEET'!C$3:C$121,""))</f>
        <v/>
      </c>
      <c r="C3211" s="14" t="str">
        <f>IF(ISBLANK(A3211),"",_xlfn.XLOOKUP(A3211,'DISPATCH SHEET'!C$3:C$121,'DISPATCH SHEET'!#REF!,""))</f>
        <v/>
      </c>
    </row>
    <row r="3212" spans="2:3" x14ac:dyDescent="0.2">
      <c r="B3212" s="14" t="str">
        <f>IF(A3212="","",_xlfn.XLOOKUP(A3212,'DISPATCH SHEET'!B$3:B$121,'DISPATCH SHEET'!C$3:C$121,""))</f>
        <v/>
      </c>
      <c r="C3212" s="14" t="str">
        <f>IF(ISBLANK(A3212),"",_xlfn.XLOOKUP(A3212,'DISPATCH SHEET'!C$3:C$121,'DISPATCH SHEET'!#REF!,""))</f>
        <v/>
      </c>
    </row>
    <row r="3213" spans="2:3" x14ac:dyDescent="0.2">
      <c r="B3213" s="14" t="str">
        <f>IF(A3213="","",_xlfn.XLOOKUP(A3213,'DISPATCH SHEET'!B$3:B$121,'DISPATCH SHEET'!C$3:C$121,""))</f>
        <v/>
      </c>
      <c r="C3213" s="14" t="str">
        <f>IF(ISBLANK(A3213),"",_xlfn.XLOOKUP(A3213,'DISPATCH SHEET'!C$3:C$121,'DISPATCH SHEET'!#REF!,""))</f>
        <v/>
      </c>
    </row>
    <row r="3214" spans="2:3" x14ac:dyDescent="0.2">
      <c r="B3214" s="14" t="str">
        <f>IF(A3214="","",_xlfn.XLOOKUP(A3214,'DISPATCH SHEET'!B$3:B$121,'DISPATCH SHEET'!C$3:C$121,""))</f>
        <v/>
      </c>
      <c r="C3214" s="14" t="str">
        <f>IF(ISBLANK(A3214),"",_xlfn.XLOOKUP(A3214,'DISPATCH SHEET'!C$3:C$121,'DISPATCH SHEET'!#REF!,""))</f>
        <v/>
      </c>
    </row>
    <row r="3215" spans="2:3" x14ac:dyDescent="0.2">
      <c r="B3215" s="14" t="str">
        <f>IF(A3215="","",_xlfn.XLOOKUP(A3215,'DISPATCH SHEET'!B$3:B$121,'DISPATCH SHEET'!C$3:C$121,""))</f>
        <v/>
      </c>
      <c r="C3215" s="14" t="str">
        <f>IF(ISBLANK(A3215),"",_xlfn.XLOOKUP(A3215,'DISPATCH SHEET'!C$3:C$121,'DISPATCH SHEET'!#REF!,""))</f>
        <v/>
      </c>
    </row>
    <row r="3216" spans="2:3" x14ac:dyDescent="0.2">
      <c r="B3216" s="14" t="str">
        <f>IF(A3216="","",_xlfn.XLOOKUP(A3216,'DISPATCH SHEET'!B$3:B$121,'DISPATCH SHEET'!C$3:C$121,""))</f>
        <v/>
      </c>
      <c r="C3216" s="14" t="str">
        <f>IF(ISBLANK(A3216),"",_xlfn.XLOOKUP(A3216,'DISPATCH SHEET'!C$3:C$121,'DISPATCH SHEET'!#REF!,""))</f>
        <v/>
      </c>
    </row>
    <row r="3217" spans="2:3" x14ac:dyDescent="0.2">
      <c r="B3217" s="14" t="str">
        <f>IF(A3217="","",_xlfn.XLOOKUP(A3217,'DISPATCH SHEET'!B$3:B$121,'DISPATCH SHEET'!C$3:C$121,""))</f>
        <v/>
      </c>
      <c r="C3217" s="14" t="str">
        <f>IF(ISBLANK(A3217),"",_xlfn.XLOOKUP(A3217,'DISPATCH SHEET'!C$3:C$121,'DISPATCH SHEET'!#REF!,""))</f>
        <v/>
      </c>
    </row>
    <row r="3218" spans="2:3" x14ac:dyDescent="0.2">
      <c r="B3218" s="14" t="str">
        <f>IF(A3218="","",_xlfn.XLOOKUP(A3218,'DISPATCH SHEET'!B$3:B$121,'DISPATCH SHEET'!C$3:C$121,""))</f>
        <v/>
      </c>
      <c r="C3218" s="14" t="str">
        <f>IF(ISBLANK(A3218),"",_xlfn.XLOOKUP(A3218,'DISPATCH SHEET'!C$3:C$121,'DISPATCH SHEET'!#REF!,""))</f>
        <v/>
      </c>
    </row>
    <row r="3219" spans="2:3" x14ac:dyDescent="0.2">
      <c r="B3219" s="14" t="str">
        <f>IF(A3219="","",_xlfn.XLOOKUP(A3219,'DISPATCH SHEET'!B$3:B$121,'DISPATCH SHEET'!C$3:C$121,""))</f>
        <v/>
      </c>
      <c r="C3219" s="14" t="str">
        <f>IF(ISBLANK(A3219),"",_xlfn.XLOOKUP(A3219,'DISPATCH SHEET'!C$3:C$121,'DISPATCH SHEET'!#REF!,""))</f>
        <v/>
      </c>
    </row>
    <row r="3220" spans="2:3" x14ac:dyDescent="0.2">
      <c r="B3220" s="14" t="str">
        <f>IF(A3220="","",_xlfn.XLOOKUP(A3220,'DISPATCH SHEET'!B$3:B$121,'DISPATCH SHEET'!C$3:C$121,""))</f>
        <v/>
      </c>
      <c r="C3220" s="14" t="str">
        <f>IF(ISBLANK(A3220),"",_xlfn.XLOOKUP(A3220,'DISPATCH SHEET'!C$3:C$121,'DISPATCH SHEET'!#REF!,""))</f>
        <v/>
      </c>
    </row>
    <row r="3221" spans="2:3" x14ac:dyDescent="0.2">
      <c r="B3221" s="14" t="str">
        <f>IF(A3221="","",_xlfn.XLOOKUP(A3221,'DISPATCH SHEET'!B$3:B$121,'DISPATCH SHEET'!C$3:C$121,""))</f>
        <v/>
      </c>
      <c r="C3221" s="14" t="str">
        <f>IF(ISBLANK(A3221),"",_xlfn.XLOOKUP(A3221,'DISPATCH SHEET'!C$3:C$121,'DISPATCH SHEET'!#REF!,""))</f>
        <v/>
      </c>
    </row>
    <row r="3222" spans="2:3" x14ac:dyDescent="0.2">
      <c r="B3222" s="14" t="str">
        <f>IF(A3222="","",_xlfn.XLOOKUP(A3222,'DISPATCH SHEET'!B$3:B$121,'DISPATCH SHEET'!C$3:C$121,""))</f>
        <v/>
      </c>
      <c r="C3222" s="14" t="str">
        <f>IF(ISBLANK(A3222),"",_xlfn.XLOOKUP(A3222,'DISPATCH SHEET'!C$3:C$121,'DISPATCH SHEET'!#REF!,""))</f>
        <v/>
      </c>
    </row>
    <row r="3223" spans="2:3" x14ac:dyDescent="0.2">
      <c r="B3223" s="14" t="str">
        <f>IF(A3223="","",_xlfn.XLOOKUP(A3223,'DISPATCH SHEET'!B$3:B$121,'DISPATCH SHEET'!C$3:C$121,""))</f>
        <v/>
      </c>
      <c r="C3223" s="14" t="str">
        <f>IF(ISBLANK(A3223),"",_xlfn.XLOOKUP(A3223,'DISPATCH SHEET'!C$3:C$121,'DISPATCH SHEET'!#REF!,""))</f>
        <v/>
      </c>
    </row>
    <row r="3224" spans="2:3" x14ac:dyDescent="0.2">
      <c r="B3224" s="14" t="str">
        <f>IF(A3224="","",_xlfn.XLOOKUP(A3224,'DISPATCH SHEET'!B$3:B$121,'DISPATCH SHEET'!C$3:C$121,""))</f>
        <v/>
      </c>
      <c r="C3224" s="14" t="str">
        <f>IF(ISBLANK(A3224),"",_xlfn.XLOOKUP(A3224,'DISPATCH SHEET'!C$3:C$121,'DISPATCH SHEET'!#REF!,""))</f>
        <v/>
      </c>
    </row>
    <row r="3225" spans="2:3" x14ac:dyDescent="0.2">
      <c r="B3225" s="14" t="str">
        <f>IF(A3225="","",_xlfn.XLOOKUP(A3225,'DISPATCH SHEET'!B$3:B$121,'DISPATCH SHEET'!C$3:C$121,""))</f>
        <v/>
      </c>
      <c r="C3225" s="14" t="str">
        <f>IF(ISBLANK(A3225),"",_xlfn.XLOOKUP(A3225,'DISPATCH SHEET'!C$3:C$121,'DISPATCH SHEET'!#REF!,""))</f>
        <v/>
      </c>
    </row>
    <row r="3226" spans="2:3" x14ac:dyDescent="0.2">
      <c r="B3226" s="14" t="str">
        <f>IF(A3226="","",_xlfn.XLOOKUP(A3226,'DISPATCH SHEET'!B$3:B$121,'DISPATCH SHEET'!C$3:C$121,""))</f>
        <v/>
      </c>
      <c r="C3226" s="14" t="str">
        <f>IF(ISBLANK(A3226),"",_xlfn.XLOOKUP(A3226,'DISPATCH SHEET'!C$3:C$121,'DISPATCH SHEET'!#REF!,""))</f>
        <v/>
      </c>
    </row>
    <row r="3227" spans="2:3" x14ac:dyDescent="0.2">
      <c r="B3227" s="14" t="str">
        <f>IF(A3227="","",_xlfn.XLOOKUP(A3227,'DISPATCH SHEET'!B$3:B$121,'DISPATCH SHEET'!C$3:C$121,""))</f>
        <v/>
      </c>
      <c r="C3227" s="14" t="str">
        <f>IF(ISBLANK(A3227),"",_xlfn.XLOOKUP(A3227,'DISPATCH SHEET'!C$3:C$121,'DISPATCH SHEET'!#REF!,""))</f>
        <v/>
      </c>
    </row>
    <row r="3228" spans="2:3" x14ac:dyDescent="0.2">
      <c r="B3228" s="14" t="str">
        <f>IF(A3228="","",_xlfn.XLOOKUP(A3228,'DISPATCH SHEET'!B$3:B$121,'DISPATCH SHEET'!C$3:C$121,""))</f>
        <v/>
      </c>
      <c r="C3228" s="14" t="str">
        <f>IF(ISBLANK(A3228),"",_xlfn.XLOOKUP(A3228,'DISPATCH SHEET'!C$3:C$121,'DISPATCH SHEET'!#REF!,""))</f>
        <v/>
      </c>
    </row>
    <row r="3229" spans="2:3" x14ac:dyDescent="0.2">
      <c r="B3229" s="14" t="str">
        <f>IF(A3229="","",_xlfn.XLOOKUP(A3229,'DISPATCH SHEET'!B$3:B$121,'DISPATCH SHEET'!C$3:C$121,""))</f>
        <v/>
      </c>
      <c r="C3229" s="14" t="str">
        <f>IF(ISBLANK(A3229),"",_xlfn.XLOOKUP(A3229,'DISPATCH SHEET'!C$3:C$121,'DISPATCH SHEET'!#REF!,""))</f>
        <v/>
      </c>
    </row>
    <row r="3230" spans="2:3" x14ac:dyDescent="0.2">
      <c r="B3230" s="14" t="str">
        <f>IF(A3230="","",_xlfn.XLOOKUP(A3230,'DISPATCH SHEET'!B$3:B$121,'DISPATCH SHEET'!C$3:C$121,""))</f>
        <v/>
      </c>
      <c r="C3230" s="14" t="str">
        <f>IF(ISBLANK(A3230),"",_xlfn.XLOOKUP(A3230,'DISPATCH SHEET'!C$3:C$121,'DISPATCH SHEET'!#REF!,""))</f>
        <v/>
      </c>
    </row>
    <row r="3231" spans="2:3" x14ac:dyDescent="0.2">
      <c r="B3231" s="14" t="str">
        <f>IF(A3231="","",_xlfn.XLOOKUP(A3231,'DISPATCH SHEET'!B$3:B$121,'DISPATCH SHEET'!C$3:C$121,""))</f>
        <v/>
      </c>
      <c r="C3231" s="14" t="str">
        <f>IF(ISBLANK(A3231),"",_xlfn.XLOOKUP(A3231,'DISPATCH SHEET'!C$3:C$121,'DISPATCH SHEET'!#REF!,""))</f>
        <v/>
      </c>
    </row>
    <row r="3232" spans="2:3" x14ac:dyDescent="0.2">
      <c r="B3232" s="14" t="str">
        <f>IF(A3232="","",_xlfn.XLOOKUP(A3232,'DISPATCH SHEET'!B$3:B$121,'DISPATCH SHEET'!C$3:C$121,""))</f>
        <v/>
      </c>
      <c r="C3232" s="14" t="str">
        <f>IF(ISBLANK(A3232),"",_xlfn.XLOOKUP(A3232,'DISPATCH SHEET'!C$3:C$121,'DISPATCH SHEET'!#REF!,""))</f>
        <v/>
      </c>
    </row>
    <row r="3233" spans="2:3" x14ac:dyDescent="0.2">
      <c r="B3233" s="14" t="str">
        <f>IF(A3233="","",_xlfn.XLOOKUP(A3233,'DISPATCH SHEET'!B$3:B$121,'DISPATCH SHEET'!C$3:C$121,""))</f>
        <v/>
      </c>
      <c r="C3233" s="14" t="str">
        <f>IF(ISBLANK(A3233),"",_xlfn.XLOOKUP(A3233,'DISPATCH SHEET'!C$3:C$121,'DISPATCH SHEET'!#REF!,""))</f>
        <v/>
      </c>
    </row>
    <row r="3234" spans="2:3" x14ac:dyDescent="0.2">
      <c r="B3234" s="14" t="str">
        <f>IF(A3234="","",_xlfn.XLOOKUP(A3234,'DISPATCH SHEET'!B$3:B$121,'DISPATCH SHEET'!C$3:C$121,""))</f>
        <v/>
      </c>
      <c r="C3234" s="14" t="str">
        <f>IF(ISBLANK(A3234),"",_xlfn.XLOOKUP(A3234,'DISPATCH SHEET'!C$3:C$121,'DISPATCH SHEET'!#REF!,""))</f>
        <v/>
      </c>
    </row>
    <row r="3235" spans="2:3" x14ac:dyDescent="0.2">
      <c r="B3235" s="14" t="str">
        <f>IF(A3235="","",_xlfn.XLOOKUP(A3235,'DISPATCH SHEET'!B$3:B$121,'DISPATCH SHEET'!C$3:C$121,""))</f>
        <v/>
      </c>
      <c r="C3235" s="14" t="str">
        <f>IF(ISBLANK(A3235),"",_xlfn.XLOOKUP(A3235,'DISPATCH SHEET'!C$3:C$121,'DISPATCH SHEET'!#REF!,""))</f>
        <v/>
      </c>
    </row>
    <row r="3236" spans="2:3" x14ac:dyDescent="0.2">
      <c r="B3236" s="14" t="str">
        <f>IF(A3236="","",_xlfn.XLOOKUP(A3236,'DISPATCH SHEET'!B$3:B$121,'DISPATCH SHEET'!C$3:C$121,""))</f>
        <v/>
      </c>
      <c r="C3236" s="14" t="str">
        <f>IF(ISBLANK(A3236),"",_xlfn.XLOOKUP(A3236,'DISPATCH SHEET'!C$3:C$121,'DISPATCH SHEET'!#REF!,""))</f>
        <v/>
      </c>
    </row>
    <row r="3237" spans="2:3" x14ac:dyDescent="0.2">
      <c r="B3237" s="14" t="str">
        <f>IF(A3237="","",_xlfn.XLOOKUP(A3237,'DISPATCH SHEET'!B$3:B$121,'DISPATCH SHEET'!C$3:C$121,""))</f>
        <v/>
      </c>
      <c r="C3237" s="14" t="str">
        <f>IF(ISBLANK(A3237),"",_xlfn.XLOOKUP(A3237,'DISPATCH SHEET'!C$3:C$121,'DISPATCH SHEET'!#REF!,""))</f>
        <v/>
      </c>
    </row>
    <row r="3238" spans="2:3" x14ac:dyDescent="0.2">
      <c r="B3238" s="14" t="str">
        <f>IF(A3238="","",_xlfn.XLOOKUP(A3238,'DISPATCH SHEET'!B$3:B$121,'DISPATCH SHEET'!C$3:C$121,""))</f>
        <v/>
      </c>
      <c r="C3238" s="14" t="str">
        <f>IF(ISBLANK(A3238),"",_xlfn.XLOOKUP(A3238,'DISPATCH SHEET'!C$3:C$121,'DISPATCH SHEET'!#REF!,""))</f>
        <v/>
      </c>
    </row>
    <row r="3239" spans="2:3" x14ac:dyDescent="0.2">
      <c r="B3239" s="14" t="str">
        <f>IF(A3239="","",_xlfn.XLOOKUP(A3239,'DISPATCH SHEET'!B$3:B$121,'DISPATCH SHEET'!C$3:C$121,""))</f>
        <v/>
      </c>
      <c r="C3239" s="14" t="str">
        <f>IF(ISBLANK(A3239),"",_xlfn.XLOOKUP(A3239,'DISPATCH SHEET'!C$3:C$121,'DISPATCH SHEET'!#REF!,""))</f>
        <v/>
      </c>
    </row>
    <row r="3240" spans="2:3" x14ac:dyDescent="0.2">
      <c r="B3240" s="14" t="str">
        <f>IF(A3240="","",_xlfn.XLOOKUP(A3240,'DISPATCH SHEET'!B$3:B$121,'DISPATCH SHEET'!C$3:C$121,""))</f>
        <v/>
      </c>
      <c r="C3240" s="14" t="str">
        <f>IF(ISBLANK(A3240),"",_xlfn.XLOOKUP(A3240,'DISPATCH SHEET'!C$3:C$121,'DISPATCH SHEET'!#REF!,""))</f>
        <v/>
      </c>
    </row>
    <row r="3241" spans="2:3" x14ac:dyDescent="0.2">
      <c r="B3241" s="14" t="str">
        <f>IF(A3241="","",_xlfn.XLOOKUP(A3241,'DISPATCH SHEET'!B$3:B$121,'DISPATCH SHEET'!C$3:C$121,""))</f>
        <v/>
      </c>
      <c r="C3241" s="14" t="str">
        <f>IF(ISBLANK(A3241),"",_xlfn.XLOOKUP(A3241,'DISPATCH SHEET'!C$3:C$121,'DISPATCH SHEET'!#REF!,""))</f>
        <v/>
      </c>
    </row>
    <row r="3242" spans="2:3" x14ac:dyDescent="0.2">
      <c r="B3242" s="14" t="str">
        <f>IF(A3242="","",_xlfn.XLOOKUP(A3242,'DISPATCH SHEET'!B$3:B$121,'DISPATCH SHEET'!C$3:C$121,""))</f>
        <v/>
      </c>
      <c r="C3242" s="14" t="str">
        <f>IF(ISBLANK(A3242),"",_xlfn.XLOOKUP(A3242,'DISPATCH SHEET'!C$3:C$121,'DISPATCH SHEET'!#REF!,""))</f>
        <v/>
      </c>
    </row>
    <row r="3243" spans="2:3" x14ac:dyDescent="0.2">
      <c r="B3243" s="14" t="str">
        <f>IF(A3243="","",_xlfn.XLOOKUP(A3243,'DISPATCH SHEET'!B$3:B$121,'DISPATCH SHEET'!C$3:C$121,""))</f>
        <v/>
      </c>
      <c r="C3243" s="14" t="str">
        <f>IF(ISBLANK(A3243),"",_xlfn.XLOOKUP(A3243,'DISPATCH SHEET'!C$3:C$121,'DISPATCH SHEET'!#REF!,""))</f>
        <v/>
      </c>
    </row>
    <row r="3244" spans="2:3" x14ac:dyDescent="0.2">
      <c r="B3244" s="14" t="str">
        <f>IF(A3244="","",_xlfn.XLOOKUP(A3244,'DISPATCH SHEET'!B$3:B$121,'DISPATCH SHEET'!C$3:C$121,""))</f>
        <v/>
      </c>
      <c r="C3244" s="14" t="str">
        <f>IF(ISBLANK(A3244),"",_xlfn.XLOOKUP(A3244,'DISPATCH SHEET'!C$3:C$121,'DISPATCH SHEET'!#REF!,""))</f>
        <v/>
      </c>
    </row>
    <row r="3245" spans="2:3" x14ac:dyDescent="0.2">
      <c r="B3245" s="14" t="str">
        <f>IF(A3245="","",_xlfn.XLOOKUP(A3245,'DISPATCH SHEET'!B$3:B$121,'DISPATCH SHEET'!C$3:C$121,""))</f>
        <v/>
      </c>
      <c r="C3245" s="14" t="str">
        <f>IF(ISBLANK(A3245),"",_xlfn.XLOOKUP(A3245,'DISPATCH SHEET'!C$3:C$121,'DISPATCH SHEET'!#REF!,""))</f>
        <v/>
      </c>
    </row>
    <row r="3246" spans="2:3" x14ac:dyDescent="0.2">
      <c r="B3246" s="14" t="str">
        <f>IF(A3246="","",_xlfn.XLOOKUP(A3246,'DISPATCH SHEET'!B$3:B$121,'DISPATCH SHEET'!C$3:C$121,""))</f>
        <v/>
      </c>
      <c r="C3246" s="14" t="str">
        <f>IF(ISBLANK(A3246),"",_xlfn.XLOOKUP(A3246,'DISPATCH SHEET'!C$3:C$121,'DISPATCH SHEET'!#REF!,""))</f>
        <v/>
      </c>
    </row>
    <row r="3247" spans="2:3" x14ac:dyDescent="0.2">
      <c r="B3247" s="14" t="str">
        <f>IF(A3247="","",_xlfn.XLOOKUP(A3247,'DISPATCH SHEET'!B$3:B$121,'DISPATCH SHEET'!C$3:C$121,""))</f>
        <v/>
      </c>
      <c r="C3247" s="14" t="str">
        <f>IF(ISBLANK(A3247),"",_xlfn.XLOOKUP(A3247,'DISPATCH SHEET'!C$3:C$121,'DISPATCH SHEET'!#REF!,""))</f>
        <v/>
      </c>
    </row>
    <row r="3248" spans="2:3" x14ac:dyDescent="0.2">
      <c r="B3248" s="14" t="str">
        <f>IF(A3248="","",_xlfn.XLOOKUP(A3248,'DISPATCH SHEET'!B$3:B$121,'DISPATCH SHEET'!C$3:C$121,""))</f>
        <v/>
      </c>
      <c r="C3248" s="14" t="str">
        <f>IF(ISBLANK(A3248),"",_xlfn.XLOOKUP(A3248,'DISPATCH SHEET'!C$3:C$121,'DISPATCH SHEET'!#REF!,""))</f>
        <v/>
      </c>
    </row>
    <row r="3249" spans="2:3" x14ac:dyDescent="0.2">
      <c r="B3249" s="14" t="str">
        <f>IF(A3249="","",_xlfn.XLOOKUP(A3249,'DISPATCH SHEET'!B$3:B$121,'DISPATCH SHEET'!C$3:C$121,""))</f>
        <v/>
      </c>
      <c r="C3249" s="14" t="str">
        <f>IF(ISBLANK(A3249),"",_xlfn.XLOOKUP(A3249,'DISPATCH SHEET'!C$3:C$121,'DISPATCH SHEET'!#REF!,""))</f>
        <v/>
      </c>
    </row>
    <row r="3250" spans="2:3" x14ac:dyDescent="0.2">
      <c r="B3250" s="14" t="str">
        <f>IF(A3250="","",_xlfn.XLOOKUP(A3250,'DISPATCH SHEET'!B$3:B$121,'DISPATCH SHEET'!C$3:C$121,""))</f>
        <v/>
      </c>
      <c r="C3250" s="14" t="str">
        <f>IF(ISBLANK(A3250),"",_xlfn.XLOOKUP(A3250,'DISPATCH SHEET'!C$3:C$121,'DISPATCH SHEET'!#REF!,""))</f>
        <v/>
      </c>
    </row>
    <row r="3251" spans="2:3" x14ac:dyDescent="0.2">
      <c r="B3251" s="14" t="str">
        <f>IF(A3251="","",_xlfn.XLOOKUP(A3251,'DISPATCH SHEET'!B$3:B$121,'DISPATCH SHEET'!C$3:C$121,""))</f>
        <v/>
      </c>
      <c r="C3251" s="14" t="str">
        <f>IF(ISBLANK(A3251),"",_xlfn.XLOOKUP(A3251,'DISPATCH SHEET'!C$3:C$121,'DISPATCH SHEET'!#REF!,""))</f>
        <v/>
      </c>
    </row>
    <row r="3252" spans="2:3" x14ac:dyDescent="0.2">
      <c r="B3252" s="14" t="str">
        <f>IF(A3252="","",_xlfn.XLOOKUP(A3252,'DISPATCH SHEET'!B$3:B$121,'DISPATCH SHEET'!C$3:C$121,""))</f>
        <v/>
      </c>
      <c r="C3252" s="14" t="str">
        <f>IF(ISBLANK(A3252),"",_xlfn.XLOOKUP(A3252,'DISPATCH SHEET'!C$3:C$121,'DISPATCH SHEET'!#REF!,""))</f>
        <v/>
      </c>
    </row>
    <row r="3253" spans="2:3" x14ac:dyDescent="0.2">
      <c r="B3253" s="14" t="str">
        <f>IF(A3253="","",_xlfn.XLOOKUP(A3253,'DISPATCH SHEET'!B$3:B$121,'DISPATCH SHEET'!C$3:C$121,""))</f>
        <v/>
      </c>
      <c r="C3253" s="14" t="str">
        <f>IF(ISBLANK(A3253),"",_xlfn.XLOOKUP(A3253,'DISPATCH SHEET'!C$3:C$121,'DISPATCH SHEET'!#REF!,""))</f>
        <v/>
      </c>
    </row>
    <row r="3254" spans="2:3" x14ac:dyDescent="0.2">
      <c r="B3254" s="14" t="str">
        <f>IF(A3254="","",_xlfn.XLOOKUP(A3254,'DISPATCH SHEET'!B$3:B$121,'DISPATCH SHEET'!C$3:C$121,""))</f>
        <v/>
      </c>
      <c r="C3254" s="14" t="str">
        <f>IF(ISBLANK(A3254),"",_xlfn.XLOOKUP(A3254,'DISPATCH SHEET'!C$3:C$121,'DISPATCH SHEET'!#REF!,""))</f>
        <v/>
      </c>
    </row>
    <row r="3255" spans="2:3" x14ac:dyDescent="0.2">
      <c r="B3255" s="14" t="str">
        <f>IF(A3255="","",_xlfn.XLOOKUP(A3255,'DISPATCH SHEET'!B$3:B$121,'DISPATCH SHEET'!C$3:C$121,""))</f>
        <v/>
      </c>
      <c r="C3255" s="14" t="str">
        <f>IF(ISBLANK(A3255),"",_xlfn.XLOOKUP(A3255,'DISPATCH SHEET'!C$3:C$121,'DISPATCH SHEET'!#REF!,""))</f>
        <v/>
      </c>
    </row>
    <row r="3256" spans="2:3" x14ac:dyDescent="0.2">
      <c r="B3256" s="14" t="str">
        <f>IF(A3256="","",_xlfn.XLOOKUP(A3256,'DISPATCH SHEET'!B$3:B$121,'DISPATCH SHEET'!C$3:C$121,""))</f>
        <v/>
      </c>
      <c r="C3256" s="14" t="str">
        <f>IF(ISBLANK(A3256),"",_xlfn.XLOOKUP(A3256,'DISPATCH SHEET'!C$3:C$121,'DISPATCH SHEET'!#REF!,""))</f>
        <v/>
      </c>
    </row>
    <row r="3257" spans="2:3" x14ac:dyDescent="0.2">
      <c r="B3257" s="14" t="str">
        <f>IF(A3257="","",_xlfn.XLOOKUP(A3257,'DISPATCH SHEET'!B$3:B$121,'DISPATCH SHEET'!C$3:C$121,""))</f>
        <v/>
      </c>
      <c r="C3257" s="14" t="str">
        <f>IF(ISBLANK(A3257),"",_xlfn.XLOOKUP(A3257,'DISPATCH SHEET'!C$3:C$121,'DISPATCH SHEET'!#REF!,""))</f>
        <v/>
      </c>
    </row>
    <row r="3258" spans="2:3" x14ac:dyDescent="0.2">
      <c r="B3258" s="14" t="str">
        <f>IF(A3258="","",_xlfn.XLOOKUP(A3258,'DISPATCH SHEET'!B$3:B$121,'DISPATCH SHEET'!C$3:C$121,""))</f>
        <v/>
      </c>
      <c r="C3258" s="14" t="str">
        <f>IF(ISBLANK(A3258),"",_xlfn.XLOOKUP(A3258,'DISPATCH SHEET'!C$3:C$121,'DISPATCH SHEET'!#REF!,""))</f>
        <v/>
      </c>
    </row>
    <row r="3259" spans="2:3" x14ac:dyDescent="0.2">
      <c r="B3259" s="14" t="str">
        <f>IF(A3259="","",_xlfn.XLOOKUP(A3259,'DISPATCH SHEET'!B$3:B$121,'DISPATCH SHEET'!C$3:C$121,""))</f>
        <v/>
      </c>
      <c r="C3259" s="14" t="str">
        <f>IF(ISBLANK(A3259),"",_xlfn.XLOOKUP(A3259,'DISPATCH SHEET'!C$3:C$121,'DISPATCH SHEET'!#REF!,""))</f>
        <v/>
      </c>
    </row>
    <row r="3260" spans="2:3" x14ac:dyDescent="0.2">
      <c r="B3260" s="14" t="str">
        <f>IF(A3260="","",_xlfn.XLOOKUP(A3260,'DISPATCH SHEET'!B$3:B$121,'DISPATCH SHEET'!C$3:C$121,""))</f>
        <v/>
      </c>
      <c r="C3260" s="14" t="str">
        <f>IF(ISBLANK(A3260),"",_xlfn.XLOOKUP(A3260,'DISPATCH SHEET'!C$3:C$121,'DISPATCH SHEET'!#REF!,""))</f>
        <v/>
      </c>
    </row>
    <row r="3261" spans="2:3" x14ac:dyDescent="0.2">
      <c r="B3261" s="14" t="str">
        <f>IF(A3261="","",_xlfn.XLOOKUP(A3261,'DISPATCH SHEET'!B$3:B$121,'DISPATCH SHEET'!C$3:C$121,""))</f>
        <v/>
      </c>
      <c r="C3261" s="14" t="str">
        <f>IF(ISBLANK(A3261),"",_xlfn.XLOOKUP(A3261,'DISPATCH SHEET'!C$3:C$121,'DISPATCH SHEET'!#REF!,""))</f>
        <v/>
      </c>
    </row>
    <row r="3262" spans="2:3" x14ac:dyDescent="0.2">
      <c r="B3262" s="14" t="str">
        <f>IF(A3262="","",_xlfn.XLOOKUP(A3262,'DISPATCH SHEET'!B$3:B$121,'DISPATCH SHEET'!C$3:C$121,""))</f>
        <v/>
      </c>
      <c r="C3262" s="14" t="str">
        <f>IF(ISBLANK(A3262),"",_xlfn.XLOOKUP(A3262,'DISPATCH SHEET'!C$3:C$121,'DISPATCH SHEET'!#REF!,""))</f>
        <v/>
      </c>
    </row>
    <row r="3263" spans="2:3" x14ac:dyDescent="0.2">
      <c r="B3263" s="14" t="str">
        <f>IF(A3263="","",_xlfn.XLOOKUP(A3263,'DISPATCH SHEET'!B$3:B$121,'DISPATCH SHEET'!C$3:C$121,""))</f>
        <v/>
      </c>
      <c r="C3263" s="14" t="str">
        <f>IF(ISBLANK(A3263),"",_xlfn.XLOOKUP(A3263,'DISPATCH SHEET'!C$3:C$121,'DISPATCH SHEET'!#REF!,""))</f>
        <v/>
      </c>
    </row>
    <row r="3264" spans="2:3" x14ac:dyDescent="0.2">
      <c r="B3264" s="14" t="str">
        <f>IF(A3264="","",_xlfn.XLOOKUP(A3264,'DISPATCH SHEET'!B$3:B$121,'DISPATCH SHEET'!C$3:C$121,""))</f>
        <v/>
      </c>
      <c r="C3264" s="14" t="str">
        <f>IF(ISBLANK(A3264),"",_xlfn.XLOOKUP(A3264,'DISPATCH SHEET'!C$3:C$121,'DISPATCH SHEET'!#REF!,""))</f>
        <v/>
      </c>
    </row>
    <row r="3265" spans="2:3" x14ac:dyDescent="0.2">
      <c r="B3265" s="14" t="str">
        <f>IF(A3265="","",_xlfn.XLOOKUP(A3265,'DISPATCH SHEET'!B$3:B$121,'DISPATCH SHEET'!C$3:C$121,""))</f>
        <v/>
      </c>
      <c r="C3265" s="14" t="str">
        <f>IF(ISBLANK(A3265),"",_xlfn.XLOOKUP(A3265,'DISPATCH SHEET'!C$3:C$121,'DISPATCH SHEET'!#REF!,""))</f>
        <v/>
      </c>
    </row>
    <row r="3266" spans="2:3" x14ac:dyDescent="0.2">
      <c r="B3266" s="14" t="str">
        <f>IF(A3266="","",_xlfn.XLOOKUP(A3266,'DISPATCH SHEET'!B$3:B$121,'DISPATCH SHEET'!C$3:C$121,""))</f>
        <v/>
      </c>
      <c r="C3266" s="14" t="str">
        <f>IF(ISBLANK(A3266),"",_xlfn.XLOOKUP(A3266,'DISPATCH SHEET'!C$3:C$121,'DISPATCH SHEET'!#REF!,""))</f>
        <v/>
      </c>
    </row>
    <row r="3267" spans="2:3" x14ac:dyDescent="0.2">
      <c r="B3267" s="14" t="str">
        <f>IF(A3267="","",_xlfn.XLOOKUP(A3267,'DISPATCH SHEET'!B$3:B$121,'DISPATCH SHEET'!C$3:C$121,""))</f>
        <v/>
      </c>
      <c r="C3267" s="14" t="str">
        <f>IF(ISBLANK(A3267),"",_xlfn.XLOOKUP(A3267,'DISPATCH SHEET'!C$3:C$121,'DISPATCH SHEET'!#REF!,""))</f>
        <v/>
      </c>
    </row>
    <row r="3268" spans="2:3" x14ac:dyDescent="0.2">
      <c r="B3268" s="14" t="str">
        <f>IF(A3268="","",_xlfn.XLOOKUP(A3268,'DISPATCH SHEET'!B$3:B$121,'DISPATCH SHEET'!C$3:C$121,""))</f>
        <v/>
      </c>
      <c r="C3268" s="14" t="str">
        <f>IF(ISBLANK(A3268),"",_xlfn.XLOOKUP(A3268,'DISPATCH SHEET'!C$3:C$121,'DISPATCH SHEET'!#REF!,""))</f>
        <v/>
      </c>
    </row>
    <row r="3269" spans="2:3" x14ac:dyDescent="0.2">
      <c r="B3269" s="14" t="str">
        <f>IF(A3269="","",_xlfn.XLOOKUP(A3269,'DISPATCH SHEET'!B$3:B$121,'DISPATCH SHEET'!C$3:C$121,""))</f>
        <v/>
      </c>
      <c r="C3269" s="14" t="str">
        <f>IF(ISBLANK(A3269),"",_xlfn.XLOOKUP(A3269,'DISPATCH SHEET'!C$3:C$121,'DISPATCH SHEET'!#REF!,""))</f>
        <v/>
      </c>
    </row>
    <row r="3270" spans="2:3" x14ac:dyDescent="0.2">
      <c r="B3270" s="14" t="str">
        <f>IF(A3270="","",_xlfn.XLOOKUP(A3270,'DISPATCH SHEET'!B$3:B$121,'DISPATCH SHEET'!C$3:C$121,""))</f>
        <v/>
      </c>
      <c r="C3270" s="14" t="str">
        <f>IF(ISBLANK(A3270),"",_xlfn.XLOOKUP(A3270,'DISPATCH SHEET'!C$3:C$121,'DISPATCH SHEET'!#REF!,""))</f>
        <v/>
      </c>
    </row>
    <row r="3271" spans="2:3" x14ac:dyDescent="0.2">
      <c r="B3271" s="14" t="str">
        <f>IF(A3271="","",_xlfn.XLOOKUP(A3271,'DISPATCH SHEET'!B$3:B$121,'DISPATCH SHEET'!C$3:C$121,""))</f>
        <v/>
      </c>
      <c r="C3271" s="14" t="str">
        <f>IF(ISBLANK(A3271),"",_xlfn.XLOOKUP(A3271,'DISPATCH SHEET'!C$3:C$121,'DISPATCH SHEET'!#REF!,""))</f>
        <v/>
      </c>
    </row>
    <row r="3272" spans="2:3" x14ac:dyDescent="0.2">
      <c r="B3272" s="14" t="str">
        <f>IF(A3272="","",_xlfn.XLOOKUP(A3272,'DISPATCH SHEET'!B$3:B$121,'DISPATCH SHEET'!C$3:C$121,""))</f>
        <v/>
      </c>
      <c r="C3272" s="14" t="str">
        <f>IF(ISBLANK(A3272),"",_xlfn.XLOOKUP(A3272,'DISPATCH SHEET'!C$3:C$121,'DISPATCH SHEET'!#REF!,""))</f>
        <v/>
      </c>
    </row>
    <row r="3273" spans="2:3" x14ac:dyDescent="0.2">
      <c r="B3273" s="14" t="str">
        <f>IF(A3273="","",_xlfn.XLOOKUP(A3273,'DISPATCH SHEET'!B$3:B$121,'DISPATCH SHEET'!C$3:C$121,""))</f>
        <v/>
      </c>
      <c r="C3273" s="14" t="str">
        <f>IF(ISBLANK(A3273),"",_xlfn.XLOOKUP(A3273,'DISPATCH SHEET'!C$3:C$121,'DISPATCH SHEET'!#REF!,""))</f>
        <v/>
      </c>
    </row>
    <row r="3274" spans="2:3" x14ac:dyDescent="0.2">
      <c r="B3274" s="14" t="str">
        <f>IF(A3274="","",_xlfn.XLOOKUP(A3274,'DISPATCH SHEET'!B$3:B$121,'DISPATCH SHEET'!C$3:C$121,""))</f>
        <v/>
      </c>
      <c r="C3274" s="14" t="str">
        <f>IF(ISBLANK(A3274),"",_xlfn.XLOOKUP(A3274,'DISPATCH SHEET'!C$3:C$121,'DISPATCH SHEET'!#REF!,""))</f>
        <v/>
      </c>
    </row>
    <row r="3275" spans="2:3" x14ac:dyDescent="0.2">
      <c r="B3275" s="14" t="str">
        <f>IF(A3275="","",_xlfn.XLOOKUP(A3275,'DISPATCH SHEET'!B$3:B$121,'DISPATCH SHEET'!C$3:C$121,""))</f>
        <v/>
      </c>
      <c r="C3275" s="14" t="str">
        <f>IF(ISBLANK(A3275),"",_xlfn.XLOOKUP(A3275,'DISPATCH SHEET'!C$3:C$121,'DISPATCH SHEET'!#REF!,""))</f>
        <v/>
      </c>
    </row>
    <row r="3276" spans="2:3" x14ac:dyDescent="0.2">
      <c r="B3276" s="14" t="str">
        <f>IF(A3276="","",_xlfn.XLOOKUP(A3276,'DISPATCH SHEET'!B$3:B$121,'DISPATCH SHEET'!C$3:C$121,""))</f>
        <v/>
      </c>
      <c r="C3276" s="14" t="str">
        <f>IF(ISBLANK(A3276),"",_xlfn.XLOOKUP(A3276,'DISPATCH SHEET'!C$3:C$121,'DISPATCH SHEET'!#REF!,""))</f>
        <v/>
      </c>
    </row>
    <row r="3277" spans="2:3" x14ac:dyDescent="0.2">
      <c r="B3277" s="14" t="str">
        <f>IF(A3277="","",_xlfn.XLOOKUP(A3277,'DISPATCH SHEET'!B$3:B$121,'DISPATCH SHEET'!C$3:C$121,""))</f>
        <v/>
      </c>
      <c r="C3277" s="14" t="str">
        <f>IF(ISBLANK(A3277),"",_xlfn.XLOOKUP(A3277,'DISPATCH SHEET'!C$3:C$121,'DISPATCH SHEET'!#REF!,""))</f>
        <v/>
      </c>
    </row>
    <row r="3278" spans="2:3" x14ac:dyDescent="0.2">
      <c r="B3278" s="14" t="str">
        <f>IF(A3278="","",_xlfn.XLOOKUP(A3278,'DISPATCH SHEET'!B$3:B$121,'DISPATCH SHEET'!C$3:C$121,""))</f>
        <v/>
      </c>
      <c r="C3278" s="14" t="str">
        <f>IF(ISBLANK(A3278),"",_xlfn.XLOOKUP(A3278,'DISPATCH SHEET'!C$3:C$121,'DISPATCH SHEET'!#REF!,""))</f>
        <v/>
      </c>
    </row>
    <row r="3279" spans="2:3" x14ac:dyDescent="0.2">
      <c r="B3279" s="14" t="str">
        <f>IF(A3279="","",_xlfn.XLOOKUP(A3279,'DISPATCH SHEET'!B$3:B$121,'DISPATCH SHEET'!C$3:C$121,""))</f>
        <v/>
      </c>
      <c r="C3279" s="14" t="str">
        <f>IF(ISBLANK(A3279),"",_xlfn.XLOOKUP(A3279,'DISPATCH SHEET'!C$3:C$121,'DISPATCH SHEET'!#REF!,""))</f>
        <v/>
      </c>
    </row>
    <row r="3280" spans="2:3" x14ac:dyDescent="0.2">
      <c r="B3280" s="14" t="str">
        <f>IF(A3280="","",_xlfn.XLOOKUP(A3280,'DISPATCH SHEET'!B$3:B$121,'DISPATCH SHEET'!C$3:C$121,""))</f>
        <v/>
      </c>
      <c r="C3280" s="14" t="str">
        <f>IF(ISBLANK(A3280),"",_xlfn.XLOOKUP(A3280,'DISPATCH SHEET'!C$3:C$121,'DISPATCH SHEET'!#REF!,""))</f>
        <v/>
      </c>
    </row>
    <row r="3281" spans="2:3" x14ac:dyDescent="0.2">
      <c r="B3281" s="14" t="str">
        <f>IF(A3281="","",_xlfn.XLOOKUP(A3281,'DISPATCH SHEET'!B$3:B$121,'DISPATCH SHEET'!C$3:C$121,""))</f>
        <v/>
      </c>
      <c r="C3281" s="14" t="str">
        <f>IF(ISBLANK(A3281),"",_xlfn.XLOOKUP(A3281,'DISPATCH SHEET'!C$3:C$121,'DISPATCH SHEET'!#REF!,""))</f>
        <v/>
      </c>
    </row>
    <row r="3282" spans="2:3" x14ac:dyDescent="0.2">
      <c r="B3282" s="14" t="str">
        <f>IF(A3282="","",_xlfn.XLOOKUP(A3282,'DISPATCH SHEET'!B$3:B$121,'DISPATCH SHEET'!C$3:C$121,""))</f>
        <v/>
      </c>
      <c r="C3282" s="14" t="str">
        <f>IF(ISBLANK(A3282),"",_xlfn.XLOOKUP(A3282,'DISPATCH SHEET'!C$3:C$121,'DISPATCH SHEET'!#REF!,""))</f>
        <v/>
      </c>
    </row>
    <row r="3283" spans="2:3" x14ac:dyDescent="0.2">
      <c r="B3283" s="14" t="str">
        <f>IF(A3283="","",_xlfn.XLOOKUP(A3283,'DISPATCH SHEET'!B$3:B$121,'DISPATCH SHEET'!C$3:C$121,""))</f>
        <v/>
      </c>
      <c r="C3283" s="14" t="str">
        <f>IF(ISBLANK(A3283),"",_xlfn.XLOOKUP(A3283,'DISPATCH SHEET'!C$3:C$121,'DISPATCH SHEET'!#REF!,""))</f>
        <v/>
      </c>
    </row>
    <row r="3284" spans="2:3" x14ac:dyDescent="0.2">
      <c r="B3284" s="14" t="str">
        <f>IF(A3284="","",_xlfn.XLOOKUP(A3284,'DISPATCH SHEET'!B$3:B$121,'DISPATCH SHEET'!C$3:C$121,""))</f>
        <v/>
      </c>
      <c r="C3284" s="14" t="str">
        <f>IF(ISBLANK(A3284),"",_xlfn.XLOOKUP(A3284,'DISPATCH SHEET'!C$3:C$121,'DISPATCH SHEET'!#REF!,""))</f>
        <v/>
      </c>
    </row>
    <row r="3285" spans="2:3" x14ac:dyDescent="0.2">
      <c r="B3285" s="14" t="str">
        <f>IF(A3285="","",_xlfn.XLOOKUP(A3285,'DISPATCH SHEET'!B$3:B$121,'DISPATCH SHEET'!C$3:C$121,""))</f>
        <v/>
      </c>
      <c r="C3285" s="14" t="str">
        <f>IF(ISBLANK(A3285),"",_xlfn.XLOOKUP(A3285,'DISPATCH SHEET'!C$3:C$121,'DISPATCH SHEET'!#REF!,""))</f>
        <v/>
      </c>
    </row>
    <row r="3286" spans="2:3" x14ac:dyDescent="0.2">
      <c r="B3286" s="14" t="str">
        <f>IF(A3286="","",_xlfn.XLOOKUP(A3286,'DISPATCH SHEET'!B$3:B$121,'DISPATCH SHEET'!C$3:C$121,""))</f>
        <v/>
      </c>
      <c r="C3286" s="14" t="str">
        <f>IF(ISBLANK(A3286),"",_xlfn.XLOOKUP(A3286,'DISPATCH SHEET'!C$3:C$121,'DISPATCH SHEET'!#REF!,""))</f>
        <v/>
      </c>
    </row>
    <row r="3287" spans="2:3" x14ac:dyDescent="0.2">
      <c r="B3287" s="14" t="str">
        <f>IF(A3287="","",_xlfn.XLOOKUP(A3287,'DISPATCH SHEET'!B$3:B$121,'DISPATCH SHEET'!C$3:C$121,""))</f>
        <v/>
      </c>
      <c r="C3287" s="14" t="str">
        <f>IF(ISBLANK(A3287),"",_xlfn.XLOOKUP(A3287,'DISPATCH SHEET'!C$3:C$121,'DISPATCH SHEET'!#REF!,""))</f>
        <v/>
      </c>
    </row>
    <row r="3288" spans="2:3" x14ac:dyDescent="0.2">
      <c r="B3288" s="14" t="str">
        <f>IF(A3288="","",_xlfn.XLOOKUP(A3288,'DISPATCH SHEET'!B$3:B$121,'DISPATCH SHEET'!C$3:C$121,""))</f>
        <v/>
      </c>
      <c r="C3288" s="14" t="str">
        <f>IF(ISBLANK(A3288),"",_xlfn.XLOOKUP(A3288,'DISPATCH SHEET'!C$3:C$121,'DISPATCH SHEET'!#REF!,""))</f>
        <v/>
      </c>
    </row>
    <row r="3289" spans="2:3" x14ac:dyDescent="0.2">
      <c r="B3289" s="14" t="str">
        <f>IF(A3289="","",_xlfn.XLOOKUP(A3289,'DISPATCH SHEET'!B$3:B$121,'DISPATCH SHEET'!C$3:C$121,""))</f>
        <v/>
      </c>
      <c r="C3289" s="14" t="str">
        <f>IF(ISBLANK(A3289),"",_xlfn.XLOOKUP(A3289,'DISPATCH SHEET'!C$3:C$121,'DISPATCH SHEET'!#REF!,""))</f>
        <v/>
      </c>
    </row>
    <row r="3290" spans="2:3" x14ac:dyDescent="0.2">
      <c r="B3290" s="14" t="str">
        <f>IF(A3290="","",_xlfn.XLOOKUP(A3290,'DISPATCH SHEET'!B$3:B$121,'DISPATCH SHEET'!C$3:C$121,""))</f>
        <v/>
      </c>
      <c r="C3290" s="14" t="str">
        <f>IF(ISBLANK(A3290),"",_xlfn.XLOOKUP(A3290,'DISPATCH SHEET'!C$3:C$121,'DISPATCH SHEET'!#REF!,""))</f>
        <v/>
      </c>
    </row>
    <row r="3291" spans="2:3" x14ac:dyDescent="0.2">
      <c r="B3291" s="14" t="str">
        <f>IF(A3291="","",_xlfn.XLOOKUP(A3291,'DISPATCH SHEET'!B$3:B$121,'DISPATCH SHEET'!C$3:C$121,""))</f>
        <v/>
      </c>
      <c r="C3291" s="14" t="str">
        <f>IF(ISBLANK(A3291),"",_xlfn.XLOOKUP(A3291,'DISPATCH SHEET'!C$3:C$121,'DISPATCH SHEET'!#REF!,""))</f>
        <v/>
      </c>
    </row>
    <row r="3292" spans="2:3" x14ac:dyDescent="0.2">
      <c r="B3292" s="14" t="str">
        <f>IF(A3292="","",_xlfn.XLOOKUP(A3292,'DISPATCH SHEET'!B$3:B$121,'DISPATCH SHEET'!C$3:C$121,""))</f>
        <v/>
      </c>
      <c r="C3292" s="14" t="str">
        <f>IF(ISBLANK(A3292),"",_xlfn.XLOOKUP(A3292,'DISPATCH SHEET'!C$3:C$121,'DISPATCH SHEET'!#REF!,""))</f>
        <v/>
      </c>
    </row>
    <row r="3293" spans="2:3" x14ac:dyDescent="0.2">
      <c r="B3293" s="14" t="str">
        <f>IF(A3293="","",_xlfn.XLOOKUP(A3293,'DISPATCH SHEET'!B$3:B$121,'DISPATCH SHEET'!C$3:C$121,""))</f>
        <v/>
      </c>
      <c r="C3293" s="14" t="str">
        <f>IF(ISBLANK(A3293),"",_xlfn.XLOOKUP(A3293,'DISPATCH SHEET'!C$3:C$121,'DISPATCH SHEET'!#REF!,""))</f>
        <v/>
      </c>
    </row>
    <row r="3294" spans="2:3" x14ac:dyDescent="0.2">
      <c r="B3294" s="14" t="str">
        <f>IF(A3294="","",_xlfn.XLOOKUP(A3294,'DISPATCH SHEET'!B$3:B$121,'DISPATCH SHEET'!C$3:C$121,""))</f>
        <v/>
      </c>
      <c r="C3294" s="14" t="str">
        <f>IF(ISBLANK(A3294),"",_xlfn.XLOOKUP(A3294,'DISPATCH SHEET'!C$3:C$121,'DISPATCH SHEET'!#REF!,""))</f>
        <v/>
      </c>
    </row>
    <row r="3295" spans="2:3" x14ac:dyDescent="0.2">
      <c r="B3295" s="14" t="str">
        <f>IF(A3295="","",_xlfn.XLOOKUP(A3295,'DISPATCH SHEET'!B$3:B$121,'DISPATCH SHEET'!C$3:C$121,""))</f>
        <v/>
      </c>
      <c r="C3295" s="14" t="str">
        <f>IF(ISBLANK(A3295),"",_xlfn.XLOOKUP(A3295,'DISPATCH SHEET'!C$3:C$121,'DISPATCH SHEET'!#REF!,""))</f>
        <v/>
      </c>
    </row>
    <row r="3296" spans="2:3" x14ac:dyDescent="0.2">
      <c r="B3296" s="14" t="str">
        <f>IF(A3296="","",_xlfn.XLOOKUP(A3296,'DISPATCH SHEET'!B$3:B$121,'DISPATCH SHEET'!C$3:C$121,""))</f>
        <v/>
      </c>
      <c r="C3296" s="14" t="str">
        <f>IF(ISBLANK(A3296),"",_xlfn.XLOOKUP(A3296,'DISPATCH SHEET'!C$3:C$121,'DISPATCH SHEET'!#REF!,""))</f>
        <v/>
      </c>
    </row>
    <row r="3297" spans="2:3" x14ac:dyDescent="0.2">
      <c r="B3297" s="14" t="str">
        <f>IF(A3297="","",_xlfn.XLOOKUP(A3297,'DISPATCH SHEET'!B$3:B$121,'DISPATCH SHEET'!C$3:C$121,""))</f>
        <v/>
      </c>
      <c r="C3297" s="14" t="str">
        <f>IF(ISBLANK(A3297),"",_xlfn.XLOOKUP(A3297,'DISPATCH SHEET'!C$3:C$121,'DISPATCH SHEET'!#REF!,""))</f>
        <v/>
      </c>
    </row>
    <row r="3298" spans="2:3" x14ac:dyDescent="0.2">
      <c r="B3298" s="14" t="str">
        <f>IF(A3298="","",_xlfn.XLOOKUP(A3298,'DISPATCH SHEET'!B$3:B$121,'DISPATCH SHEET'!C$3:C$121,""))</f>
        <v/>
      </c>
      <c r="C3298" s="14" t="str">
        <f>IF(ISBLANK(A3298),"",_xlfn.XLOOKUP(A3298,'DISPATCH SHEET'!C$3:C$121,'DISPATCH SHEET'!#REF!,""))</f>
        <v/>
      </c>
    </row>
    <row r="3299" spans="2:3" x14ac:dyDescent="0.2">
      <c r="B3299" s="14" t="str">
        <f>IF(A3299="","",_xlfn.XLOOKUP(A3299,'DISPATCH SHEET'!B$3:B$121,'DISPATCH SHEET'!C$3:C$121,""))</f>
        <v/>
      </c>
      <c r="C3299" s="14" t="str">
        <f>IF(ISBLANK(A3299),"",_xlfn.XLOOKUP(A3299,'DISPATCH SHEET'!C$3:C$121,'DISPATCH SHEET'!#REF!,""))</f>
        <v/>
      </c>
    </row>
    <row r="3300" spans="2:3" x14ac:dyDescent="0.2">
      <c r="B3300" s="14" t="str">
        <f>IF(A3300="","",_xlfn.XLOOKUP(A3300,'DISPATCH SHEET'!B$3:B$121,'DISPATCH SHEET'!C$3:C$121,""))</f>
        <v/>
      </c>
      <c r="C3300" s="14" t="str">
        <f>IF(ISBLANK(A3300),"",_xlfn.XLOOKUP(A3300,'DISPATCH SHEET'!C$3:C$121,'DISPATCH SHEET'!#REF!,""))</f>
        <v/>
      </c>
    </row>
    <row r="3301" spans="2:3" x14ac:dyDescent="0.2">
      <c r="B3301" s="14" t="str">
        <f>IF(A3301="","",_xlfn.XLOOKUP(A3301,'DISPATCH SHEET'!B$3:B$121,'DISPATCH SHEET'!C$3:C$121,""))</f>
        <v/>
      </c>
      <c r="C3301" s="14" t="str">
        <f>IF(ISBLANK(A3301),"",_xlfn.XLOOKUP(A3301,'DISPATCH SHEET'!C$3:C$121,'DISPATCH SHEET'!#REF!,""))</f>
        <v/>
      </c>
    </row>
    <row r="3302" spans="2:3" x14ac:dyDescent="0.2">
      <c r="B3302" s="14" t="str">
        <f>IF(A3302="","",_xlfn.XLOOKUP(A3302,'DISPATCH SHEET'!B$3:B$121,'DISPATCH SHEET'!C$3:C$121,""))</f>
        <v/>
      </c>
      <c r="C3302" s="14" t="str">
        <f>IF(ISBLANK(A3302),"",_xlfn.XLOOKUP(A3302,'DISPATCH SHEET'!C$3:C$121,'DISPATCH SHEET'!#REF!,""))</f>
        <v/>
      </c>
    </row>
    <row r="3303" spans="2:3" x14ac:dyDescent="0.2">
      <c r="B3303" s="14" t="str">
        <f>IF(A3303="","",_xlfn.XLOOKUP(A3303,'DISPATCH SHEET'!B$3:B$121,'DISPATCH SHEET'!C$3:C$121,""))</f>
        <v/>
      </c>
      <c r="C3303" s="14" t="str">
        <f>IF(ISBLANK(A3303),"",_xlfn.XLOOKUP(A3303,'DISPATCH SHEET'!C$3:C$121,'DISPATCH SHEET'!#REF!,""))</f>
        <v/>
      </c>
    </row>
    <row r="3304" spans="2:3" x14ac:dyDescent="0.2">
      <c r="B3304" s="14" t="str">
        <f>IF(A3304="","",_xlfn.XLOOKUP(A3304,'DISPATCH SHEET'!B$3:B$121,'DISPATCH SHEET'!C$3:C$121,""))</f>
        <v/>
      </c>
      <c r="C3304" s="14" t="str">
        <f>IF(ISBLANK(A3304),"",_xlfn.XLOOKUP(A3304,'DISPATCH SHEET'!C$3:C$121,'DISPATCH SHEET'!#REF!,""))</f>
        <v/>
      </c>
    </row>
    <row r="3305" spans="2:3" x14ac:dyDescent="0.2">
      <c r="B3305" s="14" t="str">
        <f>IF(A3305="","",_xlfn.XLOOKUP(A3305,'DISPATCH SHEET'!B$3:B$121,'DISPATCH SHEET'!C$3:C$121,""))</f>
        <v/>
      </c>
      <c r="C3305" s="14" t="str">
        <f>IF(ISBLANK(A3305),"",_xlfn.XLOOKUP(A3305,'DISPATCH SHEET'!C$3:C$121,'DISPATCH SHEET'!#REF!,""))</f>
        <v/>
      </c>
    </row>
    <row r="3306" spans="2:3" x14ac:dyDescent="0.2">
      <c r="B3306" s="14" t="str">
        <f>IF(A3306="","",_xlfn.XLOOKUP(A3306,'DISPATCH SHEET'!B$3:B$121,'DISPATCH SHEET'!C$3:C$121,""))</f>
        <v/>
      </c>
      <c r="C3306" s="14" t="str">
        <f>IF(ISBLANK(A3306),"",_xlfn.XLOOKUP(A3306,'DISPATCH SHEET'!C$3:C$121,'DISPATCH SHEET'!#REF!,""))</f>
        <v/>
      </c>
    </row>
    <row r="3307" spans="2:3" x14ac:dyDescent="0.2">
      <c r="B3307" s="14" t="str">
        <f>IF(A3307="","",_xlfn.XLOOKUP(A3307,'DISPATCH SHEET'!B$3:B$121,'DISPATCH SHEET'!C$3:C$121,""))</f>
        <v/>
      </c>
      <c r="C3307" s="14" t="str">
        <f>IF(ISBLANK(A3307),"",_xlfn.XLOOKUP(A3307,'DISPATCH SHEET'!C$3:C$121,'DISPATCH SHEET'!#REF!,""))</f>
        <v/>
      </c>
    </row>
    <row r="3308" spans="2:3" x14ac:dyDescent="0.2">
      <c r="B3308" s="14" t="str">
        <f>IF(A3308="","",_xlfn.XLOOKUP(A3308,'DISPATCH SHEET'!B$3:B$121,'DISPATCH SHEET'!C$3:C$121,""))</f>
        <v/>
      </c>
      <c r="C3308" s="14" t="str">
        <f>IF(ISBLANK(A3308),"",_xlfn.XLOOKUP(A3308,'DISPATCH SHEET'!C$3:C$121,'DISPATCH SHEET'!#REF!,""))</f>
        <v/>
      </c>
    </row>
    <row r="3309" spans="2:3" x14ac:dyDescent="0.2">
      <c r="B3309" s="14" t="str">
        <f>IF(A3309="","",_xlfn.XLOOKUP(A3309,'DISPATCH SHEET'!B$3:B$121,'DISPATCH SHEET'!C$3:C$121,""))</f>
        <v/>
      </c>
      <c r="C3309" s="14" t="str">
        <f>IF(ISBLANK(A3309),"",_xlfn.XLOOKUP(A3309,'DISPATCH SHEET'!C$3:C$121,'DISPATCH SHEET'!#REF!,""))</f>
        <v/>
      </c>
    </row>
    <row r="3310" spans="2:3" x14ac:dyDescent="0.2">
      <c r="B3310" s="14" t="str">
        <f>IF(A3310="","",_xlfn.XLOOKUP(A3310,'DISPATCH SHEET'!B$3:B$121,'DISPATCH SHEET'!C$3:C$121,""))</f>
        <v/>
      </c>
      <c r="C3310" s="14" t="str">
        <f>IF(ISBLANK(A3310),"",_xlfn.XLOOKUP(A3310,'DISPATCH SHEET'!C$3:C$121,'DISPATCH SHEET'!#REF!,""))</f>
        <v/>
      </c>
    </row>
    <row r="3311" spans="2:3" x14ac:dyDescent="0.2">
      <c r="B3311" s="14" t="str">
        <f>IF(A3311="","",_xlfn.XLOOKUP(A3311,'DISPATCH SHEET'!B$3:B$121,'DISPATCH SHEET'!C$3:C$121,""))</f>
        <v/>
      </c>
      <c r="C3311" s="14" t="str">
        <f>IF(ISBLANK(A3311),"",_xlfn.XLOOKUP(A3311,'DISPATCH SHEET'!C$3:C$121,'DISPATCH SHEET'!#REF!,""))</f>
        <v/>
      </c>
    </row>
    <row r="3312" spans="2:3" x14ac:dyDescent="0.2">
      <c r="B3312" s="14" t="str">
        <f>IF(A3312="","",_xlfn.XLOOKUP(A3312,'DISPATCH SHEET'!B$3:B$121,'DISPATCH SHEET'!C$3:C$121,""))</f>
        <v/>
      </c>
      <c r="C3312" s="14" t="str">
        <f>IF(ISBLANK(A3312),"",_xlfn.XLOOKUP(A3312,'DISPATCH SHEET'!C$3:C$121,'DISPATCH SHEET'!#REF!,""))</f>
        <v/>
      </c>
    </row>
    <row r="3313" spans="2:3" x14ac:dyDescent="0.2">
      <c r="B3313" s="14" t="str">
        <f>IF(A3313="","",_xlfn.XLOOKUP(A3313,'DISPATCH SHEET'!B$3:B$121,'DISPATCH SHEET'!C$3:C$121,""))</f>
        <v/>
      </c>
      <c r="C3313" s="14" t="str">
        <f>IF(ISBLANK(A3313),"",_xlfn.XLOOKUP(A3313,'DISPATCH SHEET'!C$3:C$121,'DISPATCH SHEET'!#REF!,""))</f>
        <v/>
      </c>
    </row>
    <row r="3314" spans="2:3" x14ac:dyDescent="0.2">
      <c r="B3314" s="14" t="str">
        <f>IF(A3314="","",_xlfn.XLOOKUP(A3314,'DISPATCH SHEET'!B$3:B$121,'DISPATCH SHEET'!C$3:C$121,""))</f>
        <v/>
      </c>
      <c r="C3314" s="14" t="str">
        <f>IF(ISBLANK(A3314),"",_xlfn.XLOOKUP(A3314,'DISPATCH SHEET'!C$3:C$121,'DISPATCH SHEET'!#REF!,""))</f>
        <v/>
      </c>
    </row>
    <row r="3315" spans="2:3" x14ac:dyDescent="0.2">
      <c r="B3315" s="14" t="str">
        <f>IF(A3315="","",_xlfn.XLOOKUP(A3315,'DISPATCH SHEET'!B$3:B$121,'DISPATCH SHEET'!C$3:C$121,""))</f>
        <v/>
      </c>
      <c r="C3315" s="14" t="str">
        <f>IF(ISBLANK(A3315),"",_xlfn.XLOOKUP(A3315,'DISPATCH SHEET'!C$3:C$121,'DISPATCH SHEET'!#REF!,""))</f>
        <v/>
      </c>
    </row>
    <row r="3316" spans="2:3" x14ac:dyDescent="0.2">
      <c r="B3316" s="14" t="str">
        <f>IF(A3316="","",_xlfn.XLOOKUP(A3316,'DISPATCH SHEET'!B$3:B$121,'DISPATCH SHEET'!C$3:C$121,""))</f>
        <v/>
      </c>
      <c r="C3316" s="14" t="str">
        <f>IF(ISBLANK(A3316),"",_xlfn.XLOOKUP(A3316,'DISPATCH SHEET'!C$3:C$121,'DISPATCH SHEET'!#REF!,""))</f>
        <v/>
      </c>
    </row>
    <row r="3317" spans="2:3" x14ac:dyDescent="0.2">
      <c r="B3317" s="14" t="str">
        <f>IF(A3317="","",_xlfn.XLOOKUP(A3317,'DISPATCH SHEET'!B$3:B$121,'DISPATCH SHEET'!C$3:C$121,""))</f>
        <v/>
      </c>
      <c r="C3317" s="14" t="str">
        <f>IF(ISBLANK(A3317),"",_xlfn.XLOOKUP(A3317,'DISPATCH SHEET'!C$3:C$121,'DISPATCH SHEET'!#REF!,""))</f>
        <v/>
      </c>
    </row>
    <row r="3318" spans="2:3" x14ac:dyDescent="0.2">
      <c r="B3318" s="14" t="str">
        <f>IF(A3318="","",_xlfn.XLOOKUP(A3318,'DISPATCH SHEET'!B$3:B$121,'DISPATCH SHEET'!C$3:C$121,""))</f>
        <v/>
      </c>
      <c r="C3318" s="14" t="str">
        <f>IF(ISBLANK(A3318),"",_xlfn.XLOOKUP(A3318,'DISPATCH SHEET'!C$3:C$121,'DISPATCH SHEET'!#REF!,""))</f>
        <v/>
      </c>
    </row>
    <row r="3319" spans="2:3" x14ac:dyDescent="0.2">
      <c r="B3319" s="14" t="str">
        <f>IF(A3319="","",_xlfn.XLOOKUP(A3319,'DISPATCH SHEET'!B$3:B$121,'DISPATCH SHEET'!C$3:C$121,""))</f>
        <v/>
      </c>
      <c r="C3319" s="14" t="str">
        <f>IF(ISBLANK(A3319),"",_xlfn.XLOOKUP(A3319,'DISPATCH SHEET'!C$3:C$121,'DISPATCH SHEET'!#REF!,""))</f>
        <v/>
      </c>
    </row>
    <row r="3320" spans="2:3" x14ac:dyDescent="0.2">
      <c r="B3320" s="14" t="str">
        <f>IF(A3320="","",_xlfn.XLOOKUP(A3320,'DISPATCH SHEET'!B$3:B$121,'DISPATCH SHEET'!C$3:C$121,""))</f>
        <v/>
      </c>
      <c r="C3320" s="14" t="str">
        <f>IF(ISBLANK(A3320),"",_xlfn.XLOOKUP(A3320,'DISPATCH SHEET'!C$3:C$121,'DISPATCH SHEET'!#REF!,""))</f>
        <v/>
      </c>
    </row>
    <row r="3321" spans="2:3" x14ac:dyDescent="0.2">
      <c r="B3321" s="14" t="str">
        <f>IF(A3321="","",_xlfn.XLOOKUP(A3321,'DISPATCH SHEET'!B$3:B$121,'DISPATCH SHEET'!C$3:C$121,""))</f>
        <v/>
      </c>
      <c r="C3321" s="14" t="str">
        <f>IF(ISBLANK(A3321),"",_xlfn.XLOOKUP(A3321,'DISPATCH SHEET'!C$3:C$121,'DISPATCH SHEET'!#REF!,""))</f>
        <v/>
      </c>
    </row>
    <row r="3322" spans="2:3" x14ac:dyDescent="0.2">
      <c r="B3322" s="14" t="str">
        <f>IF(A3322="","",_xlfn.XLOOKUP(A3322,'DISPATCH SHEET'!B$3:B$121,'DISPATCH SHEET'!C$3:C$121,""))</f>
        <v/>
      </c>
      <c r="C3322" s="14" t="str">
        <f>IF(ISBLANK(A3322),"",_xlfn.XLOOKUP(A3322,'DISPATCH SHEET'!C$3:C$121,'DISPATCH SHEET'!#REF!,""))</f>
        <v/>
      </c>
    </row>
    <row r="3323" spans="2:3" x14ac:dyDescent="0.2">
      <c r="B3323" s="14" t="str">
        <f>IF(A3323="","",_xlfn.XLOOKUP(A3323,'DISPATCH SHEET'!B$3:B$121,'DISPATCH SHEET'!C$3:C$121,""))</f>
        <v/>
      </c>
      <c r="C3323" s="14" t="str">
        <f>IF(ISBLANK(A3323),"",_xlfn.XLOOKUP(A3323,'DISPATCH SHEET'!C$3:C$121,'DISPATCH SHEET'!#REF!,""))</f>
        <v/>
      </c>
    </row>
    <row r="3324" spans="2:3" x14ac:dyDescent="0.2">
      <c r="B3324" s="14" t="str">
        <f>IF(A3324="","",_xlfn.XLOOKUP(A3324,'DISPATCH SHEET'!B$3:B$121,'DISPATCH SHEET'!C$3:C$121,""))</f>
        <v/>
      </c>
      <c r="C3324" s="14" t="str">
        <f>IF(ISBLANK(A3324),"",_xlfn.XLOOKUP(A3324,'DISPATCH SHEET'!C$3:C$121,'DISPATCH SHEET'!#REF!,""))</f>
        <v/>
      </c>
    </row>
    <row r="3325" spans="2:3" x14ac:dyDescent="0.2">
      <c r="B3325" s="14" t="str">
        <f>IF(A3325="","",_xlfn.XLOOKUP(A3325,'DISPATCH SHEET'!B$3:B$121,'DISPATCH SHEET'!C$3:C$121,""))</f>
        <v/>
      </c>
      <c r="C3325" s="14" t="str">
        <f>IF(ISBLANK(A3325),"",_xlfn.XLOOKUP(A3325,'DISPATCH SHEET'!C$3:C$121,'DISPATCH SHEET'!#REF!,""))</f>
        <v/>
      </c>
    </row>
    <row r="3326" spans="2:3" x14ac:dyDescent="0.2">
      <c r="B3326" s="14" t="str">
        <f>IF(A3326="","",_xlfn.XLOOKUP(A3326,'DISPATCH SHEET'!B$3:B$121,'DISPATCH SHEET'!C$3:C$121,""))</f>
        <v/>
      </c>
      <c r="C3326" s="14" t="str">
        <f>IF(ISBLANK(A3326),"",_xlfn.XLOOKUP(A3326,'DISPATCH SHEET'!C$3:C$121,'DISPATCH SHEET'!#REF!,""))</f>
        <v/>
      </c>
    </row>
    <row r="3327" spans="2:3" x14ac:dyDescent="0.2">
      <c r="B3327" s="14" t="str">
        <f>IF(A3327="","",_xlfn.XLOOKUP(A3327,'DISPATCH SHEET'!B$3:B$121,'DISPATCH SHEET'!C$3:C$121,""))</f>
        <v/>
      </c>
      <c r="C3327" s="14" t="str">
        <f>IF(ISBLANK(A3327),"",_xlfn.XLOOKUP(A3327,'DISPATCH SHEET'!C$3:C$121,'DISPATCH SHEET'!#REF!,""))</f>
        <v/>
      </c>
    </row>
    <row r="3328" spans="2:3" x14ac:dyDescent="0.2">
      <c r="B3328" s="14" t="str">
        <f>IF(A3328="","",_xlfn.XLOOKUP(A3328,'DISPATCH SHEET'!B$3:B$121,'DISPATCH SHEET'!C$3:C$121,""))</f>
        <v/>
      </c>
      <c r="C3328" s="14" t="str">
        <f>IF(ISBLANK(A3328),"",_xlfn.XLOOKUP(A3328,'DISPATCH SHEET'!C$3:C$121,'DISPATCH SHEET'!#REF!,""))</f>
        <v/>
      </c>
    </row>
    <row r="3329" spans="2:3" x14ac:dyDescent="0.2">
      <c r="B3329" s="14" t="str">
        <f>IF(A3329="","",_xlfn.XLOOKUP(A3329,'DISPATCH SHEET'!B$3:B$121,'DISPATCH SHEET'!C$3:C$121,""))</f>
        <v/>
      </c>
      <c r="C3329" s="14" t="str">
        <f>IF(ISBLANK(A3329),"",_xlfn.XLOOKUP(A3329,'DISPATCH SHEET'!C$3:C$121,'DISPATCH SHEET'!#REF!,""))</f>
        <v/>
      </c>
    </row>
    <row r="3330" spans="2:3" x14ac:dyDescent="0.2">
      <c r="B3330" s="14" t="str">
        <f>IF(A3330="","",_xlfn.XLOOKUP(A3330,'DISPATCH SHEET'!B$3:B$121,'DISPATCH SHEET'!C$3:C$121,""))</f>
        <v/>
      </c>
      <c r="C3330" s="14" t="str">
        <f>IF(ISBLANK(A3330),"",_xlfn.XLOOKUP(A3330,'DISPATCH SHEET'!C$3:C$121,'DISPATCH SHEET'!#REF!,""))</f>
        <v/>
      </c>
    </row>
    <row r="3331" spans="2:3" x14ac:dyDescent="0.2">
      <c r="B3331" s="14" t="str">
        <f>IF(A3331="","",_xlfn.XLOOKUP(A3331,'DISPATCH SHEET'!B$3:B$121,'DISPATCH SHEET'!C$3:C$121,""))</f>
        <v/>
      </c>
      <c r="C3331" s="14" t="str">
        <f>IF(ISBLANK(A3331),"",_xlfn.XLOOKUP(A3331,'DISPATCH SHEET'!C$3:C$121,'DISPATCH SHEET'!#REF!,""))</f>
        <v/>
      </c>
    </row>
    <row r="3332" spans="2:3" x14ac:dyDescent="0.2">
      <c r="B3332" s="14" t="str">
        <f>IF(A3332="","",_xlfn.XLOOKUP(A3332,'DISPATCH SHEET'!B$3:B$121,'DISPATCH SHEET'!C$3:C$121,""))</f>
        <v/>
      </c>
      <c r="C3332" s="14" t="str">
        <f>IF(ISBLANK(A3332),"",_xlfn.XLOOKUP(A3332,'DISPATCH SHEET'!C$3:C$121,'DISPATCH SHEET'!#REF!,""))</f>
        <v/>
      </c>
    </row>
    <row r="3333" spans="2:3" x14ac:dyDescent="0.2">
      <c r="B3333" s="14" t="str">
        <f>IF(A3333="","",_xlfn.XLOOKUP(A3333,'DISPATCH SHEET'!B$3:B$121,'DISPATCH SHEET'!C$3:C$121,""))</f>
        <v/>
      </c>
      <c r="C3333" s="14" t="str">
        <f>IF(ISBLANK(A3333),"",_xlfn.XLOOKUP(A3333,'DISPATCH SHEET'!C$3:C$121,'DISPATCH SHEET'!#REF!,""))</f>
        <v/>
      </c>
    </row>
    <row r="3334" spans="2:3" x14ac:dyDescent="0.2">
      <c r="B3334" s="14" t="str">
        <f>IF(A3334="","",_xlfn.XLOOKUP(A3334,'DISPATCH SHEET'!B$3:B$121,'DISPATCH SHEET'!C$3:C$121,""))</f>
        <v/>
      </c>
      <c r="C3334" s="14" t="str">
        <f>IF(ISBLANK(A3334),"",_xlfn.XLOOKUP(A3334,'DISPATCH SHEET'!C$3:C$121,'DISPATCH SHEET'!#REF!,""))</f>
        <v/>
      </c>
    </row>
    <row r="3335" spans="2:3" x14ac:dyDescent="0.2">
      <c r="B3335" s="14" t="str">
        <f>IF(A3335="","",_xlfn.XLOOKUP(A3335,'DISPATCH SHEET'!B$3:B$121,'DISPATCH SHEET'!C$3:C$121,""))</f>
        <v/>
      </c>
      <c r="C3335" s="14" t="str">
        <f>IF(ISBLANK(A3335),"",_xlfn.XLOOKUP(A3335,'DISPATCH SHEET'!C$3:C$121,'DISPATCH SHEET'!#REF!,""))</f>
        <v/>
      </c>
    </row>
    <row r="3336" spans="2:3" x14ac:dyDescent="0.2">
      <c r="B3336" s="14" t="str">
        <f>IF(A3336="","",_xlfn.XLOOKUP(A3336,'DISPATCH SHEET'!B$3:B$121,'DISPATCH SHEET'!C$3:C$121,""))</f>
        <v/>
      </c>
      <c r="C3336" s="14" t="str">
        <f>IF(ISBLANK(A3336),"",_xlfn.XLOOKUP(A3336,'DISPATCH SHEET'!C$3:C$121,'DISPATCH SHEET'!#REF!,""))</f>
        <v/>
      </c>
    </row>
    <row r="3337" spans="2:3" x14ac:dyDescent="0.2">
      <c r="B3337" s="14" t="str">
        <f>IF(A3337="","",_xlfn.XLOOKUP(A3337,'DISPATCH SHEET'!B$3:B$121,'DISPATCH SHEET'!C$3:C$121,""))</f>
        <v/>
      </c>
      <c r="C3337" s="14" t="str">
        <f>IF(ISBLANK(A3337),"",_xlfn.XLOOKUP(A3337,'DISPATCH SHEET'!C$3:C$121,'DISPATCH SHEET'!#REF!,""))</f>
        <v/>
      </c>
    </row>
    <row r="3338" spans="2:3" x14ac:dyDescent="0.2">
      <c r="B3338" s="14" t="str">
        <f>IF(A3338="","",_xlfn.XLOOKUP(A3338,'DISPATCH SHEET'!B$3:B$121,'DISPATCH SHEET'!C$3:C$121,""))</f>
        <v/>
      </c>
      <c r="C3338" s="14" t="str">
        <f>IF(ISBLANK(A3338),"",_xlfn.XLOOKUP(A3338,'DISPATCH SHEET'!C$3:C$121,'DISPATCH SHEET'!#REF!,""))</f>
        <v/>
      </c>
    </row>
    <row r="3339" spans="2:3" x14ac:dyDescent="0.2">
      <c r="B3339" s="14" t="str">
        <f>IF(A3339="","",_xlfn.XLOOKUP(A3339,'DISPATCH SHEET'!B$3:B$121,'DISPATCH SHEET'!C$3:C$121,""))</f>
        <v/>
      </c>
      <c r="C3339" s="14" t="str">
        <f>IF(ISBLANK(A3339),"",_xlfn.XLOOKUP(A3339,'DISPATCH SHEET'!C$3:C$121,'DISPATCH SHEET'!#REF!,""))</f>
        <v/>
      </c>
    </row>
    <row r="3340" spans="2:3" x14ac:dyDescent="0.2">
      <c r="B3340" s="14" t="str">
        <f>IF(A3340="","",_xlfn.XLOOKUP(A3340,'DISPATCH SHEET'!B$3:B$121,'DISPATCH SHEET'!C$3:C$121,""))</f>
        <v/>
      </c>
      <c r="C3340" s="14" t="str">
        <f>IF(ISBLANK(A3340),"",_xlfn.XLOOKUP(A3340,'DISPATCH SHEET'!C$3:C$121,'DISPATCH SHEET'!#REF!,""))</f>
        <v/>
      </c>
    </row>
    <row r="3341" spans="2:3" x14ac:dyDescent="0.2">
      <c r="B3341" s="14" t="str">
        <f>IF(A3341="","",_xlfn.XLOOKUP(A3341,'DISPATCH SHEET'!B$3:B$121,'DISPATCH SHEET'!C$3:C$121,""))</f>
        <v/>
      </c>
      <c r="C3341" s="14" t="str">
        <f>IF(ISBLANK(A3341),"",_xlfn.XLOOKUP(A3341,'DISPATCH SHEET'!C$3:C$121,'DISPATCH SHEET'!#REF!,""))</f>
        <v/>
      </c>
    </row>
    <row r="3342" spans="2:3" x14ac:dyDescent="0.2">
      <c r="B3342" s="14" t="str">
        <f>IF(A3342="","",_xlfn.XLOOKUP(A3342,'DISPATCH SHEET'!B$3:B$121,'DISPATCH SHEET'!C$3:C$121,""))</f>
        <v/>
      </c>
      <c r="C3342" s="14" t="str">
        <f>IF(ISBLANK(A3342),"",_xlfn.XLOOKUP(A3342,'DISPATCH SHEET'!C$3:C$121,'DISPATCH SHEET'!#REF!,""))</f>
        <v/>
      </c>
    </row>
    <row r="3343" spans="2:3" x14ac:dyDescent="0.2">
      <c r="B3343" s="14" t="str">
        <f>IF(A3343="","",_xlfn.XLOOKUP(A3343,'DISPATCH SHEET'!B$3:B$121,'DISPATCH SHEET'!C$3:C$121,""))</f>
        <v/>
      </c>
      <c r="C3343" s="14" t="str">
        <f>IF(ISBLANK(A3343),"",_xlfn.XLOOKUP(A3343,'DISPATCH SHEET'!C$3:C$121,'DISPATCH SHEET'!#REF!,""))</f>
        <v/>
      </c>
    </row>
    <row r="3344" spans="2:3" x14ac:dyDescent="0.2">
      <c r="B3344" s="14" t="str">
        <f>IF(A3344="","",_xlfn.XLOOKUP(A3344,'DISPATCH SHEET'!B$3:B$121,'DISPATCH SHEET'!C$3:C$121,""))</f>
        <v/>
      </c>
      <c r="C3344" s="14" t="str">
        <f>IF(ISBLANK(A3344),"",_xlfn.XLOOKUP(A3344,'DISPATCH SHEET'!C$3:C$121,'DISPATCH SHEET'!#REF!,""))</f>
        <v/>
      </c>
    </row>
    <row r="3345" spans="2:3" x14ac:dyDescent="0.2">
      <c r="B3345" s="14" t="str">
        <f>IF(A3345="","",_xlfn.XLOOKUP(A3345,'DISPATCH SHEET'!B$3:B$121,'DISPATCH SHEET'!C$3:C$121,""))</f>
        <v/>
      </c>
      <c r="C3345" s="14" t="str">
        <f>IF(ISBLANK(A3345),"",_xlfn.XLOOKUP(A3345,'DISPATCH SHEET'!C$3:C$121,'DISPATCH SHEET'!#REF!,""))</f>
        <v/>
      </c>
    </row>
    <row r="3346" spans="2:3" x14ac:dyDescent="0.2">
      <c r="B3346" s="14" t="str">
        <f>IF(A3346="","",_xlfn.XLOOKUP(A3346,'DISPATCH SHEET'!B$3:B$121,'DISPATCH SHEET'!C$3:C$121,""))</f>
        <v/>
      </c>
      <c r="C3346" s="14" t="str">
        <f>IF(ISBLANK(A3346),"",_xlfn.XLOOKUP(A3346,'DISPATCH SHEET'!C$3:C$121,'DISPATCH SHEET'!#REF!,""))</f>
        <v/>
      </c>
    </row>
    <row r="3347" spans="2:3" x14ac:dyDescent="0.2">
      <c r="B3347" s="14" t="str">
        <f>IF(A3347="","",_xlfn.XLOOKUP(A3347,'DISPATCH SHEET'!B$3:B$121,'DISPATCH SHEET'!C$3:C$121,""))</f>
        <v/>
      </c>
      <c r="C3347" s="14" t="str">
        <f>IF(ISBLANK(A3347),"",_xlfn.XLOOKUP(A3347,'DISPATCH SHEET'!C$3:C$121,'DISPATCH SHEET'!#REF!,""))</f>
        <v/>
      </c>
    </row>
    <row r="3348" spans="2:3" x14ac:dyDescent="0.2">
      <c r="B3348" s="14" t="str">
        <f>IF(A3348="","",_xlfn.XLOOKUP(A3348,'DISPATCH SHEET'!B$3:B$121,'DISPATCH SHEET'!C$3:C$121,""))</f>
        <v/>
      </c>
      <c r="C3348" s="14" t="str">
        <f>IF(ISBLANK(A3348),"",_xlfn.XLOOKUP(A3348,'DISPATCH SHEET'!C$3:C$121,'DISPATCH SHEET'!#REF!,""))</f>
        <v/>
      </c>
    </row>
    <row r="3349" spans="2:3" x14ac:dyDescent="0.2">
      <c r="B3349" s="14" t="str">
        <f>IF(A3349="","",_xlfn.XLOOKUP(A3349,'DISPATCH SHEET'!B$3:B$121,'DISPATCH SHEET'!C$3:C$121,""))</f>
        <v/>
      </c>
      <c r="C3349" s="14" t="str">
        <f>IF(ISBLANK(A3349),"",_xlfn.XLOOKUP(A3349,'DISPATCH SHEET'!C$3:C$121,'DISPATCH SHEET'!#REF!,""))</f>
        <v/>
      </c>
    </row>
    <row r="3350" spans="2:3" x14ac:dyDescent="0.2">
      <c r="B3350" s="14" t="str">
        <f>IF(A3350="","",_xlfn.XLOOKUP(A3350,'DISPATCH SHEET'!B$3:B$121,'DISPATCH SHEET'!C$3:C$121,""))</f>
        <v/>
      </c>
      <c r="C3350" s="14" t="str">
        <f>IF(ISBLANK(A3350),"",_xlfn.XLOOKUP(A3350,'DISPATCH SHEET'!C$3:C$121,'DISPATCH SHEET'!#REF!,""))</f>
        <v/>
      </c>
    </row>
    <row r="3351" spans="2:3" x14ac:dyDescent="0.2">
      <c r="B3351" s="14" t="str">
        <f>IF(A3351="","",_xlfn.XLOOKUP(A3351,'DISPATCH SHEET'!B$3:B$121,'DISPATCH SHEET'!C$3:C$121,""))</f>
        <v/>
      </c>
      <c r="C3351" s="14" t="str">
        <f>IF(ISBLANK(A3351),"",_xlfn.XLOOKUP(A3351,'DISPATCH SHEET'!C$3:C$121,'DISPATCH SHEET'!#REF!,""))</f>
        <v/>
      </c>
    </row>
    <row r="3352" spans="2:3" x14ac:dyDescent="0.2">
      <c r="B3352" s="14" t="str">
        <f>IF(A3352="","",_xlfn.XLOOKUP(A3352,'DISPATCH SHEET'!B$3:B$121,'DISPATCH SHEET'!C$3:C$121,""))</f>
        <v/>
      </c>
      <c r="C3352" s="14" t="str">
        <f>IF(ISBLANK(A3352),"",_xlfn.XLOOKUP(A3352,'DISPATCH SHEET'!C$3:C$121,'DISPATCH SHEET'!#REF!,""))</f>
        <v/>
      </c>
    </row>
    <row r="3353" spans="2:3" x14ac:dyDescent="0.2">
      <c r="B3353" s="14" t="str">
        <f>IF(A3353="","",_xlfn.XLOOKUP(A3353,'DISPATCH SHEET'!B$3:B$121,'DISPATCH SHEET'!C$3:C$121,""))</f>
        <v/>
      </c>
      <c r="C3353" s="14" t="str">
        <f>IF(ISBLANK(A3353),"",_xlfn.XLOOKUP(A3353,'DISPATCH SHEET'!C$3:C$121,'DISPATCH SHEET'!#REF!,""))</f>
        <v/>
      </c>
    </row>
    <row r="3354" spans="2:3" x14ac:dyDescent="0.2">
      <c r="B3354" s="14" t="str">
        <f>IF(A3354="","",_xlfn.XLOOKUP(A3354,'DISPATCH SHEET'!B$3:B$121,'DISPATCH SHEET'!C$3:C$121,""))</f>
        <v/>
      </c>
      <c r="C3354" s="14" t="str">
        <f>IF(ISBLANK(A3354),"",_xlfn.XLOOKUP(A3354,'DISPATCH SHEET'!C$3:C$121,'DISPATCH SHEET'!#REF!,""))</f>
        <v/>
      </c>
    </row>
    <row r="3355" spans="2:3" x14ac:dyDescent="0.2">
      <c r="B3355" s="14" t="str">
        <f>IF(A3355="","",_xlfn.XLOOKUP(A3355,'DISPATCH SHEET'!B$3:B$121,'DISPATCH SHEET'!C$3:C$121,""))</f>
        <v/>
      </c>
      <c r="C3355" s="14" t="str">
        <f>IF(ISBLANK(A3355),"",_xlfn.XLOOKUP(A3355,'DISPATCH SHEET'!C$3:C$121,'DISPATCH SHEET'!#REF!,""))</f>
        <v/>
      </c>
    </row>
    <row r="3356" spans="2:3" x14ac:dyDescent="0.2">
      <c r="B3356" s="14" t="str">
        <f>IF(A3356="","",_xlfn.XLOOKUP(A3356,'DISPATCH SHEET'!B$3:B$121,'DISPATCH SHEET'!C$3:C$121,""))</f>
        <v/>
      </c>
      <c r="C3356" s="14" t="str">
        <f>IF(ISBLANK(A3356),"",_xlfn.XLOOKUP(A3356,'DISPATCH SHEET'!C$3:C$121,'DISPATCH SHEET'!#REF!,""))</f>
        <v/>
      </c>
    </row>
    <row r="3357" spans="2:3" x14ac:dyDescent="0.2">
      <c r="B3357" s="14" t="str">
        <f>IF(A3357="","",_xlfn.XLOOKUP(A3357,'DISPATCH SHEET'!B$3:B$121,'DISPATCH SHEET'!C$3:C$121,""))</f>
        <v/>
      </c>
      <c r="C3357" s="14" t="str">
        <f>IF(ISBLANK(A3357),"",_xlfn.XLOOKUP(A3357,'DISPATCH SHEET'!C$3:C$121,'DISPATCH SHEET'!#REF!,""))</f>
        <v/>
      </c>
    </row>
    <row r="3358" spans="2:3" x14ac:dyDescent="0.2">
      <c r="B3358" s="14" t="str">
        <f>IF(A3358="","",_xlfn.XLOOKUP(A3358,'DISPATCH SHEET'!B$3:B$121,'DISPATCH SHEET'!C$3:C$121,""))</f>
        <v/>
      </c>
      <c r="C3358" s="14" t="str">
        <f>IF(ISBLANK(A3358),"",_xlfn.XLOOKUP(A3358,'DISPATCH SHEET'!C$3:C$121,'DISPATCH SHEET'!#REF!,""))</f>
        <v/>
      </c>
    </row>
    <row r="3359" spans="2:3" x14ac:dyDescent="0.2">
      <c r="B3359" s="14" t="str">
        <f>IF(A3359="","",_xlfn.XLOOKUP(A3359,'DISPATCH SHEET'!B$3:B$121,'DISPATCH SHEET'!C$3:C$121,""))</f>
        <v/>
      </c>
      <c r="C3359" s="14" t="str">
        <f>IF(ISBLANK(A3359),"",_xlfn.XLOOKUP(A3359,'DISPATCH SHEET'!C$3:C$121,'DISPATCH SHEET'!#REF!,""))</f>
        <v/>
      </c>
    </row>
    <row r="3360" spans="2:3" x14ac:dyDescent="0.2">
      <c r="B3360" s="14" t="str">
        <f>IF(A3360="","",_xlfn.XLOOKUP(A3360,'DISPATCH SHEET'!B$3:B$121,'DISPATCH SHEET'!C$3:C$121,""))</f>
        <v/>
      </c>
      <c r="C3360" s="14" t="str">
        <f>IF(ISBLANK(A3360),"",_xlfn.XLOOKUP(A3360,'DISPATCH SHEET'!C$3:C$121,'DISPATCH SHEET'!#REF!,""))</f>
        <v/>
      </c>
    </row>
    <row r="3361" spans="2:3" x14ac:dyDescent="0.2">
      <c r="B3361" s="14" t="str">
        <f>IF(A3361="","",_xlfn.XLOOKUP(A3361,'DISPATCH SHEET'!B$3:B$121,'DISPATCH SHEET'!C$3:C$121,""))</f>
        <v/>
      </c>
      <c r="C3361" s="14" t="str">
        <f>IF(ISBLANK(A3361),"",_xlfn.XLOOKUP(A3361,'DISPATCH SHEET'!C$3:C$121,'DISPATCH SHEET'!#REF!,""))</f>
        <v/>
      </c>
    </row>
    <row r="3362" spans="2:3" x14ac:dyDescent="0.2">
      <c r="B3362" s="14" t="str">
        <f>IF(A3362="","",_xlfn.XLOOKUP(A3362,'DISPATCH SHEET'!B$3:B$121,'DISPATCH SHEET'!C$3:C$121,""))</f>
        <v/>
      </c>
      <c r="C3362" s="14" t="str">
        <f>IF(ISBLANK(A3362),"",_xlfn.XLOOKUP(A3362,'DISPATCH SHEET'!C$3:C$121,'DISPATCH SHEET'!#REF!,""))</f>
        <v/>
      </c>
    </row>
    <row r="3363" spans="2:3" x14ac:dyDescent="0.2">
      <c r="B3363" s="14" t="str">
        <f>IF(A3363="","",_xlfn.XLOOKUP(A3363,'DISPATCH SHEET'!B$3:B$121,'DISPATCH SHEET'!C$3:C$121,""))</f>
        <v/>
      </c>
      <c r="C3363" s="14" t="str">
        <f>IF(ISBLANK(A3363),"",_xlfn.XLOOKUP(A3363,'DISPATCH SHEET'!C$3:C$121,'DISPATCH SHEET'!#REF!,""))</f>
        <v/>
      </c>
    </row>
    <row r="3364" spans="2:3" x14ac:dyDescent="0.2">
      <c r="B3364" s="14" t="str">
        <f>IF(A3364="","",_xlfn.XLOOKUP(A3364,'DISPATCH SHEET'!B$3:B$121,'DISPATCH SHEET'!C$3:C$121,""))</f>
        <v/>
      </c>
      <c r="C3364" s="14" t="str">
        <f>IF(ISBLANK(A3364),"",_xlfn.XLOOKUP(A3364,'DISPATCH SHEET'!C$3:C$121,'DISPATCH SHEET'!#REF!,""))</f>
        <v/>
      </c>
    </row>
    <row r="3365" spans="2:3" x14ac:dyDescent="0.2">
      <c r="B3365" s="14" t="str">
        <f>IF(A3365="","",_xlfn.XLOOKUP(A3365,'DISPATCH SHEET'!B$3:B$121,'DISPATCH SHEET'!C$3:C$121,""))</f>
        <v/>
      </c>
      <c r="C3365" s="14" t="str">
        <f>IF(ISBLANK(A3365),"",_xlfn.XLOOKUP(A3365,'DISPATCH SHEET'!C$3:C$121,'DISPATCH SHEET'!#REF!,""))</f>
        <v/>
      </c>
    </row>
    <row r="3366" spans="2:3" x14ac:dyDescent="0.2">
      <c r="B3366" s="14" t="str">
        <f>IF(A3366="","",_xlfn.XLOOKUP(A3366,'DISPATCH SHEET'!B$3:B$121,'DISPATCH SHEET'!C$3:C$121,""))</f>
        <v/>
      </c>
      <c r="C3366" s="14" t="str">
        <f>IF(ISBLANK(A3366),"",_xlfn.XLOOKUP(A3366,'DISPATCH SHEET'!C$3:C$121,'DISPATCH SHEET'!#REF!,""))</f>
        <v/>
      </c>
    </row>
    <row r="3367" spans="2:3" x14ac:dyDescent="0.2">
      <c r="B3367" s="14" t="str">
        <f>IF(A3367="","",_xlfn.XLOOKUP(A3367,'DISPATCH SHEET'!B$3:B$121,'DISPATCH SHEET'!C$3:C$121,""))</f>
        <v/>
      </c>
      <c r="C3367" s="14" t="str">
        <f>IF(ISBLANK(A3367),"",_xlfn.XLOOKUP(A3367,'DISPATCH SHEET'!C$3:C$121,'DISPATCH SHEET'!#REF!,""))</f>
        <v/>
      </c>
    </row>
    <row r="3368" spans="2:3" x14ac:dyDescent="0.2">
      <c r="B3368" s="14" t="str">
        <f>IF(A3368="","",_xlfn.XLOOKUP(A3368,'DISPATCH SHEET'!B$3:B$121,'DISPATCH SHEET'!C$3:C$121,""))</f>
        <v/>
      </c>
      <c r="C3368" s="14" t="str">
        <f>IF(ISBLANK(A3368),"",_xlfn.XLOOKUP(A3368,'DISPATCH SHEET'!C$3:C$121,'DISPATCH SHEET'!#REF!,""))</f>
        <v/>
      </c>
    </row>
    <row r="3369" spans="2:3" x14ac:dyDescent="0.2">
      <c r="B3369" s="14" t="str">
        <f>IF(A3369="","",_xlfn.XLOOKUP(A3369,'DISPATCH SHEET'!B$3:B$121,'DISPATCH SHEET'!C$3:C$121,""))</f>
        <v/>
      </c>
      <c r="C3369" s="14" t="str">
        <f>IF(ISBLANK(A3369),"",_xlfn.XLOOKUP(A3369,'DISPATCH SHEET'!C$3:C$121,'DISPATCH SHEET'!#REF!,""))</f>
        <v/>
      </c>
    </row>
    <row r="3370" spans="2:3" x14ac:dyDescent="0.2">
      <c r="B3370" s="14" t="str">
        <f>IF(A3370="","",_xlfn.XLOOKUP(A3370,'DISPATCH SHEET'!B$3:B$121,'DISPATCH SHEET'!C$3:C$121,""))</f>
        <v/>
      </c>
      <c r="C3370" s="14" t="str">
        <f>IF(ISBLANK(A3370),"",_xlfn.XLOOKUP(A3370,'DISPATCH SHEET'!C$3:C$121,'DISPATCH SHEET'!#REF!,""))</f>
        <v/>
      </c>
    </row>
    <row r="3371" spans="2:3" x14ac:dyDescent="0.2">
      <c r="B3371" s="14" t="str">
        <f>IF(A3371="","",_xlfn.XLOOKUP(A3371,'DISPATCH SHEET'!B$3:B$121,'DISPATCH SHEET'!C$3:C$121,""))</f>
        <v/>
      </c>
      <c r="C3371" s="14" t="str">
        <f>IF(ISBLANK(A3371),"",_xlfn.XLOOKUP(A3371,'DISPATCH SHEET'!C$3:C$121,'DISPATCH SHEET'!#REF!,""))</f>
        <v/>
      </c>
    </row>
    <row r="3372" spans="2:3" x14ac:dyDescent="0.2">
      <c r="B3372" s="14" t="str">
        <f>IF(A3372="","",_xlfn.XLOOKUP(A3372,'DISPATCH SHEET'!B$3:B$121,'DISPATCH SHEET'!C$3:C$121,""))</f>
        <v/>
      </c>
      <c r="C3372" s="14" t="str">
        <f>IF(ISBLANK(A3372),"",_xlfn.XLOOKUP(A3372,'DISPATCH SHEET'!C$3:C$121,'DISPATCH SHEET'!#REF!,""))</f>
        <v/>
      </c>
    </row>
    <row r="3373" spans="2:3" x14ac:dyDescent="0.2">
      <c r="B3373" s="14" t="str">
        <f>IF(A3373="","",_xlfn.XLOOKUP(A3373,'DISPATCH SHEET'!B$3:B$121,'DISPATCH SHEET'!C$3:C$121,""))</f>
        <v/>
      </c>
      <c r="C3373" s="14" t="str">
        <f>IF(ISBLANK(A3373),"",_xlfn.XLOOKUP(A3373,'DISPATCH SHEET'!C$3:C$121,'DISPATCH SHEET'!#REF!,""))</f>
        <v/>
      </c>
    </row>
    <row r="3374" spans="2:3" x14ac:dyDescent="0.2">
      <c r="B3374" s="14" t="str">
        <f>IF(A3374="","",_xlfn.XLOOKUP(A3374,'DISPATCH SHEET'!B$3:B$121,'DISPATCH SHEET'!C$3:C$121,""))</f>
        <v/>
      </c>
      <c r="C3374" s="14" t="str">
        <f>IF(ISBLANK(A3374),"",_xlfn.XLOOKUP(A3374,'DISPATCH SHEET'!C$3:C$121,'DISPATCH SHEET'!#REF!,""))</f>
        <v/>
      </c>
    </row>
    <row r="3375" spans="2:3" x14ac:dyDescent="0.2">
      <c r="B3375" s="14" t="str">
        <f>IF(A3375="","",_xlfn.XLOOKUP(A3375,'DISPATCH SHEET'!B$3:B$121,'DISPATCH SHEET'!C$3:C$121,""))</f>
        <v/>
      </c>
      <c r="C3375" s="14" t="str">
        <f>IF(ISBLANK(A3375),"",_xlfn.XLOOKUP(A3375,'DISPATCH SHEET'!C$3:C$121,'DISPATCH SHEET'!#REF!,""))</f>
        <v/>
      </c>
    </row>
    <row r="3376" spans="2:3" x14ac:dyDescent="0.2">
      <c r="B3376" s="14" t="str">
        <f>IF(A3376="","",_xlfn.XLOOKUP(A3376,'DISPATCH SHEET'!B$3:B$121,'DISPATCH SHEET'!C$3:C$121,""))</f>
        <v/>
      </c>
      <c r="C3376" s="14" t="str">
        <f>IF(ISBLANK(A3376),"",_xlfn.XLOOKUP(A3376,'DISPATCH SHEET'!C$3:C$121,'DISPATCH SHEET'!#REF!,""))</f>
        <v/>
      </c>
    </row>
    <row r="3377" spans="2:3" x14ac:dyDescent="0.2">
      <c r="B3377" s="14" t="str">
        <f>IF(A3377="","",_xlfn.XLOOKUP(A3377,'DISPATCH SHEET'!B$3:B$121,'DISPATCH SHEET'!C$3:C$121,""))</f>
        <v/>
      </c>
      <c r="C3377" s="14" t="str">
        <f>IF(ISBLANK(A3377),"",_xlfn.XLOOKUP(A3377,'DISPATCH SHEET'!C$3:C$121,'DISPATCH SHEET'!#REF!,""))</f>
        <v/>
      </c>
    </row>
    <row r="3378" spans="2:3" x14ac:dyDescent="0.2">
      <c r="B3378" s="14" t="str">
        <f>IF(A3378="","",_xlfn.XLOOKUP(A3378,'DISPATCH SHEET'!B$3:B$121,'DISPATCH SHEET'!C$3:C$121,""))</f>
        <v/>
      </c>
      <c r="C3378" s="14" t="str">
        <f>IF(ISBLANK(A3378),"",_xlfn.XLOOKUP(A3378,'DISPATCH SHEET'!C$3:C$121,'DISPATCH SHEET'!#REF!,""))</f>
        <v/>
      </c>
    </row>
    <row r="3379" spans="2:3" x14ac:dyDescent="0.2">
      <c r="B3379" s="14" t="str">
        <f>IF(A3379="","",_xlfn.XLOOKUP(A3379,'DISPATCH SHEET'!B$3:B$121,'DISPATCH SHEET'!C$3:C$121,""))</f>
        <v/>
      </c>
      <c r="C3379" s="14" t="str">
        <f>IF(ISBLANK(A3379),"",_xlfn.XLOOKUP(A3379,'DISPATCH SHEET'!C$3:C$121,'DISPATCH SHEET'!#REF!,""))</f>
        <v/>
      </c>
    </row>
    <row r="3380" spans="2:3" x14ac:dyDescent="0.2">
      <c r="B3380" s="14" t="str">
        <f>IF(A3380="","",_xlfn.XLOOKUP(A3380,'DISPATCH SHEET'!B$3:B$121,'DISPATCH SHEET'!C$3:C$121,""))</f>
        <v/>
      </c>
      <c r="C3380" s="14" t="str">
        <f>IF(ISBLANK(A3380),"",_xlfn.XLOOKUP(A3380,'DISPATCH SHEET'!C$3:C$121,'DISPATCH SHEET'!#REF!,""))</f>
        <v/>
      </c>
    </row>
    <row r="3381" spans="2:3" x14ac:dyDescent="0.2">
      <c r="B3381" s="14" t="str">
        <f>IF(A3381="","",_xlfn.XLOOKUP(A3381,'DISPATCH SHEET'!B$3:B$121,'DISPATCH SHEET'!C$3:C$121,""))</f>
        <v/>
      </c>
      <c r="C3381" s="14" t="str">
        <f>IF(ISBLANK(A3381),"",_xlfn.XLOOKUP(A3381,'DISPATCH SHEET'!C$3:C$121,'DISPATCH SHEET'!#REF!,""))</f>
        <v/>
      </c>
    </row>
    <row r="3382" spans="2:3" x14ac:dyDescent="0.2">
      <c r="B3382" s="14" t="str">
        <f>IF(A3382="","",_xlfn.XLOOKUP(A3382,'DISPATCH SHEET'!B$3:B$121,'DISPATCH SHEET'!C$3:C$121,""))</f>
        <v/>
      </c>
      <c r="C3382" s="14" t="str">
        <f>IF(ISBLANK(A3382),"",_xlfn.XLOOKUP(A3382,'DISPATCH SHEET'!C$3:C$121,'DISPATCH SHEET'!#REF!,""))</f>
        <v/>
      </c>
    </row>
    <row r="3383" spans="2:3" x14ac:dyDescent="0.2">
      <c r="B3383" s="14" t="str">
        <f>IF(A3383="","",_xlfn.XLOOKUP(A3383,'DISPATCH SHEET'!B$3:B$121,'DISPATCH SHEET'!C$3:C$121,""))</f>
        <v/>
      </c>
      <c r="C3383" s="14" t="str">
        <f>IF(ISBLANK(A3383),"",_xlfn.XLOOKUP(A3383,'DISPATCH SHEET'!C$3:C$121,'DISPATCH SHEET'!#REF!,""))</f>
        <v/>
      </c>
    </row>
    <row r="3384" spans="2:3" x14ac:dyDescent="0.2">
      <c r="B3384" s="14" t="str">
        <f>IF(A3384="","",_xlfn.XLOOKUP(A3384,'DISPATCH SHEET'!B$3:B$121,'DISPATCH SHEET'!C$3:C$121,""))</f>
        <v/>
      </c>
      <c r="C3384" s="14" t="str">
        <f>IF(ISBLANK(A3384),"",_xlfn.XLOOKUP(A3384,'DISPATCH SHEET'!C$3:C$121,'DISPATCH SHEET'!#REF!,""))</f>
        <v/>
      </c>
    </row>
    <row r="3385" spans="2:3" x14ac:dyDescent="0.2">
      <c r="B3385" s="14" t="str">
        <f>IF(A3385="","",_xlfn.XLOOKUP(A3385,'DISPATCH SHEET'!B$3:B$121,'DISPATCH SHEET'!C$3:C$121,""))</f>
        <v/>
      </c>
      <c r="C3385" s="14" t="str">
        <f>IF(ISBLANK(A3385),"",_xlfn.XLOOKUP(A3385,'DISPATCH SHEET'!C$3:C$121,'DISPATCH SHEET'!#REF!,""))</f>
        <v/>
      </c>
    </row>
    <row r="3386" spans="2:3" x14ac:dyDescent="0.2">
      <c r="B3386" s="14" t="str">
        <f>IF(A3386="","",_xlfn.XLOOKUP(A3386,'DISPATCH SHEET'!B$3:B$121,'DISPATCH SHEET'!C$3:C$121,""))</f>
        <v/>
      </c>
      <c r="C3386" s="14" t="str">
        <f>IF(ISBLANK(A3386),"",_xlfn.XLOOKUP(A3386,'DISPATCH SHEET'!C$3:C$121,'DISPATCH SHEET'!#REF!,""))</f>
        <v/>
      </c>
    </row>
    <row r="3387" spans="2:3" x14ac:dyDescent="0.2">
      <c r="B3387" s="14" t="str">
        <f>IF(A3387="","",_xlfn.XLOOKUP(A3387,'DISPATCH SHEET'!B$3:B$121,'DISPATCH SHEET'!C$3:C$121,""))</f>
        <v/>
      </c>
      <c r="C3387" s="14" t="str">
        <f>IF(ISBLANK(A3387),"",_xlfn.XLOOKUP(A3387,'DISPATCH SHEET'!C$3:C$121,'DISPATCH SHEET'!#REF!,""))</f>
        <v/>
      </c>
    </row>
    <row r="3388" spans="2:3" x14ac:dyDescent="0.2">
      <c r="B3388" s="14" t="str">
        <f>IF(A3388="","",_xlfn.XLOOKUP(A3388,'DISPATCH SHEET'!B$3:B$121,'DISPATCH SHEET'!C$3:C$121,""))</f>
        <v/>
      </c>
      <c r="C3388" s="14" t="str">
        <f>IF(ISBLANK(A3388),"",_xlfn.XLOOKUP(A3388,'DISPATCH SHEET'!C$3:C$121,'DISPATCH SHEET'!#REF!,""))</f>
        <v/>
      </c>
    </row>
    <row r="3389" spans="2:3" x14ac:dyDescent="0.2">
      <c r="B3389" s="14" t="str">
        <f>IF(A3389="","",_xlfn.XLOOKUP(A3389,'DISPATCH SHEET'!B$3:B$121,'DISPATCH SHEET'!C$3:C$121,""))</f>
        <v/>
      </c>
      <c r="C3389" s="14" t="str">
        <f>IF(ISBLANK(A3389),"",_xlfn.XLOOKUP(A3389,'DISPATCH SHEET'!C$3:C$121,'DISPATCH SHEET'!#REF!,""))</f>
        <v/>
      </c>
    </row>
    <row r="3390" spans="2:3" x14ac:dyDescent="0.2">
      <c r="B3390" s="14" t="str">
        <f>IF(A3390="","",_xlfn.XLOOKUP(A3390,'DISPATCH SHEET'!B$3:B$121,'DISPATCH SHEET'!C$3:C$121,""))</f>
        <v/>
      </c>
      <c r="C3390" s="14" t="str">
        <f>IF(ISBLANK(A3390),"",_xlfn.XLOOKUP(A3390,'DISPATCH SHEET'!C$3:C$121,'DISPATCH SHEET'!#REF!,""))</f>
        <v/>
      </c>
    </row>
    <row r="3391" spans="2:3" x14ac:dyDescent="0.2">
      <c r="B3391" s="14" t="str">
        <f>IF(A3391="","",_xlfn.XLOOKUP(A3391,'DISPATCH SHEET'!B$3:B$121,'DISPATCH SHEET'!C$3:C$121,""))</f>
        <v/>
      </c>
      <c r="C3391" s="14" t="str">
        <f>IF(ISBLANK(A3391),"",_xlfn.XLOOKUP(A3391,'DISPATCH SHEET'!C$3:C$121,'DISPATCH SHEET'!#REF!,""))</f>
        <v/>
      </c>
    </row>
    <row r="3392" spans="2:3" x14ac:dyDescent="0.2">
      <c r="B3392" s="14" t="str">
        <f>IF(A3392="","",_xlfn.XLOOKUP(A3392,'DISPATCH SHEET'!B$3:B$121,'DISPATCH SHEET'!C$3:C$121,""))</f>
        <v/>
      </c>
      <c r="C3392" s="14" t="str">
        <f>IF(ISBLANK(A3392),"",_xlfn.XLOOKUP(A3392,'DISPATCH SHEET'!C$3:C$121,'DISPATCH SHEET'!#REF!,""))</f>
        <v/>
      </c>
    </row>
    <row r="3393" spans="2:3" x14ac:dyDescent="0.2">
      <c r="B3393" s="14" t="str">
        <f>IF(A3393="","",_xlfn.XLOOKUP(A3393,'DISPATCH SHEET'!B$3:B$121,'DISPATCH SHEET'!C$3:C$121,""))</f>
        <v/>
      </c>
      <c r="C3393" s="14" t="str">
        <f>IF(ISBLANK(A3393),"",_xlfn.XLOOKUP(A3393,'DISPATCH SHEET'!C$3:C$121,'DISPATCH SHEET'!#REF!,""))</f>
        <v/>
      </c>
    </row>
    <row r="3394" spans="2:3" x14ac:dyDescent="0.2">
      <c r="B3394" s="14" t="str">
        <f>IF(A3394="","",_xlfn.XLOOKUP(A3394,'DISPATCH SHEET'!B$3:B$121,'DISPATCH SHEET'!C$3:C$121,""))</f>
        <v/>
      </c>
      <c r="C3394" s="14" t="str">
        <f>IF(ISBLANK(A3394),"",_xlfn.XLOOKUP(A3394,'DISPATCH SHEET'!C$3:C$121,'DISPATCH SHEET'!#REF!,""))</f>
        <v/>
      </c>
    </row>
    <row r="3395" spans="2:3" x14ac:dyDescent="0.2">
      <c r="B3395" s="14" t="str">
        <f>IF(A3395="","",_xlfn.XLOOKUP(A3395,'DISPATCH SHEET'!B$3:B$121,'DISPATCH SHEET'!C$3:C$121,""))</f>
        <v/>
      </c>
      <c r="C3395" s="14" t="str">
        <f>IF(ISBLANK(A3395),"",_xlfn.XLOOKUP(A3395,'DISPATCH SHEET'!C$3:C$121,'DISPATCH SHEET'!#REF!,""))</f>
        <v/>
      </c>
    </row>
    <row r="3396" spans="2:3" x14ac:dyDescent="0.2">
      <c r="B3396" s="14" t="str">
        <f>IF(A3396="","",_xlfn.XLOOKUP(A3396,'DISPATCH SHEET'!B$3:B$121,'DISPATCH SHEET'!C$3:C$121,""))</f>
        <v/>
      </c>
      <c r="C3396" s="14" t="str">
        <f>IF(ISBLANK(A3396),"",_xlfn.XLOOKUP(A3396,'DISPATCH SHEET'!C$3:C$121,'DISPATCH SHEET'!#REF!,""))</f>
        <v/>
      </c>
    </row>
    <row r="3397" spans="2:3" x14ac:dyDescent="0.2">
      <c r="B3397" s="14" t="str">
        <f>IF(A3397="","",_xlfn.XLOOKUP(A3397,'DISPATCH SHEET'!B$3:B$121,'DISPATCH SHEET'!C$3:C$121,""))</f>
        <v/>
      </c>
      <c r="C3397" s="14" t="str">
        <f>IF(ISBLANK(A3397),"",_xlfn.XLOOKUP(A3397,'DISPATCH SHEET'!C$3:C$121,'DISPATCH SHEET'!#REF!,""))</f>
        <v/>
      </c>
    </row>
    <row r="3398" spans="2:3" x14ac:dyDescent="0.2">
      <c r="B3398" s="14" t="str">
        <f>IF(A3398="","",_xlfn.XLOOKUP(A3398,'DISPATCH SHEET'!B$3:B$121,'DISPATCH SHEET'!C$3:C$121,""))</f>
        <v/>
      </c>
      <c r="C3398" s="14" t="str">
        <f>IF(ISBLANK(A3398),"",_xlfn.XLOOKUP(A3398,'DISPATCH SHEET'!C$3:C$121,'DISPATCH SHEET'!#REF!,""))</f>
        <v/>
      </c>
    </row>
    <row r="3399" spans="2:3" x14ac:dyDescent="0.2">
      <c r="B3399" s="14" t="str">
        <f>IF(A3399="","",_xlfn.XLOOKUP(A3399,'DISPATCH SHEET'!B$3:B$121,'DISPATCH SHEET'!C$3:C$121,""))</f>
        <v/>
      </c>
      <c r="C3399" s="14" t="str">
        <f>IF(ISBLANK(A3399),"",_xlfn.XLOOKUP(A3399,'DISPATCH SHEET'!C$3:C$121,'DISPATCH SHEET'!#REF!,""))</f>
        <v/>
      </c>
    </row>
    <row r="3400" spans="2:3" x14ac:dyDescent="0.2">
      <c r="B3400" s="14" t="str">
        <f>IF(A3400="","",_xlfn.XLOOKUP(A3400,'DISPATCH SHEET'!B$3:B$121,'DISPATCH SHEET'!C$3:C$121,""))</f>
        <v/>
      </c>
      <c r="C3400" s="14" t="str">
        <f>IF(ISBLANK(A3400),"",_xlfn.XLOOKUP(A3400,'DISPATCH SHEET'!C$3:C$121,'DISPATCH SHEET'!#REF!,""))</f>
        <v/>
      </c>
    </row>
    <row r="3401" spans="2:3" x14ac:dyDescent="0.2">
      <c r="B3401" s="14" t="str">
        <f>IF(A3401="","",_xlfn.XLOOKUP(A3401,'DISPATCH SHEET'!B$3:B$121,'DISPATCH SHEET'!C$3:C$121,""))</f>
        <v/>
      </c>
      <c r="C3401" s="14" t="str">
        <f>IF(ISBLANK(A3401),"",_xlfn.XLOOKUP(A3401,'DISPATCH SHEET'!C$3:C$121,'DISPATCH SHEET'!#REF!,""))</f>
        <v/>
      </c>
    </row>
    <row r="3402" spans="2:3" x14ac:dyDescent="0.2">
      <c r="B3402" s="14" t="str">
        <f>IF(A3402="","",_xlfn.XLOOKUP(A3402,'DISPATCH SHEET'!B$3:B$121,'DISPATCH SHEET'!C$3:C$121,""))</f>
        <v/>
      </c>
      <c r="C3402" s="14" t="str">
        <f>IF(ISBLANK(A3402),"",_xlfn.XLOOKUP(A3402,'DISPATCH SHEET'!C$3:C$121,'DISPATCH SHEET'!#REF!,""))</f>
        <v/>
      </c>
    </row>
    <row r="3403" spans="2:3" x14ac:dyDescent="0.2">
      <c r="B3403" s="14" t="str">
        <f>IF(A3403="","",_xlfn.XLOOKUP(A3403,'DISPATCH SHEET'!B$3:B$121,'DISPATCH SHEET'!C$3:C$121,""))</f>
        <v/>
      </c>
      <c r="C3403" s="14" t="str">
        <f>IF(ISBLANK(A3403),"",_xlfn.XLOOKUP(A3403,'DISPATCH SHEET'!C$3:C$121,'DISPATCH SHEET'!#REF!,""))</f>
        <v/>
      </c>
    </row>
    <row r="3404" spans="2:3" x14ac:dyDescent="0.2">
      <c r="B3404" s="14" t="str">
        <f>IF(A3404="","",_xlfn.XLOOKUP(A3404,'DISPATCH SHEET'!B$3:B$121,'DISPATCH SHEET'!C$3:C$121,""))</f>
        <v/>
      </c>
      <c r="C3404" s="14" t="str">
        <f>IF(ISBLANK(A3404),"",_xlfn.XLOOKUP(A3404,'DISPATCH SHEET'!C$3:C$121,'DISPATCH SHEET'!#REF!,""))</f>
        <v/>
      </c>
    </row>
    <row r="3405" spans="2:3" x14ac:dyDescent="0.2">
      <c r="B3405" s="14" t="str">
        <f>IF(A3405="","",_xlfn.XLOOKUP(A3405,'DISPATCH SHEET'!B$3:B$121,'DISPATCH SHEET'!C$3:C$121,""))</f>
        <v/>
      </c>
      <c r="C3405" s="14" t="str">
        <f>IF(ISBLANK(A3405),"",_xlfn.XLOOKUP(A3405,'DISPATCH SHEET'!C$3:C$121,'DISPATCH SHEET'!#REF!,""))</f>
        <v/>
      </c>
    </row>
    <row r="3406" spans="2:3" x14ac:dyDescent="0.2">
      <c r="B3406" s="14" t="str">
        <f>IF(A3406="","",_xlfn.XLOOKUP(A3406,'DISPATCH SHEET'!B$3:B$121,'DISPATCH SHEET'!C$3:C$121,""))</f>
        <v/>
      </c>
      <c r="C3406" s="14" t="str">
        <f>IF(ISBLANK(A3406),"",_xlfn.XLOOKUP(A3406,'DISPATCH SHEET'!C$3:C$121,'DISPATCH SHEET'!#REF!,""))</f>
        <v/>
      </c>
    </row>
    <row r="3407" spans="2:3" x14ac:dyDescent="0.2">
      <c r="B3407" s="14" t="str">
        <f>IF(A3407="","",_xlfn.XLOOKUP(A3407,'DISPATCH SHEET'!B$3:B$121,'DISPATCH SHEET'!C$3:C$121,""))</f>
        <v/>
      </c>
      <c r="C3407" s="14" t="str">
        <f>IF(ISBLANK(A3407),"",_xlfn.XLOOKUP(A3407,'DISPATCH SHEET'!C$3:C$121,'DISPATCH SHEET'!#REF!,""))</f>
        <v/>
      </c>
    </row>
    <row r="3408" spans="2:3" x14ac:dyDescent="0.2">
      <c r="B3408" s="14" t="str">
        <f>IF(A3408="","",_xlfn.XLOOKUP(A3408,'DISPATCH SHEET'!B$3:B$121,'DISPATCH SHEET'!C$3:C$121,""))</f>
        <v/>
      </c>
      <c r="C3408" s="14" t="str">
        <f>IF(ISBLANK(A3408),"",_xlfn.XLOOKUP(A3408,'DISPATCH SHEET'!C$3:C$121,'DISPATCH SHEET'!#REF!,""))</f>
        <v/>
      </c>
    </row>
    <row r="3409" spans="2:3" x14ac:dyDescent="0.2">
      <c r="B3409" s="14" t="str">
        <f>IF(A3409="","",_xlfn.XLOOKUP(A3409,'DISPATCH SHEET'!B$3:B$121,'DISPATCH SHEET'!C$3:C$121,""))</f>
        <v/>
      </c>
      <c r="C3409" s="14" t="str">
        <f>IF(ISBLANK(A3409),"",_xlfn.XLOOKUP(A3409,'DISPATCH SHEET'!C$3:C$121,'DISPATCH SHEET'!#REF!,""))</f>
        <v/>
      </c>
    </row>
    <row r="3410" spans="2:3" x14ac:dyDescent="0.2">
      <c r="B3410" s="14" t="str">
        <f>IF(A3410="","",_xlfn.XLOOKUP(A3410,'DISPATCH SHEET'!B$3:B$121,'DISPATCH SHEET'!C$3:C$121,""))</f>
        <v/>
      </c>
      <c r="C3410" s="14" t="str">
        <f>IF(ISBLANK(A3410),"",_xlfn.XLOOKUP(A3410,'DISPATCH SHEET'!C$3:C$121,'DISPATCH SHEET'!#REF!,""))</f>
        <v/>
      </c>
    </row>
    <row r="3411" spans="2:3" x14ac:dyDescent="0.2">
      <c r="B3411" s="14" t="str">
        <f>IF(A3411="","",_xlfn.XLOOKUP(A3411,'DISPATCH SHEET'!B$3:B$121,'DISPATCH SHEET'!C$3:C$121,""))</f>
        <v/>
      </c>
      <c r="C3411" s="14" t="str">
        <f>IF(ISBLANK(A3411),"",_xlfn.XLOOKUP(A3411,'DISPATCH SHEET'!C$3:C$121,'DISPATCH SHEET'!#REF!,""))</f>
        <v/>
      </c>
    </row>
    <row r="3412" spans="2:3" x14ac:dyDescent="0.2">
      <c r="B3412" s="14" t="str">
        <f>IF(A3412="","",_xlfn.XLOOKUP(A3412,'DISPATCH SHEET'!B$3:B$121,'DISPATCH SHEET'!C$3:C$121,""))</f>
        <v/>
      </c>
      <c r="C3412" s="14" t="str">
        <f>IF(ISBLANK(A3412),"",_xlfn.XLOOKUP(A3412,'DISPATCH SHEET'!C$3:C$121,'DISPATCH SHEET'!#REF!,""))</f>
        <v/>
      </c>
    </row>
    <row r="3413" spans="2:3" x14ac:dyDescent="0.2">
      <c r="B3413" s="14" t="str">
        <f>IF(A3413="","",_xlfn.XLOOKUP(A3413,'DISPATCH SHEET'!B$3:B$121,'DISPATCH SHEET'!C$3:C$121,""))</f>
        <v/>
      </c>
      <c r="C3413" s="14" t="str">
        <f>IF(ISBLANK(A3413),"",_xlfn.XLOOKUP(A3413,'DISPATCH SHEET'!C$3:C$121,'DISPATCH SHEET'!#REF!,""))</f>
        <v/>
      </c>
    </row>
    <row r="3414" spans="2:3" x14ac:dyDescent="0.2">
      <c r="B3414" s="14" t="str">
        <f>IF(A3414="","",_xlfn.XLOOKUP(A3414,'DISPATCH SHEET'!B$3:B$121,'DISPATCH SHEET'!C$3:C$121,""))</f>
        <v/>
      </c>
      <c r="C3414" s="14" t="str">
        <f>IF(ISBLANK(A3414),"",_xlfn.XLOOKUP(A3414,'DISPATCH SHEET'!C$3:C$121,'DISPATCH SHEET'!#REF!,""))</f>
        <v/>
      </c>
    </row>
    <row r="3415" spans="2:3" x14ac:dyDescent="0.2">
      <c r="B3415" s="14" t="str">
        <f>IF(A3415="","",_xlfn.XLOOKUP(A3415,'DISPATCH SHEET'!B$3:B$121,'DISPATCH SHEET'!C$3:C$121,""))</f>
        <v/>
      </c>
      <c r="C3415" s="14" t="str">
        <f>IF(ISBLANK(A3415),"",_xlfn.XLOOKUP(A3415,'DISPATCH SHEET'!C$3:C$121,'DISPATCH SHEET'!#REF!,""))</f>
        <v/>
      </c>
    </row>
    <row r="3416" spans="2:3" x14ac:dyDescent="0.2">
      <c r="B3416" s="14" t="str">
        <f>IF(A3416="","",_xlfn.XLOOKUP(A3416,'DISPATCH SHEET'!B$3:B$121,'DISPATCH SHEET'!C$3:C$121,""))</f>
        <v/>
      </c>
      <c r="C3416" s="14" t="str">
        <f>IF(ISBLANK(A3416),"",_xlfn.XLOOKUP(A3416,'DISPATCH SHEET'!C$3:C$121,'DISPATCH SHEET'!#REF!,""))</f>
        <v/>
      </c>
    </row>
    <row r="3417" spans="2:3" x14ac:dyDescent="0.2">
      <c r="B3417" s="14" t="str">
        <f>IF(A3417="","",_xlfn.XLOOKUP(A3417,'DISPATCH SHEET'!B$3:B$121,'DISPATCH SHEET'!C$3:C$121,""))</f>
        <v/>
      </c>
      <c r="C3417" s="14" t="str">
        <f>IF(ISBLANK(A3417),"",_xlfn.XLOOKUP(A3417,'DISPATCH SHEET'!C$3:C$121,'DISPATCH SHEET'!#REF!,""))</f>
        <v/>
      </c>
    </row>
    <row r="3418" spans="2:3" x14ac:dyDescent="0.2">
      <c r="B3418" s="14" t="str">
        <f>IF(A3418="","",_xlfn.XLOOKUP(A3418,'DISPATCH SHEET'!B$3:B$121,'DISPATCH SHEET'!C$3:C$121,""))</f>
        <v/>
      </c>
      <c r="C3418" s="14" t="str">
        <f>IF(ISBLANK(A3418),"",_xlfn.XLOOKUP(A3418,'DISPATCH SHEET'!C$3:C$121,'DISPATCH SHEET'!#REF!,""))</f>
        <v/>
      </c>
    </row>
    <row r="3419" spans="2:3" x14ac:dyDescent="0.2">
      <c r="B3419" s="14" t="str">
        <f>IF(A3419="","",_xlfn.XLOOKUP(A3419,'DISPATCH SHEET'!B$3:B$121,'DISPATCH SHEET'!C$3:C$121,""))</f>
        <v/>
      </c>
      <c r="C3419" s="14" t="str">
        <f>IF(ISBLANK(A3419),"",_xlfn.XLOOKUP(A3419,'DISPATCH SHEET'!C$3:C$121,'DISPATCH SHEET'!#REF!,""))</f>
        <v/>
      </c>
    </row>
    <row r="3420" spans="2:3" x14ac:dyDescent="0.2">
      <c r="B3420" s="14" t="str">
        <f>IF(A3420="","",_xlfn.XLOOKUP(A3420,'DISPATCH SHEET'!B$3:B$121,'DISPATCH SHEET'!C$3:C$121,""))</f>
        <v/>
      </c>
      <c r="C3420" s="14" t="str">
        <f>IF(ISBLANK(A3420),"",_xlfn.XLOOKUP(A3420,'DISPATCH SHEET'!C$3:C$121,'DISPATCH SHEET'!#REF!,""))</f>
        <v/>
      </c>
    </row>
    <row r="3421" spans="2:3" x14ac:dyDescent="0.2">
      <c r="B3421" s="14" t="str">
        <f>IF(A3421="","",_xlfn.XLOOKUP(A3421,'DISPATCH SHEET'!B$3:B$121,'DISPATCH SHEET'!C$3:C$121,""))</f>
        <v/>
      </c>
      <c r="C3421" s="14" t="str">
        <f>IF(ISBLANK(A3421),"",_xlfn.XLOOKUP(A3421,'DISPATCH SHEET'!C$3:C$121,'DISPATCH SHEET'!#REF!,""))</f>
        <v/>
      </c>
    </row>
    <row r="3422" spans="2:3" x14ac:dyDescent="0.2">
      <c r="B3422" s="14" t="str">
        <f>IF(A3422="","",_xlfn.XLOOKUP(A3422,'DISPATCH SHEET'!B$3:B$121,'DISPATCH SHEET'!C$3:C$121,""))</f>
        <v/>
      </c>
      <c r="C3422" s="14" t="str">
        <f>IF(ISBLANK(A3422),"",_xlfn.XLOOKUP(A3422,'DISPATCH SHEET'!C$3:C$121,'DISPATCH SHEET'!#REF!,""))</f>
        <v/>
      </c>
    </row>
    <row r="3423" spans="2:3" x14ac:dyDescent="0.2">
      <c r="B3423" s="14" t="str">
        <f>IF(A3423="","",_xlfn.XLOOKUP(A3423,'DISPATCH SHEET'!B$3:B$121,'DISPATCH SHEET'!C$3:C$121,""))</f>
        <v/>
      </c>
      <c r="C3423" s="14" t="str">
        <f>IF(ISBLANK(A3423),"",_xlfn.XLOOKUP(A3423,'DISPATCH SHEET'!C$3:C$121,'DISPATCH SHEET'!#REF!,""))</f>
        <v/>
      </c>
    </row>
    <row r="3424" spans="2:3" x14ac:dyDescent="0.2">
      <c r="B3424" s="14" t="str">
        <f>IF(A3424="","",_xlfn.XLOOKUP(A3424,'DISPATCH SHEET'!B$3:B$121,'DISPATCH SHEET'!C$3:C$121,""))</f>
        <v/>
      </c>
      <c r="C3424" s="14" t="str">
        <f>IF(ISBLANK(A3424),"",_xlfn.XLOOKUP(A3424,'DISPATCH SHEET'!C$3:C$121,'DISPATCH SHEET'!#REF!,""))</f>
        <v/>
      </c>
    </row>
    <row r="3425" spans="2:3" x14ac:dyDescent="0.2">
      <c r="B3425" s="14" t="str">
        <f>IF(A3425="","",_xlfn.XLOOKUP(A3425,'DISPATCH SHEET'!B$3:B$121,'DISPATCH SHEET'!C$3:C$121,""))</f>
        <v/>
      </c>
      <c r="C3425" s="14" t="str">
        <f>IF(ISBLANK(A3425),"",_xlfn.XLOOKUP(A3425,'DISPATCH SHEET'!C$3:C$121,'DISPATCH SHEET'!#REF!,""))</f>
        <v/>
      </c>
    </row>
    <row r="3426" spans="2:3" x14ac:dyDescent="0.2">
      <c r="B3426" s="14" t="str">
        <f>IF(A3426="","",_xlfn.XLOOKUP(A3426,'DISPATCH SHEET'!B$3:B$121,'DISPATCH SHEET'!C$3:C$121,""))</f>
        <v/>
      </c>
      <c r="C3426" s="14" t="str">
        <f>IF(ISBLANK(A3426),"",_xlfn.XLOOKUP(A3426,'DISPATCH SHEET'!C$3:C$121,'DISPATCH SHEET'!#REF!,""))</f>
        <v/>
      </c>
    </row>
    <row r="3427" spans="2:3" x14ac:dyDescent="0.2">
      <c r="B3427" s="14" t="str">
        <f>IF(A3427="","",_xlfn.XLOOKUP(A3427,'DISPATCH SHEET'!B$3:B$121,'DISPATCH SHEET'!C$3:C$121,""))</f>
        <v/>
      </c>
      <c r="C3427" s="14" t="str">
        <f>IF(ISBLANK(A3427),"",_xlfn.XLOOKUP(A3427,'DISPATCH SHEET'!C$3:C$121,'DISPATCH SHEET'!#REF!,""))</f>
        <v/>
      </c>
    </row>
    <row r="3428" spans="2:3" x14ac:dyDescent="0.2">
      <c r="B3428" s="14" t="str">
        <f>IF(A3428="","",_xlfn.XLOOKUP(A3428,'DISPATCH SHEET'!B$3:B$121,'DISPATCH SHEET'!C$3:C$121,""))</f>
        <v/>
      </c>
      <c r="C3428" s="14" t="str">
        <f>IF(ISBLANK(A3428),"",_xlfn.XLOOKUP(A3428,'DISPATCH SHEET'!C$3:C$121,'DISPATCH SHEET'!#REF!,""))</f>
        <v/>
      </c>
    </row>
    <row r="3429" spans="2:3" x14ac:dyDescent="0.2">
      <c r="B3429" s="14" t="str">
        <f>IF(A3429="","",_xlfn.XLOOKUP(A3429,'DISPATCH SHEET'!B$3:B$121,'DISPATCH SHEET'!C$3:C$121,""))</f>
        <v/>
      </c>
      <c r="C3429" s="14" t="str">
        <f>IF(ISBLANK(A3429),"",_xlfn.XLOOKUP(A3429,'DISPATCH SHEET'!C$3:C$121,'DISPATCH SHEET'!#REF!,""))</f>
        <v/>
      </c>
    </row>
    <row r="3430" spans="2:3" x14ac:dyDescent="0.2">
      <c r="B3430" s="14" t="str">
        <f>IF(A3430="","",_xlfn.XLOOKUP(A3430,'DISPATCH SHEET'!B$3:B$121,'DISPATCH SHEET'!C$3:C$121,""))</f>
        <v/>
      </c>
      <c r="C3430" s="14" t="str">
        <f>IF(ISBLANK(A3430),"",_xlfn.XLOOKUP(A3430,'DISPATCH SHEET'!C$3:C$121,'DISPATCH SHEET'!#REF!,""))</f>
        <v/>
      </c>
    </row>
    <row r="3431" spans="2:3" x14ac:dyDescent="0.2">
      <c r="B3431" s="14" t="str">
        <f>IF(A3431="","",_xlfn.XLOOKUP(A3431,'DISPATCH SHEET'!B$3:B$121,'DISPATCH SHEET'!C$3:C$121,""))</f>
        <v/>
      </c>
      <c r="C3431" s="14" t="str">
        <f>IF(ISBLANK(A3431),"",_xlfn.XLOOKUP(A3431,'DISPATCH SHEET'!C$3:C$121,'DISPATCH SHEET'!#REF!,""))</f>
        <v/>
      </c>
    </row>
    <row r="3432" spans="2:3" x14ac:dyDescent="0.2">
      <c r="B3432" s="14" t="str">
        <f>IF(A3432="","",_xlfn.XLOOKUP(A3432,'DISPATCH SHEET'!B$3:B$121,'DISPATCH SHEET'!C$3:C$121,""))</f>
        <v/>
      </c>
      <c r="C3432" s="14" t="str">
        <f>IF(ISBLANK(A3432),"",_xlfn.XLOOKUP(A3432,'DISPATCH SHEET'!C$3:C$121,'DISPATCH SHEET'!#REF!,""))</f>
        <v/>
      </c>
    </row>
    <row r="3433" spans="2:3" x14ac:dyDescent="0.2">
      <c r="B3433" s="14" t="str">
        <f>IF(A3433="","",_xlfn.XLOOKUP(A3433,'DISPATCH SHEET'!B$3:B$121,'DISPATCH SHEET'!C$3:C$121,""))</f>
        <v/>
      </c>
      <c r="C3433" s="14" t="str">
        <f>IF(ISBLANK(A3433),"",_xlfn.XLOOKUP(A3433,'DISPATCH SHEET'!C$3:C$121,'DISPATCH SHEET'!#REF!,""))</f>
        <v/>
      </c>
    </row>
    <row r="3434" spans="2:3" x14ac:dyDescent="0.2">
      <c r="B3434" s="14" t="str">
        <f>IF(A3434="","",_xlfn.XLOOKUP(A3434,'DISPATCH SHEET'!B$3:B$121,'DISPATCH SHEET'!C$3:C$121,""))</f>
        <v/>
      </c>
      <c r="C3434" s="14" t="str">
        <f>IF(ISBLANK(A3434),"",_xlfn.XLOOKUP(A3434,'DISPATCH SHEET'!C$3:C$121,'DISPATCH SHEET'!#REF!,""))</f>
        <v/>
      </c>
    </row>
    <row r="3435" spans="2:3" x14ac:dyDescent="0.2">
      <c r="B3435" s="14" t="str">
        <f>IF(A3435="","",_xlfn.XLOOKUP(A3435,'DISPATCH SHEET'!B$3:B$121,'DISPATCH SHEET'!C$3:C$121,""))</f>
        <v/>
      </c>
      <c r="C3435" s="14" t="str">
        <f>IF(ISBLANK(A3435),"",_xlfn.XLOOKUP(A3435,'DISPATCH SHEET'!C$3:C$121,'DISPATCH SHEET'!#REF!,""))</f>
        <v/>
      </c>
    </row>
    <row r="3436" spans="2:3" x14ac:dyDescent="0.2">
      <c r="B3436" s="14" t="str">
        <f>IF(A3436="","",_xlfn.XLOOKUP(A3436,'DISPATCH SHEET'!B$3:B$121,'DISPATCH SHEET'!C$3:C$121,""))</f>
        <v/>
      </c>
      <c r="C3436" s="14" t="str">
        <f>IF(ISBLANK(A3436),"",_xlfn.XLOOKUP(A3436,'DISPATCH SHEET'!C$3:C$121,'DISPATCH SHEET'!#REF!,""))</f>
        <v/>
      </c>
    </row>
    <row r="3437" spans="2:3" x14ac:dyDescent="0.2">
      <c r="B3437" s="14" t="str">
        <f>IF(A3437="","",_xlfn.XLOOKUP(A3437,'DISPATCH SHEET'!B$3:B$121,'DISPATCH SHEET'!C$3:C$121,""))</f>
        <v/>
      </c>
      <c r="C3437" s="14" t="str">
        <f>IF(ISBLANK(A3437),"",_xlfn.XLOOKUP(A3437,'DISPATCH SHEET'!C$3:C$121,'DISPATCH SHEET'!#REF!,""))</f>
        <v/>
      </c>
    </row>
    <row r="3438" spans="2:3" x14ac:dyDescent="0.2">
      <c r="B3438" s="14" t="str">
        <f>IF(A3438="","",_xlfn.XLOOKUP(A3438,'DISPATCH SHEET'!B$3:B$121,'DISPATCH SHEET'!C$3:C$121,""))</f>
        <v/>
      </c>
      <c r="C3438" s="14" t="str">
        <f>IF(ISBLANK(A3438),"",_xlfn.XLOOKUP(A3438,'DISPATCH SHEET'!C$3:C$121,'DISPATCH SHEET'!#REF!,""))</f>
        <v/>
      </c>
    </row>
    <row r="3439" spans="2:3" x14ac:dyDescent="0.2">
      <c r="B3439" s="14" t="str">
        <f>IF(A3439="","",_xlfn.XLOOKUP(A3439,'DISPATCH SHEET'!B$3:B$121,'DISPATCH SHEET'!C$3:C$121,""))</f>
        <v/>
      </c>
      <c r="C3439" s="14" t="str">
        <f>IF(ISBLANK(A3439),"",_xlfn.XLOOKUP(A3439,'DISPATCH SHEET'!C$3:C$121,'DISPATCH SHEET'!#REF!,""))</f>
        <v/>
      </c>
    </row>
    <row r="3440" spans="2:3" x14ac:dyDescent="0.2">
      <c r="B3440" s="14" t="str">
        <f>IF(A3440="","",_xlfn.XLOOKUP(A3440,'DISPATCH SHEET'!B$3:B$121,'DISPATCH SHEET'!C$3:C$121,""))</f>
        <v/>
      </c>
      <c r="C3440" s="14" t="str">
        <f>IF(ISBLANK(A3440),"",_xlfn.XLOOKUP(A3440,'DISPATCH SHEET'!C$3:C$121,'DISPATCH SHEET'!#REF!,""))</f>
        <v/>
      </c>
    </row>
    <row r="3441" spans="2:3" x14ac:dyDescent="0.2">
      <c r="B3441" s="14" t="str">
        <f>IF(A3441="","",_xlfn.XLOOKUP(A3441,'DISPATCH SHEET'!B$3:B$121,'DISPATCH SHEET'!C$3:C$121,""))</f>
        <v/>
      </c>
      <c r="C3441" s="14" t="str">
        <f>IF(ISBLANK(A3441),"",_xlfn.XLOOKUP(A3441,'DISPATCH SHEET'!C$3:C$121,'DISPATCH SHEET'!#REF!,""))</f>
        <v/>
      </c>
    </row>
    <row r="3442" spans="2:3" x14ac:dyDescent="0.2">
      <c r="B3442" s="14" t="str">
        <f>IF(A3442="","",_xlfn.XLOOKUP(A3442,'DISPATCH SHEET'!B$3:B$121,'DISPATCH SHEET'!C$3:C$121,""))</f>
        <v/>
      </c>
      <c r="C3442" s="14" t="str">
        <f>IF(ISBLANK(A3442),"",_xlfn.XLOOKUP(A3442,'DISPATCH SHEET'!C$3:C$121,'DISPATCH SHEET'!#REF!,""))</f>
        <v/>
      </c>
    </row>
    <row r="3443" spans="2:3" x14ac:dyDescent="0.2">
      <c r="B3443" s="14" t="str">
        <f>IF(A3443="","",_xlfn.XLOOKUP(A3443,'DISPATCH SHEET'!B$3:B$121,'DISPATCH SHEET'!C$3:C$121,""))</f>
        <v/>
      </c>
      <c r="C3443" s="14" t="str">
        <f>IF(ISBLANK(A3443),"",_xlfn.XLOOKUP(A3443,'DISPATCH SHEET'!C$3:C$121,'DISPATCH SHEET'!#REF!,""))</f>
        <v/>
      </c>
    </row>
    <row r="3444" spans="2:3" x14ac:dyDescent="0.2">
      <c r="B3444" s="14" t="str">
        <f>IF(A3444="","",_xlfn.XLOOKUP(A3444,'DISPATCH SHEET'!B$3:B$121,'DISPATCH SHEET'!C$3:C$121,""))</f>
        <v/>
      </c>
      <c r="C3444" s="14" t="str">
        <f>IF(ISBLANK(A3444),"",_xlfn.XLOOKUP(A3444,'DISPATCH SHEET'!C$3:C$121,'DISPATCH SHEET'!#REF!,""))</f>
        <v/>
      </c>
    </row>
    <row r="3445" spans="2:3" x14ac:dyDescent="0.2">
      <c r="B3445" s="14" t="str">
        <f>IF(A3445="","",_xlfn.XLOOKUP(A3445,'DISPATCH SHEET'!B$3:B$121,'DISPATCH SHEET'!C$3:C$121,""))</f>
        <v/>
      </c>
      <c r="C3445" s="14" t="str">
        <f>IF(ISBLANK(A3445),"",_xlfn.XLOOKUP(A3445,'DISPATCH SHEET'!C$3:C$121,'DISPATCH SHEET'!#REF!,""))</f>
        <v/>
      </c>
    </row>
    <row r="3446" spans="2:3" x14ac:dyDescent="0.2">
      <c r="B3446" s="14" t="str">
        <f>IF(A3446="","",_xlfn.XLOOKUP(A3446,'DISPATCH SHEET'!B$3:B$121,'DISPATCH SHEET'!C$3:C$121,""))</f>
        <v/>
      </c>
      <c r="C3446" s="14" t="str">
        <f>IF(ISBLANK(A3446),"",_xlfn.XLOOKUP(A3446,'DISPATCH SHEET'!C$3:C$121,'DISPATCH SHEET'!#REF!,""))</f>
        <v/>
      </c>
    </row>
    <row r="3447" spans="2:3" x14ac:dyDescent="0.2">
      <c r="B3447" s="14" t="str">
        <f>IF(A3447="","",_xlfn.XLOOKUP(A3447,'DISPATCH SHEET'!B$3:B$121,'DISPATCH SHEET'!C$3:C$121,""))</f>
        <v/>
      </c>
      <c r="C3447" s="14" t="str">
        <f>IF(ISBLANK(A3447),"",_xlfn.XLOOKUP(A3447,'DISPATCH SHEET'!C$3:C$121,'DISPATCH SHEET'!#REF!,""))</f>
        <v/>
      </c>
    </row>
    <row r="3448" spans="2:3" x14ac:dyDescent="0.2">
      <c r="B3448" s="14" t="str">
        <f>IF(A3448="","",_xlfn.XLOOKUP(A3448,'DISPATCH SHEET'!B$3:B$121,'DISPATCH SHEET'!C$3:C$121,""))</f>
        <v/>
      </c>
      <c r="C3448" s="14" t="str">
        <f>IF(ISBLANK(A3448),"",_xlfn.XLOOKUP(A3448,'DISPATCH SHEET'!C$3:C$121,'DISPATCH SHEET'!#REF!,""))</f>
        <v/>
      </c>
    </row>
    <row r="3449" spans="2:3" x14ac:dyDescent="0.2">
      <c r="B3449" s="14" t="str">
        <f>IF(A3449="","",_xlfn.XLOOKUP(A3449,'DISPATCH SHEET'!B$3:B$121,'DISPATCH SHEET'!C$3:C$121,""))</f>
        <v/>
      </c>
      <c r="C3449" s="14" t="str">
        <f>IF(ISBLANK(A3449),"",_xlfn.XLOOKUP(A3449,'DISPATCH SHEET'!C$3:C$121,'DISPATCH SHEET'!#REF!,""))</f>
        <v/>
      </c>
    </row>
    <row r="3450" spans="2:3" x14ac:dyDescent="0.2">
      <c r="B3450" s="14" t="str">
        <f>IF(A3450="","",_xlfn.XLOOKUP(A3450,'DISPATCH SHEET'!B$3:B$121,'DISPATCH SHEET'!C$3:C$121,""))</f>
        <v/>
      </c>
      <c r="C3450" s="14" t="str">
        <f>IF(ISBLANK(A3450),"",_xlfn.XLOOKUP(A3450,'DISPATCH SHEET'!C$3:C$121,'DISPATCH SHEET'!#REF!,""))</f>
        <v/>
      </c>
    </row>
    <row r="3451" spans="2:3" x14ac:dyDescent="0.2">
      <c r="B3451" s="14" t="str">
        <f>IF(A3451="","",_xlfn.XLOOKUP(A3451,'DISPATCH SHEET'!B$3:B$121,'DISPATCH SHEET'!C$3:C$121,""))</f>
        <v/>
      </c>
      <c r="C3451" s="14" t="str">
        <f>IF(ISBLANK(A3451),"",_xlfn.XLOOKUP(A3451,'DISPATCH SHEET'!C$3:C$121,'DISPATCH SHEET'!#REF!,""))</f>
        <v/>
      </c>
    </row>
    <row r="3452" spans="2:3" x14ac:dyDescent="0.2">
      <c r="B3452" s="14" t="str">
        <f>IF(A3452="","",_xlfn.XLOOKUP(A3452,'DISPATCH SHEET'!B$3:B$121,'DISPATCH SHEET'!C$3:C$121,""))</f>
        <v/>
      </c>
      <c r="C3452" s="14" t="str">
        <f>IF(ISBLANK(A3452),"",_xlfn.XLOOKUP(A3452,'DISPATCH SHEET'!C$3:C$121,'DISPATCH SHEET'!#REF!,""))</f>
        <v/>
      </c>
    </row>
    <row r="3453" spans="2:3" x14ac:dyDescent="0.2">
      <c r="B3453" s="14" t="str">
        <f>IF(A3453="","",_xlfn.XLOOKUP(A3453,'DISPATCH SHEET'!B$3:B$121,'DISPATCH SHEET'!C$3:C$121,""))</f>
        <v/>
      </c>
      <c r="C3453" s="14" t="str">
        <f>IF(ISBLANK(A3453),"",_xlfn.XLOOKUP(A3453,'DISPATCH SHEET'!C$3:C$121,'DISPATCH SHEET'!#REF!,""))</f>
        <v/>
      </c>
    </row>
    <row r="3454" spans="2:3" x14ac:dyDescent="0.2">
      <c r="B3454" s="14" t="str">
        <f>IF(A3454="","",_xlfn.XLOOKUP(A3454,'DISPATCH SHEET'!B$3:B$121,'DISPATCH SHEET'!C$3:C$121,""))</f>
        <v/>
      </c>
      <c r="C3454" s="14" t="str">
        <f>IF(ISBLANK(A3454),"",_xlfn.XLOOKUP(A3454,'DISPATCH SHEET'!C$3:C$121,'DISPATCH SHEET'!#REF!,""))</f>
        <v/>
      </c>
    </row>
    <row r="3455" spans="2:3" x14ac:dyDescent="0.2">
      <c r="B3455" s="14" t="str">
        <f>IF(A3455="","",_xlfn.XLOOKUP(A3455,'DISPATCH SHEET'!B$3:B$121,'DISPATCH SHEET'!C$3:C$121,""))</f>
        <v/>
      </c>
      <c r="C3455" s="14" t="str">
        <f>IF(ISBLANK(A3455),"",_xlfn.XLOOKUP(A3455,'DISPATCH SHEET'!C$3:C$121,'DISPATCH SHEET'!#REF!,""))</f>
        <v/>
      </c>
    </row>
    <row r="3456" spans="2:3" x14ac:dyDescent="0.2">
      <c r="B3456" s="14" t="str">
        <f>IF(A3456="","",_xlfn.XLOOKUP(A3456,'DISPATCH SHEET'!B$3:B$121,'DISPATCH SHEET'!C$3:C$121,""))</f>
        <v/>
      </c>
      <c r="C3456" s="14" t="str">
        <f>IF(ISBLANK(A3456),"",_xlfn.XLOOKUP(A3456,'DISPATCH SHEET'!C$3:C$121,'DISPATCH SHEET'!#REF!,""))</f>
        <v/>
      </c>
    </row>
    <row r="3457" spans="2:3" x14ac:dyDescent="0.2">
      <c r="B3457" s="14" t="str">
        <f>IF(A3457="","",_xlfn.XLOOKUP(A3457,'DISPATCH SHEET'!B$3:B$121,'DISPATCH SHEET'!C$3:C$121,""))</f>
        <v/>
      </c>
      <c r="C3457" s="14" t="str">
        <f>IF(ISBLANK(A3457),"",_xlfn.XLOOKUP(A3457,'DISPATCH SHEET'!C$3:C$121,'DISPATCH SHEET'!#REF!,""))</f>
        <v/>
      </c>
    </row>
    <row r="3458" spans="2:3" x14ac:dyDescent="0.2">
      <c r="B3458" s="14" t="str">
        <f>IF(A3458="","",_xlfn.XLOOKUP(A3458,'DISPATCH SHEET'!B$3:B$121,'DISPATCH SHEET'!C$3:C$121,""))</f>
        <v/>
      </c>
      <c r="C3458" s="14" t="str">
        <f>IF(ISBLANK(A3458),"",_xlfn.XLOOKUP(A3458,'DISPATCH SHEET'!C$3:C$121,'DISPATCH SHEET'!#REF!,""))</f>
        <v/>
      </c>
    </row>
    <row r="3459" spans="2:3" x14ac:dyDescent="0.2">
      <c r="B3459" s="14" t="str">
        <f>IF(A3459="","",_xlfn.XLOOKUP(A3459,'DISPATCH SHEET'!B$3:B$121,'DISPATCH SHEET'!C$3:C$121,""))</f>
        <v/>
      </c>
      <c r="C3459" s="14" t="str">
        <f>IF(ISBLANK(A3459),"",_xlfn.XLOOKUP(A3459,'DISPATCH SHEET'!C$3:C$121,'DISPATCH SHEET'!#REF!,""))</f>
        <v/>
      </c>
    </row>
    <row r="3460" spans="2:3" x14ac:dyDescent="0.2">
      <c r="B3460" s="14" t="str">
        <f>IF(A3460="","",_xlfn.XLOOKUP(A3460,'DISPATCH SHEET'!B$3:B$121,'DISPATCH SHEET'!C$3:C$121,""))</f>
        <v/>
      </c>
      <c r="C3460" s="14" t="str">
        <f>IF(ISBLANK(A3460),"",_xlfn.XLOOKUP(A3460,'DISPATCH SHEET'!C$3:C$121,'DISPATCH SHEET'!#REF!,""))</f>
        <v/>
      </c>
    </row>
    <row r="3461" spans="2:3" x14ac:dyDescent="0.2">
      <c r="B3461" s="14" t="str">
        <f>IF(A3461="","",_xlfn.XLOOKUP(A3461,'DISPATCH SHEET'!B$3:B$121,'DISPATCH SHEET'!C$3:C$121,""))</f>
        <v/>
      </c>
      <c r="C3461" s="14" t="str">
        <f>IF(ISBLANK(A3461),"",_xlfn.XLOOKUP(A3461,'DISPATCH SHEET'!C$3:C$121,'DISPATCH SHEET'!#REF!,""))</f>
        <v/>
      </c>
    </row>
    <row r="3462" spans="2:3" x14ac:dyDescent="0.2">
      <c r="B3462" s="14" t="str">
        <f>IF(A3462="","",_xlfn.XLOOKUP(A3462,'DISPATCH SHEET'!B$3:B$121,'DISPATCH SHEET'!C$3:C$121,""))</f>
        <v/>
      </c>
      <c r="C3462" s="14" t="str">
        <f>IF(ISBLANK(A3462),"",_xlfn.XLOOKUP(A3462,'DISPATCH SHEET'!C$3:C$121,'DISPATCH SHEET'!#REF!,""))</f>
        <v/>
      </c>
    </row>
    <row r="3463" spans="2:3" x14ac:dyDescent="0.2">
      <c r="B3463" s="14" t="str">
        <f>IF(A3463="","",_xlfn.XLOOKUP(A3463,'DISPATCH SHEET'!B$3:B$121,'DISPATCH SHEET'!C$3:C$121,""))</f>
        <v/>
      </c>
      <c r="C3463" s="14" t="str">
        <f>IF(ISBLANK(A3463),"",_xlfn.XLOOKUP(A3463,'DISPATCH SHEET'!C$3:C$121,'DISPATCH SHEET'!#REF!,""))</f>
        <v/>
      </c>
    </row>
    <row r="3464" spans="2:3" x14ac:dyDescent="0.2">
      <c r="B3464" s="14" t="str">
        <f>IF(A3464="","",_xlfn.XLOOKUP(A3464,'DISPATCH SHEET'!B$3:B$121,'DISPATCH SHEET'!C$3:C$121,""))</f>
        <v/>
      </c>
      <c r="C3464" s="14" t="str">
        <f>IF(ISBLANK(A3464),"",_xlfn.XLOOKUP(A3464,'DISPATCH SHEET'!C$3:C$121,'DISPATCH SHEET'!#REF!,""))</f>
        <v/>
      </c>
    </row>
    <row r="3465" spans="2:3" x14ac:dyDescent="0.2">
      <c r="B3465" s="14" t="str">
        <f>IF(A3465="","",_xlfn.XLOOKUP(A3465,'DISPATCH SHEET'!B$3:B$121,'DISPATCH SHEET'!C$3:C$121,""))</f>
        <v/>
      </c>
      <c r="C3465" s="14" t="str">
        <f>IF(ISBLANK(A3465),"",_xlfn.XLOOKUP(A3465,'DISPATCH SHEET'!C$3:C$121,'DISPATCH SHEET'!#REF!,""))</f>
        <v/>
      </c>
    </row>
    <row r="3466" spans="2:3" x14ac:dyDescent="0.2">
      <c r="B3466" s="14" t="str">
        <f>IF(A3466="","",_xlfn.XLOOKUP(A3466,'DISPATCH SHEET'!B$3:B$121,'DISPATCH SHEET'!C$3:C$121,""))</f>
        <v/>
      </c>
      <c r="C3466" s="14" t="str">
        <f>IF(ISBLANK(A3466),"",_xlfn.XLOOKUP(A3466,'DISPATCH SHEET'!C$3:C$121,'DISPATCH SHEET'!#REF!,""))</f>
        <v/>
      </c>
    </row>
    <row r="3467" spans="2:3" x14ac:dyDescent="0.2">
      <c r="B3467" s="14" t="str">
        <f>IF(A3467="","",_xlfn.XLOOKUP(A3467,'DISPATCH SHEET'!B$3:B$121,'DISPATCH SHEET'!C$3:C$121,""))</f>
        <v/>
      </c>
      <c r="C3467" s="14" t="str">
        <f>IF(ISBLANK(A3467),"",_xlfn.XLOOKUP(A3467,'DISPATCH SHEET'!C$3:C$121,'DISPATCH SHEET'!#REF!,""))</f>
        <v/>
      </c>
    </row>
    <row r="3468" spans="2:3" x14ac:dyDescent="0.2">
      <c r="B3468" s="14" t="str">
        <f>IF(A3468="","",_xlfn.XLOOKUP(A3468,'DISPATCH SHEET'!B$3:B$121,'DISPATCH SHEET'!C$3:C$121,""))</f>
        <v/>
      </c>
      <c r="C3468" s="14" t="str">
        <f>IF(ISBLANK(A3468),"",_xlfn.XLOOKUP(A3468,'DISPATCH SHEET'!C$3:C$121,'DISPATCH SHEET'!#REF!,""))</f>
        <v/>
      </c>
    </row>
    <row r="3469" spans="2:3" x14ac:dyDescent="0.2">
      <c r="B3469" s="14" t="str">
        <f>IF(A3469="","",_xlfn.XLOOKUP(A3469,'DISPATCH SHEET'!B$3:B$121,'DISPATCH SHEET'!C$3:C$121,""))</f>
        <v/>
      </c>
      <c r="C3469" s="14" t="str">
        <f>IF(ISBLANK(A3469),"",_xlfn.XLOOKUP(A3469,'DISPATCH SHEET'!C$3:C$121,'DISPATCH SHEET'!#REF!,""))</f>
        <v/>
      </c>
    </row>
    <row r="3470" spans="2:3" x14ac:dyDescent="0.2">
      <c r="B3470" s="14" t="str">
        <f>IF(A3470="","",_xlfn.XLOOKUP(A3470,'DISPATCH SHEET'!B$3:B$121,'DISPATCH SHEET'!C$3:C$121,""))</f>
        <v/>
      </c>
      <c r="C3470" s="14" t="str">
        <f>IF(ISBLANK(A3470),"",_xlfn.XLOOKUP(A3470,'DISPATCH SHEET'!C$3:C$121,'DISPATCH SHEET'!#REF!,""))</f>
        <v/>
      </c>
    </row>
    <row r="3471" spans="2:3" x14ac:dyDescent="0.2">
      <c r="B3471" s="14" t="str">
        <f>IF(A3471="","",_xlfn.XLOOKUP(A3471,'DISPATCH SHEET'!B$3:B$121,'DISPATCH SHEET'!C$3:C$121,""))</f>
        <v/>
      </c>
      <c r="C3471" s="14" t="str">
        <f>IF(ISBLANK(A3471),"",_xlfn.XLOOKUP(A3471,'DISPATCH SHEET'!C$3:C$121,'DISPATCH SHEET'!#REF!,""))</f>
        <v/>
      </c>
    </row>
    <row r="3472" spans="2:3" x14ac:dyDescent="0.2">
      <c r="B3472" s="14" t="str">
        <f>IF(A3472="","",_xlfn.XLOOKUP(A3472,'DISPATCH SHEET'!B$3:B$121,'DISPATCH SHEET'!C$3:C$121,""))</f>
        <v/>
      </c>
      <c r="C3472" s="14" t="str">
        <f>IF(ISBLANK(A3472),"",_xlfn.XLOOKUP(A3472,'DISPATCH SHEET'!C$3:C$121,'DISPATCH SHEET'!#REF!,""))</f>
        <v/>
      </c>
    </row>
    <row r="3473" spans="2:3" x14ac:dyDescent="0.2">
      <c r="B3473" s="14" t="str">
        <f>IF(A3473="","",_xlfn.XLOOKUP(A3473,'DISPATCH SHEET'!B$3:B$121,'DISPATCH SHEET'!C$3:C$121,""))</f>
        <v/>
      </c>
      <c r="C3473" s="14" t="str">
        <f>IF(ISBLANK(A3473),"",_xlfn.XLOOKUP(A3473,'DISPATCH SHEET'!C$3:C$121,'DISPATCH SHEET'!#REF!,""))</f>
        <v/>
      </c>
    </row>
    <row r="3474" spans="2:3" x14ac:dyDescent="0.2">
      <c r="B3474" s="14" t="str">
        <f>IF(A3474="","",_xlfn.XLOOKUP(A3474,'DISPATCH SHEET'!B$3:B$121,'DISPATCH SHEET'!C$3:C$121,""))</f>
        <v/>
      </c>
      <c r="C3474" s="14" t="str">
        <f>IF(ISBLANK(A3474),"",_xlfn.XLOOKUP(A3474,'DISPATCH SHEET'!C$3:C$121,'DISPATCH SHEET'!#REF!,""))</f>
        <v/>
      </c>
    </row>
    <row r="3475" spans="2:3" x14ac:dyDescent="0.2">
      <c r="B3475" s="14" t="str">
        <f>IF(A3475="","",_xlfn.XLOOKUP(A3475,'DISPATCH SHEET'!B$3:B$121,'DISPATCH SHEET'!C$3:C$121,""))</f>
        <v/>
      </c>
      <c r="C3475" s="14" t="str">
        <f>IF(ISBLANK(A3475),"",_xlfn.XLOOKUP(A3475,'DISPATCH SHEET'!C$3:C$121,'DISPATCH SHEET'!#REF!,""))</f>
        <v/>
      </c>
    </row>
    <row r="3476" spans="2:3" x14ac:dyDescent="0.2">
      <c r="B3476" s="14" t="str">
        <f>IF(A3476="","",_xlfn.XLOOKUP(A3476,'DISPATCH SHEET'!B$3:B$121,'DISPATCH SHEET'!C$3:C$121,""))</f>
        <v/>
      </c>
      <c r="C3476" s="14" t="str">
        <f>IF(ISBLANK(A3476),"",_xlfn.XLOOKUP(A3476,'DISPATCH SHEET'!C$3:C$121,'DISPATCH SHEET'!#REF!,""))</f>
        <v/>
      </c>
    </row>
    <row r="3477" spans="2:3" x14ac:dyDescent="0.2">
      <c r="B3477" s="14" t="str">
        <f>IF(A3477="","",_xlfn.XLOOKUP(A3477,'DISPATCH SHEET'!B$3:B$121,'DISPATCH SHEET'!C$3:C$121,""))</f>
        <v/>
      </c>
      <c r="C3477" s="14" t="str">
        <f>IF(ISBLANK(A3477),"",_xlfn.XLOOKUP(A3477,'DISPATCH SHEET'!C$3:C$121,'DISPATCH SHEET'!#REF!,""))</f>
        <v/>
      </c>
    </row>
    <row r="3478" spans="2:3" x14ac:dyDescent="0.2">
      <c r="B3478" s="14" t="str">
        <f>IF(A3478="","",_xlfn.XLOOKUP(A3478,'DISPATCH SHEET'!B$3:B$121,'DISPATCH SHEET'!C$3:C$121,""))</f>
        <v/>
      </c>
      <c r="C3478" s="14" t="str">
        <f>IF(ISBLANK(A3478),"",_xlfn.XLOOKUP(A3478,'DISPATCH SHEET'!C$3:C$121,'DISPATCH SHEET'!#REF!,""))</f>
        <v/>
      </c>
    </row>
    <row r="3479" spans="2:3" x14ac:dyDescent="0.2">
      <c r="B3479" s="14" t="str">
        <f>IF(A3479="","",_xlfn.XLOOKUP(A3479,'DISPATCH SHEET'!B$3:B$121,'DISPATCH SHEET'!C$3:C$121,""))</f>
        <v/>
      </c>
      <c r="C3479" s="14" t="str">
        <f>IF(ISBLANK(A3479),"",_xlfn.XLOOKUP(A3479,'DISPATCH SHEET'!C$3:C$121,'DISPATCH SHEET'!#REF!,""))</f>
        <v/>
      </c>
    </row>
    <row r="3480" spans="2:3" x14ac:dyDescent="0.2">
      <c r="B3480" s="14" t="str">
        <f>IF(A3480="","",_xlfn.XLOOKUP(A3480,'DISPATCH SHEET'!B$3:B$121,'DISPATCH SHEET'!C$3:C$121,""))</f>
        <v/>
      </c>
      <c r="C3480" s="14" t="str">
        <f>IF(ISBLANK(A3480),"",_xlfn.XLOOKUP(A3480,'DISPATCH SHEET'!C$3:C$121,'DISPATCH SHEET'!#REF!,""))</f>
        <v/>
      </c>
    </row>
    <row r="3481" spans="2:3" x14ac:dyDescent="0.2">
      <c r="B3481" s="14" t="str">
        <f>IF(A3481="","",_xlfn.XLOOKUP(A3481,'DISPATCH SHEET'!B$3:B$121,'DISPATCH SHEET'!C$3:C$121,""))</f>
        <v/>
      </c>
      <c r="C3481" s="14" t="str">
        <f>IF(ISBLANK(A3481),"",_xlfn.XLOOKUP(A3481,'DISPATCH SHEET'!C$3:C$121,'DISPATCH SHEET'!#REF!,""))</f>
        <v/>
      </c>
    </row>
    <row r="3482" spans="2:3" x14ac:dyDescent="0.2">
      <c r="B3482" s="14" t="str">
        <f>IF(A3482="","",_xlfn.XLOOKUP(A3482,'DISPATCH SHEET'!B$3:B$121,'DISPATCH SHEET'!C$3:C$121,""))</f>
        <v/>
      </c>
      <c r="C3482" s="14" t="str">
        <f>IF(ISBLANK(A3482),"",_xlfn.XLOOKUP(A3482,'DISPATCH SHEET'!C$3:C$121,'DISPATCH SHEET'!#REF!,""))</f>
        <v/>
      </c>
    </row>
    <row r="3483" spans="2:3" x14ac:dyDescent="0.2">
      <c r="B3483" s="14" t="str">
        <f>IF(A3483="","",_xlfn.XLOOKUP(A3483,'DISPATCH SHEET'!B$3:B$121,'DISPATCH SHEET'!C$3:C$121,""))</f>
        <v/>
      </c>
      <c r="C3483" s="14" t="str">
        <f>IF(ISBLANK(A3483),"",_xlfn.XLOOKUP(A3483,'DISPATCH SHEET'!C$3:C$121,'DISPATCH SHEET'!#REF!,""))</f>
        <v/>
      </c>
    </row>
    <row r="3484" spans="2:3" x14ac:dyDescent="0.2">
      <c r="B3484" s="14" t="str">
        <f>IF(A3484="","",_xlfn.XLOOKUP(A3484,'DISPATCH SHEET'!B$3:B$121,'DISPATCH SHEET'!C$3:C$121,""))</f>
        <v/>
      </c>
      <c r="C3484" s="14" t="str">
        <f>IF(ISBLANK(A3484),"",_xlfn.XLOOKUP(A3484,'DISPATCH SHEET'!C$3:C$121,'DISPATCH SHEET'!#REF!,""))</f>
        <v/>
      </c>
    </row>
    <row r="3485" spans="2:3" x14ac:dyDescent="0.2">
      <c r="B3485" s="14" t="str">
        <f>IF(A3485="","",_xlfn.XLOOKUP(A3485,'DISPATCH SHEET'!B$3:B$121,'DISPATCH SHEET'!C$3:C$121,""))</f>
        <v/>
      </c>
      <c r="C3485" s="14" t="str">
        <f>IF(ISBLANK(A3485),"",_xlfn.XLOOKUP(A3485,'DISPATCH SHEET'!C$3:C$121,'DISPATCH SHEET'!#REF!,""))</f>
        <v/>
      </c>
    </row>
    <row r="3486" spans="2:3" x14ac:dyDescent="0.2">
      <c r="B3486" s="14" t="str">
        <f>IF(A3486="","",_xlfn.XLOOKUP(A3486,'DISPATCH SHEET'!B$3:B$121,'DISPATCH SHEET'!C$3:C$121,""))</f>
        <v/>
      </c>
      <c r="C3486" s="14" t="str">
        <f>IF(ISBLANK(A3486),"",_xlfn.XLOOKUP(A3486,'DISPATCH SHEET'!C$3:C$121,'DISPATCH SHEET'!#REF!,""))</f>
        <v/>
      </c>
    </row>
    <row r="3487" spans="2:3" x14ac:dyDescent="0.2">
      <c r="B3487" s="14" t="str">
        <f>IF(A3487="","",_xlfn.XLOOKUP(A3487,'DISPATCH SHEET'!B$3:B$121,'DISPATCH SHEET'!C$3:C$121,""))</f>
        <v/>
      </c>
      <c r="C3487" s="14" t="str">
        <f>IF(ISBLANK(A3487),"",_xlfn.XLOOKUP(A3487,'DISPATCH SHEET'!C$3:C$121,'DISPATCH SHEET'!#REF!,""))</f>
        <v/>
      </c>
    </row>
    <row r="3488" spans="2:3" x14ac:dyDescent="0.2">
      <c r="B3488" s="14" t="str">
        <f>IF(A3488="","",_xlfn.XLOOKUP(A3488,'DISPATCH SHEET'!B$3:B$121,'DISPATCH SHEET'!C$3:C$121,""))</f>
        <v/>
      </c>
      <c r="C3488" s="14" t="str">
        <f>IF(ISBLANK(A3488),"",_xlfn.XLOOKUP(A3488,'DISPATCH SHEET'!C$3:C$121,'DISPATCH SHEET'!#REF!,""))</f>
        <v/>
      </c>
    </row>
    <row r="3489" spans="2:3" x14ac:dyDescent="0.2">
      <c r="B3489" s="14" t="str">
        <f>IF(A3489="","",_xlfn.XLOOKUP(A3489,'DISPATCH SHEET'!B$3:B$121,'DISPATCH SHEET'!C$3:C$121,""))</f>
        <v/>
      </c>
      <c r="C3489" s="14" t="str">
        <f>IF(ISBLANK(A3489),"",_xlfn.XLOOKUP(A3489,'DISPATCH SHEET'!C$3:C$121,'DISPATCH SHEET'!#REF!,""))</f>
        <v/>
      </c>
    </row>
    <row r="3490" spans="2:3" x14ac:dyDescent="0.2">
      <c r="B3490" s="14" t="str">
        <f>IF(A3490="","",_xlfn.XLOOKUP(A3490,'DISPATCH SHEET'!B$3:B$121,'DISPATCH SHEET'!C$3:C$121,""))</f>
        <v/>
      </c>
      <c r="C3490" s="14" t="str">
        <f>IF(ISBLANK(A3490),"",_xlfn.XLOOKUP(A3490,'DISPATCH SHEET'!C$3:C$121,'DISPATCH SHEET'!#REF!,""))</f>
        <v/>
      </c>
    </row>
    <row r="3491" spans="2:3" x14ac:dyDescent="0.2">
      <c r="B3491" s="14" t="str">
        <f>IF(A3491="","",_xlfn.XLOOKUP(A3491,'DISPATCH SHEET'!B$3:B$121,'DISPATCH SHEET'!C$3:C$121,""))</f>
        <v/>
      </c>
      <c r="C3491" s="14" t="str">
        <f>IF(ISBLANK(A3491),"",_xlfn.XLOOKUP(A3491,'DISPATCH SHEET'!C$3:C$121,'DISPATCH SHEET'!#REF!,""))</f>
        <v/>
      </c>
    </row>
    <row r="3492" spans="2:3" x14ac:dyDescent="0.2">
      <c r="B3492" s="14" t="str">
        <f>IF(A3492="","",_xlfn.XLOOKUP(A3492,'DISPATCH SHEET'!B$3:B$121,'DISPATCH SHEET'!C$3:C$121,""))</f>
        <v/>
      </c>
      <c r="C3492" s="14" t="str">
        <f>IF(ISBLANK(A3492),"",_xlfn.XLOOKUP(A3492,'DISPATCH SHEET'!C$3:C$121,'DISPATCH SHEET'!#REF!,""))</f>
        <v/>
      </c>
    </row>
    <row r="3493" spans="2:3" x14ac:dyDescent="0.2">
      <c r="B3493" s="14" t="str">
        <f>IF(A3493="","",_xlfn.XLOOKUP(A3493,'DISPATCH SHEET'!B$3:B$121,'DISPATCH SHEET'!C$3:C$121,""))</f>
        <v/>
      </c>
      <c r="C3493" s="14" t="str">
        <f>IF(ISBLANK(A3493),"",_xlfn.XLOOKUP(A3493,'DISPATCH SHEET'!C$3:C$121,'DISPATCH SHEET'!#REF!,""))</f>
        <v/>
      </c>
    </row>
    <row r="3494" spans="2:3" x14ac:dyDescent="0.2">
      <c r="B3494" s="14" t="str">
        <f>IF(A3494="","",_xlfn.XLOOKUP(A3494,'DISPATCH SHEET'!B$3:B$121,'DISPATCH SHEET'!C$3:C$121,""))</f>
        <v/>
      </c>
      <c r="C3494" s="14" t="str">
        <f>IF(ISBLANK(A3494),"",_xlfn.XLOOKUP(A3494,'DISPATCH SHEET'!C$3:C$121,'DISPATCH SHEET'!#REF!,""))</f>
        <v/>
      </c>
    </row>
    <row r="3495" spans="2:3" x14ac:dyDescent="0.2">
      <c r="B3495" s="14" t="str">
        <f>IF(A3495="","",_xlfn.XLOOKUP(A3495,'DISPATCH SHEET'!B$3:B$121,'DISPATCH SHEET'!C$3:C$121,""))</f>
        <v/>
      </c>
      <c r="C3495" s="14" t="str">
        <f>IF(ISBLANK(A3495),"",_xlfn.XLOOKUP(A3495,'DISPATCH SHEET'!C$3:C$121,'DISPATCH SHEET'!#REF!,""))</f>
        <v/>
      </c>
    </row>
    <row r="3496" spans="2:3" x14ac:dyDescent="0.2">
      <c r="B3496" s="14" t="str">
        <f>IF(A3496="","",_xlfn.XLOOKUP(A3496,'DISPATCH SHEET'!B$3:B$121,'DISPATCH SHEET'!C$3:C$121,""))</f>
        <v/>
      </c>
      <c r="C3496" s="14" t="str">
        <f>IF(ISBLANK(A3496),"",_xlfn.XLOOKUP(A3496,'DISPATCH SHEET'!C$3:C$121,'DISPATCH SHEET'!#REF!,""))</f>
        <v/>
      </c>
    </row>
    <row r="3497" spans="2:3" x14ac:dyDescent="0.2">
      <c r="B3497" s="14" t="str">
        <f>IF(A3497="","",_xlfn.XLOOKUP(A3497,'DISPATCH SHEET'!B$3:B$121,'DISPATCH SHEET'!C$3:C$121,""))</f>
        <v/>
      </c>
      <c r="C3497" s="14" t="str">
        <f>IF(ISBLANK(A3497),"",_xlfn.XLOOKUP(A3497,'DISPATCH SHEET'!C$3:C$121,'DISPATCH SHEET'!#REF!,""))</f>
        <v/>
      </c>
    </row>
    <row r="3498" spans="2:3" x14ac:dyDescent="0.2">
      <c r="B3498" s="14" t="str">
        <f>IF(A3498="","",_xlfn.XLOOKUP(A3498,'DISPATCH SHEET'!B$3:B$121,'DISPATCH SHEET'!C$3:C$121,""))</f>
        <v/>
      </c>
      <c r="C3498" s="14" t="str">
        <f>IF(ISBLANK(A3498),"",_xlfn.XLOOKUP(A3498,'DISPATCH SHEET'!C$3:C$121,'DISPATCH SHEET'!#REF!,""))</f>
        <v/>
      </c>
    </row>
    <row r="3499" spans="2:3" x14ac:dyDescent="0.2">
      <c r="B3499" s="14" t="str">
        <f>IF(A3499="","",_xlfn.XLOOKUP(A3499,'DISPATCH SHEET'!B$3:B$121,'DISPATCH SHEET'!C$3:C$121,""))</f>
        <v/>
      </c>
      <c r="C3499" s="14" t="str">
        <f>IF(ISBLANK(A3499),"",_xlfn.XLOOKUP(A3499,'DISPATCH SHEET'!C$3:C$121,'DISPATCH SHEET'!#REF!,""))</f>
        <v/>
      </c>
    </row>
    <row r="3500" spans="2:3" x14ac:dyDescent="0.2">
      <c r="B3500" s="14" t="str">
        <f>IF(A3500="","",_xlfn.XLOOKUP(A3500,'DISPATCH SHEET'!B$3:B$121,'DISPATCH SHEET'!C$3:C$121,""))</f>
        <v/>
      </c>
      <c r="C3500" s="14" t="str">
        <f>IF(ISBLANK(A3500),"",_xlfn.XLOOKUP(A3500,'DISPATCH SHEET'!C$3:C$121,'DISPATCH SHEET'!#REF!,""))</f>
        <v/>
      </c>
    </row>
    <row r="3501" spans="2:3" x14ac:dyDescent="0.2">
      <c r="B3501" s="14" t="str">
        <f>IF(A3501="","",_xlfn.XLOOKUP(A3501,'DISPATCH SHEET'!B$3:B$121,'DISPATCH SHEET'!C$3:C$121,""))</f>
        <v/>
      </c>
      <c r="C3501" s="14" t="str">
        <f>IF(ISBLANK(A3501),"",_xlfn.XLOOKUP(A3501,'DISPATCH SHEET'!C$3:C$121,'DISPATCH SHEET'!#REF!,""))</f>
        <v/>
      </c>
    </row>
    <row r="3502" spans="2:3" x14ac:dyDescent="0.2">
      <c r="B3502" s="14" t="str">
        <f>IF(A3502="","",_xlfn.XLOOKUP(A3502,'DISPATCH SHEET'!B$3:B$121,'DISPATCH SHEET'!C$3:C$121,""))</f>
        <v/>
      </c>
      <c r="C3502" s="14" t="str">
        <f>IF(ISBLANK(A3502),"",_xlfn.XLOOKUP(A3502,'DISPATCH SHEET'!C$3:C$121,'DISPATCH SHEET'!#REF!,""))</f>
        <v/>
      </c>
    </row>
    <row r="3503" spans="2:3" x14ac:dyDescent="0.2">
      <c r="B3503" s="14" t="str">
        <f>IF(A3503="","",_xlfn.XLOOKUP(A3503,'DISPATCH SHEET'!B$3:B$121,'DISPATCH SHEET'!C$3:C$121,""))</f>
        <v/>
      </c>
      <c r="C3503" s="14" t="str">
        <f>IF(ISBLANK(A3503),"",_xlfn.XLOOKUP(A3503,'DISPATCH SHEET'!C$3:C$121,'DISPATCH SHEET'!#REF!,""))</f>
        <v/>
      </c>
    </row>
    <row r="3504" spans="2:3" x14ac:dyDescent="0.2">
      <c r="B3504" s="14" t="str">
        <f>IF(A3504="","",_xlfn.XLOOKUP(A3504,'DISPATCH SHEET'!B$3:B$121,'DISPATCH SHEET'!C$3:C$121,""))</f>
        <v/>
      </c>
      <c r="C3504" s="14" t="str">
        <f>IF(ISBLANK(A3504),"",_xlfn.XLOOKUP(A3504,'DISPATCH SHEET'!C$3:C$121,'DISPATCH SHEET'!#REF!,""))</f>
        <v/>
      </c>
    </row>
    <row r="3505" spans="2:3" x14ac:dyDescent="0.2">
      <c r="B3505" s="14" t="str">
        <f>IF(A3505="","",_xlfn.XLOOKUP(A3505,'DISPATCH SHEET'!B$3:B$121,'DISPATCH SHEET'!C$3:C$121,""))</f>
        <v/>
      </c>
      <c r="C3505" s="14" t="str">
        <f>IF(ISBLANK(A3505),"",_xlfn.XLOOKUP(A3505,'DISPATCH SHEET'!C$3:C$121,'DISPATCH SHEET'!#REF!,""))</f>
        <v/>
      </c>
    </row>
    <row r="3506" spans="2:3" x14ac:dyDescent="0.2">
      <c r="B3506" s="14" t="str">
        <f>IF(A3506="","",_xlfn.XLOOKUP(A3506,'DISPATCH SHEET'!B$3:B$121,'DISPATCH SHEET'!C$3:C$121,""))</f>
        <v/>
      </c>
      <c r="C3506" s="14" t="str">
        <f>IF(ISBLANK(A3506),"",_xlfn.XLOOKUP(A3506,'DISPATCH SHEET'!C$3:C$121,'DISPATCH SHEET'!#REF!,""))</f>
        <v/>
      </c>
    </row>
    <row r="3507" spans="2:3" x14ac:dyDescent="0.2">
      <c r="B3507" s="14" t="str">
        <f>IF(A3507="","",_xlfn.XLOOKUP(A3507,'DISPATCH SHEET'!B$3:B$121,'DISPATCH SHEET'!C$3:C$121,""))</f>
        <v/>
      </c>
      <c r="C3507" s="14" t="str">
        <f>IF(ISBLANK(A3507),"",_xlfn.XLOOKUP(A3507,'DISPATCH SHEET'!C$3:C$121,'DISPATCH SHEET'!#REF!,""))</f>
        <v/>
      </c>
    </row>
    <row r="3508" spans="2:3" x14ac:dyDescent="0.2">
      <c r="B3508" s="14" t="str">
        <f>IF(A3508="","",_xlfn.XLOOKUP(A3508,'DISPATCH SHEET'!B$3:B$121,'DISPATCH SHEET'!C$3:C$121,""))</f>
        <v/>
      </c>
      <c r="C3508" s="14" t="str">
        <f>IF(ISBLANK(A3508),"",_xlfn.XLOOKUP(A3508,'DISPATCH SHEET'!C$3:C$121,'DISPATCH SHEET'!#REF!,""))</f>
        <v/>
      </c>
    </row>
    <row r="3509" spans="2:3" x14ac:dyDescent="0.2">
      <c r="B3509" s="14" t="str">
        <f>IF(A3509="","",_xlfn.XLOOKUP(A3509,'DISPATCH SHEET'!B$3:B$121,'DISPATCH SHEET'!C$3:C$121,""))</f>
        <v/>
      </c>
      <c r="C3509" s="14" t="str">
        <f>IF(ISBLANK(A3509),"",_xlfn.XLOOKUP(A3509,'DISPATCH SHEET'!C$3:C$121,'DISPATCH SHEET'!#REF!,""))</f>
        <v/>
      </c>
    </row>
    <row r="3510" spans="2:3" x14ac:dyDescent="0.2">
      <c r="B3510" s="14" t="str">
        <f>IF(A3510="","",_xlfn.XLOOKUP(A3510,'DISPATCH SHEET'!B$3:B$121,'DISPATCH SHEET'!C$3:C$121,""))</f>
        <v/>
      </c>
      <c r="C3510" s="14" t="str">
        <f>IF(ISBLANK(A3510),"",_xlfn.XLOOKUP(A3510,'DISPATCH SHEET'!C$3:C$121,'DISPATCH SHEET'!#REF!,""))</f>
        <v/>
      </c>
    </row>
    <row r="3511" spans="2:3" x14ac:dyDescent="0.2">
      <c r="B3511" s="14" t="str">
        <f>IF(A3511="","",_xlfn.XLOOKUP(A3511,'DISPATCH SHEET'!B$3:B$121,'DISPATCH SHEET'!C$3:C$121,""))</f>
        <v/>
      </c>
      <c r="C3511" s="14" t="str">
        <f>IF(ISBLANK(A3511),"",_xlfn.XLOOKUP(A3511,'DISPATCH SHEET'!C$3:C$121,'DISPATCH SHEET'!#REF!,""))</f>
        <v/>
      </c>
    </row>
    <row r="3512" spans="2:3" x14ac:dyDescent="0.2">
      <c r="B3512" s="14" t="str">
        <f>IF(A3512="","",_xlfn.XLOOKUP(A3512,'DISPATCH SHEET'!B$3:B$121,'DISPATCH SHEET'!C$3:C$121,""))</f>
        <v/>
      </c>
      <c r="C3512" s="14" t="str">
        <f>IF(ISBLANK(A3512),"",_xlfn.XLOOKUP(A3512,'DISPATCH SHEET'!C$3:C$121,'DISPATCH SHEET'!#REF!,""))</f>
        <v/>
      </c>
    </row>
    <row r="3513" spans="2:3" x14ac:dyDescent="0.2">
      <c r="B3513" s="14" t="str">
        <f>IF(A3513="","",_xlfn.XLOOKUP(A3513,'DISPATCH SHEET'!B$3:B$121,'DISPATCH SHEET'!C$3:C$121,""))</f>
        <v/>
      </c>
      <c r="C3513" s="14" t="str">
        <f>IF(ISBLANK(A3513),"",_xlfn.XLOOKUP(A3513,'DISPATCH SHEET'!C$3:C$121,'DISPATCH SHEET'!#REF!,""))</f>
        <v/>
      </c>
    </row>
    <row r="3514" spans="2:3" x14ac:dyDescent="0.2">
      <c r="B3514" s="14" t="str">
        <f>IF(A3514="","",_xlfn.XLOOKUP(A3514,'DISPATCH SHEET'!B$3:B$121,'DISPATCH SHEET'!C$3:C$121,""))</f>
        <v/>
      </c>
      <c r="C3514" s="14" t="str">
        <f>IF(ISBLANK(A3514),"",_xlfn.XLOOKUP(A3514,'DISPATCH SHEET'!C$3:C$121,'DISPATCH SHEET'!#REF!,""))</f>
        <v/>
      </c>
    </row>
    <row r="3515" spans="2:3" x14ac:dyDescent="0.2">
      <c r="B3515" s="14" t="str">
        <f>IF(A3515="","",_xlfn.XLOOKUP(A3515,'DISPATCH SHEET'!B$3:B$121,'DISPATCH SHEET'!C$3:C$121,""))</f>
        <v/>
      </c>
      <c r="C3515" s="14" t="str">
        <f>IF(ISBLANK(A3515),"",_xlfn.XLOOKUP(A3515,'DISPATCH SHEET'!C$3:C$121,'DISPATCH SHEET'!#REF!,""))</f>
        <v/>
      </c>
    </row>
    <row r="3516" spans="2:3" x14ac:dyDescent="0.2">
      <c r="B3516" s="14" t="str">
        <f>IF(A3516="","",_xlfn.XLOOKUP(A3516,'DISPATCH SHEET'!B$3:B$121,'DISPATCH SHEET'!C$3:C$121,""))</f>
        <v/>
      </c>
      <c r="C3516" s="14" t="str">
        <f>IF(ISBLANK(A3516),"",_xlfn.XLOOKUP(A3516,'DISPATCH SHEET'!C$3:C$121,'DISPATCH SHEET'!#REF!,""))</f>
        <v/>
      </c>
    </row>
    <row r="3517" spans="2:3" x14ac:dyDescent="0.2">
      <c r="B3517" s="14" t="str">
        <f>IF(A3517="","",_xlfn.XLOOKUP(A3517,'DISPATCH SHEET'!B$3:B$121,'DISPATCH SHEET'!C$3:C$121,""))</f>
        <v/>
      </c>
      <c r="C3517" s="14" t="str">
        <f>IF(ISBLANK(A3517),"",_xlfn.XLOOKUP(A3517,'DISPATCH SHEET'!C$3:C$121,'DISPATCH SHEET'!#REF!,""))</f>
        <v/>
      </c>
    </row>
    <row r="3518" spans="2:3" x14ac:dyDescent="0.2">
      <c r="B3518" s="14" t="str">
        <f>IF(A3518="","",_xlfn.XLOOKUP(A3518,'DISPATCH SHEET'!B$3:B$121,'DISPATCH SHEET'!C$3:C$121,""))</f>
        <v/>
      </c>
      <c r="C3518" s="14" t="str">
        <f>IF(ISBLANK(A3518),"",_xlfn.XLOOKUP(A3518,'DISPATCH SHEET'!C$3:C$121,'DISPATCH SHEET'!#REF!,""))</f>
        <v/>
      </c>
    </row>
    <row r="3519" spans="2:3" x14ac:dyDescent="0.2">
      <c r="B3519" s="14" t="str">
        <f>IF(A3519="","",_xlfn.XLOOKUP(A3519,'DISPATCH SHEET'!B$3:B$121,'DISPATCH SHEET'!C$3:C$121,""))</f>
        <v/>
      </c>
      <c r="C3519" s="14" t="str">
        <f>IF(ISBLANK(A3519),"",_xlfn.XLOOKUP(A3519,'DISPATCH SHEET'!C$3:C$121,'DISPATCH SHEET'!#REF!,""))</f>
        <v/>
      </c>
    </row>
    <row r="3520" spans="2:3" x14ac:dyDescent="0.2">
      <c r="B3520" s="14" t="str">
        <f>IF(A3520="","",_xlfn.XLOOKUP(A3520,'DISPATCH SHEET'!B$3:B$121,'DISPATCH SHEET'!C$3:C$121,""))</f>
        <v/>
      </c>
      <c r="C3520" s="14" t="str">
        <f>IF(ISBLANK(A3520),"",_xlfn.XLOOKUP(A3520,'DISPATCH SHEET'!C$3:C$121,'DISPATCH SHEET'!#REF!,""))</f>
        <v/>
      </c>
    </row>
    <row r="3521" spans="2:3" x14ac:dyDescent="0.2">
      <c r="B3521" s="14" t="str">
        <f>IF(A3521="","",_xlfn.XLOOKUP(A3521,'DISPATCH SHEET'!B$3:B$121,'DISPATCH SHEET'!C$3:C$121,""))</f>
        <v/>
      </c>
      <c r="C3521" s="14" t="str">
        <f>IF(ISBLANK(A3521),"",_xlfn.XLOOKUP(A3521,'DISPATCH SHEET'!C$3:C$121,'DISPATCH SHEET'!#REF!,""))</f>
        <v/>
      </c>
    </row>
    <row r="3522" spans="2:3" x14ac:dyDescent="0.2">
      <c r="B3522" s="14" t="str">
        <f>IF(A3522="","",_xlfn.XLOOKUP(A3522,'DISPATCH SHEET'!B$3:B$121,'DISPATCH SHEET'!C$3:C$121,""))</f>
        <v/>
      </c>
      <c r="C3522" s="14" t="str">
        <f>IF(ISBLANK(A3522),"",_xlfn.XLOOKUP(A3522,'DISPATCH SHEET'!C$3:C$121,'DISPATCH SHEET'!#REF!,""))</f>
        <v/>
      </c>
    </row>
    <row r="3523" spans="2:3" x14ac:dyDescent="0.2">
      <c r="B3523" s="14" t="str">
        <f>IF(A3523="","",_xlfn.XLOOKUP(A3523,'DISPATCH SHEET'!B$3:B$121,'DISPATCH SHEET'!C$3:C$121,""))</f>
        <v/>
      </c>
      <c r="C3523" s="14" t="str">
        <f>IF(ISBLANK(A3523),"",_xlfn.XLOOKUP(A3523,'DISPATCH SHEET'!C$3:C$121,'DISPATCH SHEET'!#REF!,""))</f>
        <v/>
      </c>
    </row>
    <row r="3524" spans="2:3" x14ac:dyDescent="0.2">
      <c r="B3524" s="14" t="str">
        <f>IF(A3524="","",_xlfn.XLOOKUP(A3524,'DISPATCH SHEET'!B$3:B$121,'DISPATCH SHEET'!C$3:C$121,""))</f>
        <v/>
      </c>
      <c r="C3524" s="14" t="str">
        <f>IF(ISBLANK(A3524),"",_xlfn.XLOOKUP(A3524,'DISPATCH SHEET'!C$3:C$121,'DISPATCH SHEET'!#REF!,""))</f>
        <v/>
      </c>
    </row>
    <row r="3525" spans="2:3" x14ac:dyDescent="0.2">
      <c r="B3525" s="14" t="str">
        <f>IF(A3525="","",_xlfn.XLOOKUP(A3525,'DISPATCH SHEET'!B$3:B$121,'DISPATCH SHEET'!C$3:C$121,""))</f>
        <v/>
      </c>
      <c r="C3525" s="14" t="str">
        <f>IF(ISBLANK(A3525),"",_xlfn.XLOOKUP(A3525,'DISPATCH SHEET'!C$3:C$121,'DISPATCH SHEET'!#REF!,""))</f>
        <v/>
      </c>
    </row>
    <row r="3526" spans="2:3" x14ac:dyDescent="0.2">
      <c r="B3526" s="14" t="str">
        <f>IF(A3526="","",_xlfn.XLOOKUP(A3526,'DISPATCH SHEET'!B$3:B$121,'DISPATCH SHEET'!C$3:C$121,""))</f>
        <v/>
      </c>
      <c r="C3526" s="14" t="str">
        <f>IF(ISBLANK(A3526),"",_xlfn.XLOOKUP(A3526,'DISPATCH SHEET'!C$3:C$121,'DISPATCH SHEET'!#REF!,""))</f>
        <v/>
      </c>
    </row>
    <row r="3527" spans="2:3" x14ac:dyDescent="0.2">
      <c r="B3527" s="14" t="str">
        <f>IF(A3527="","",_xlfn.XLOOKUP(A3527,'DISPATCH SHEET'!B$3:B$121,'DISPATCH SHEET'!C$3:C$121,""))</f>
        <v/>
      </c>
      <c r="C3527" s="14" t="str">
        <f>IF(ISBLANK(A3527),"",_xlfn.XLOOKUP(A3527,'DISPATCH SHEET'!C$3:C$121,'DISPATCH SHEET'!#REF!,""))</f>
        <v/>
      </c>
    </row>
    <row r="3528" spans="2:3" x14ac:dyDescent="0.2">
      <c r="B3528" s="14" t="str">
        <f>IF(A3528="","",_xlfn.XLOOKUP(A3528,'DISPATCH SHEET'!B$3:B$121,'DISPATCH SHEET'!C$3:C$121,""))</f>
        <v/>
      </c>
      <c r="C3528" s="14" t="str">
        <f>IF(ISBLANK(A3528),"",_xlfn.XLOOKUP(A3528,'DISPATCH SHEET'!C$3:C$121,'DISPATCH SHEET'!#REF!,""))</f>
        <v/>
      </c>
    </row>
    <row r="3529" spans="2:3" x14ac:dyDescent="0.2">
      <c r="B3529" s="14" t="str">
        <f>IF(A3529="","",_xlfn.XLOOKUP(A3529,'DISPATCH SHEET'!B$3:B$121,'DISPATCH SHEET'!C$3:C$121,""))</f>
        <v/>
      </c>
      <c r="C3529" s="14" t="str">
        <f>IF(ISBLANK(A3529),"",_xlfn.XLOOKUP(A3529,'DISPATCH SHEET'!C$3:C$121,'DISPATCH SHEET'!#REF!,""))</f>
        <v/>
      </c>
    </row>
    <row r="3530" spans="2:3" x14ac:dyDescent="0.2">
      <c r="B3530" s="14" t="str">
        <f>IF(A3530="","",_xlfn.XLOOKUP(A3530,'DISPATCH SHEET'!B$3:B$121,'DISPATCH SHEET'!C$3:C$121,""))</f>
        <v/>
      </c>
      <c r="C3530" s="14" t="str">
        <f>IF(ISBLANK(A3530),"",_xlfn.XLOOKUP(A3530,'DISPATCH SHEET'!C$3:C$121,'DISPATCH SHEET'!#REF!,""))</f>
        <v/>
      </c>
    </row>
    <row r="3531" spans="2:3" x14ac:dyDescent="0.2">
      <c r="B3531" s="14" t="str">
        <f>IF(A3531="","",_xlfn.XLOOKUP(A3531,'DISPATCH SHEET'!B$3:B$121,'DISPATCH SHEET'!C$3:C$121,""))</f>
        <v/>
      </c>
      <c r="C3531" s="14" t="str">
        <f>IF(ISBLANK(A3531),"",_xlfn.XLOOKUP(A3531,'DISPATCH SHEET'!C$3:C$121,'DISPATCH SHEET'!#REF!,""))</f>
        <v/>
      </c>
    </row>
    <row r="3532" spans="2:3" x14ac:dyDescent="0.2">
      <c r="B3532" s="14" t="str">
        <f>IF(A3532="","",_xlfn.XLOOKUP(A3532,'DISPATCH SHEET'!B$3:B$121,'DISPATCH SHEET'!C$3:C$121,""))</f>
        <v/>
      </c>
      <c r="C3532" s="14" t="str">
        <f>IF(ISBLANK(A3532),"",_xlfn.XLOOKUP(A3532,'DISPATCH SHEET'!C$3:C$121,'DISPATCH SHEET'!#REF!,""))</f>
        <v/>
      </c>
    </row>
    <row r="3533" spans="2:3" x14ac:dyDescent="0.2">
      <c r="B3533" s="14" t="str">
        <f>IF(A3533="","",_xlfn.XLOOKUP(A3533,'DISPATCH SHEET'!B$3:B$121,'DISPATCH SHEET'!C$3:C$121,""))</f>
        <v/>
      </c>
      <c r="C3533" s="14" t="str">
        <f>IF(ISBLANK(A3533),"",_xlfn.XLOOKUP(A3533,'DISPATCH SHEET'!C$3:C$121,'DISPATCH SHEET'!#REF!,""))</f>
        <v/>
      </c>
    </row>
    <row r="3534" spans="2:3" x14ac:dyDescent="0.2">
      <c r="B3534" s="14" t="str">
        <f>IF(A3534="","",_xlfn.XLOOKUP(A3534,'DISPATCH SHEET'!B$3:B$121,'DISPATCH SHEET'!C$3:C$121,""))</f>
        <v/>
      </c>
      <c r="C3534" s="14" t="str">
        <f>IF(ISBLANK(A3534),"",_xlfn.XLOOKUP(A3534,'DISPATCH SHEET'!C$3:C$121,'DISPATCH SHEET'!#REF!,""))</f>
        <v/>
      </c>
    </row>
    <row r="3535" spans="2:3" x14ac:dyDescent="0.2">
      <c r="B3535" s="14" t="str">
        <f>IF(A3535="","",_xlfn.XLOOKUP(A3535,'DISPATCH SHEET'!B$3:B$121,'DISPATCH SHEET'!C$3:C$121,""))</f>
        <v/>
      </c>
      <c r="C3535" s="14" t="str">
        <f>IF(ISBLANK(A3535),"",_xlfn.XLOOKUP(A3535,'DISPATCH SHEET'!C$3:C$121,'DISPATCH SHEET'!#REF!,""))</f>
        <v/>
      </c>
    </row>
    <row r="3536" spans="2:3" x14ac:dyDescent="0.2">
      <c r="B3536" s="14" t="str">
        <f>IF(A3536="","",_xlfn.XLOOKUP(A3536,'DISPATCH SHEET'!B$3:B$121,'DISPATCH SHEET'!C$3:C$121,""))</f>
        <v/>
      </c>
      <c r="C3536" s="14" t="str">
        <f>IF(ISBLANK(A3536),"",_xlfn.XLOOKUP(A3536,'DISPATCH SHEET'!C$3:C$121,'DISPATCH SHEET'!#REF!,""))</f>
        <v/>
      </c>
    </row>
    <row r="3537" spans="2:3" x14ac:dyDescent="0.2">
      <c r="B3537" s="14" t="str">
        <f>IF(A3537="","",_xlfn.XLOOKUP(A3537,'DISPATCH SHEET'!B$3:B$121,'DISPATCH SHEET'!C$3:C$121,""))</f>
        <v/>
      </c>
      <c r="C3537" s="14" t="str">
        <f>IF(ISBLANK(A3537),"",_xlfn.XLOOKUP(A3537,'DISPATCH SHEET'!C$3:C$121,'DISPATCH SHEET'!#REF!,""))</f>
        <v/>
      </c>
    </row>
    <row r="3538" spans="2:3" x14ac:dyDescent="0.2">
      <c r="B3538" s="14" t="str">
        <f>IF(A3538="","",_xlfn.XLOOKUP(A3538,'DISPATCH SHEET'!B$3:B$121,'DISPATCH SHEET'!C$3:C$121,""))</f>
        <v/>
      </c>
      <c r="C3538" s="14" t="str">
        <f>IF(ISBLANK(A3538),"",_xlfn.XLOOKUP(A3538,'DISPATCH SHEET'!C$3:C$121,'DISPATCH SHEET'!#REF!,""))</f>
        <v/>
      </c>
    </row>
    <row r="3539" spans="2:3" x14ac:dyDescent="0.2">
      <c r="B3539" s="14" t="str">
        <f>IF(A3539="","",_xlfn.XLOOKUP(A3539,'DISPATCH SHEET'!B$3:B$121,'DISPATCH SHEET'!C$3:C$121,""))</f>
        <v/>
      </c>
      <c r="C3539" s="14" t="str">
        <f>IF(ISBLANK(A3539),"",_xlfn.XLOOKUP(A3539,'DISPATCH SHEET'!C$3:C$121,'DISPATCH SHEET'!#REF!,""))</f>
        <v/>
      </c>
    </row>
    <row r="3540" spans="2:3" x14ac:dyDescent="0.2">
      <c r="B3540" s="14" t="str">
        <f>IF(A3540="","",_xlfn.XLOOKUP(A3540,'DISPATCH SHEET'!B$3:B$121,'DISPATCH SHEET'!C$3:C$121,""))</f>
        <v/>
      </c>
      <c r="C3540" s="14" t="str">
        <f>IF(ISBLANK(A3540),"",_xlfn.XLOOKUP(A3540,'DISPATCH SHEET'!C$3:C$121,'DISPATCH SHEET'!#REF!,""))</f>
        <v/>
      </c>
    </row>
    <row r="3541" spans="2:3" x14ac:dyDescent="0.2">
      <c r="B3541" s="14" t="str">
        <f>IF(A3541="","",_xlfn.XLOOKUP(A3541,'DISPATCH SHEET'!B$3:B$121,'DISPATCH SHEET'!C$3:C$121,""))</f>
        <v/>
      </c>
      <c r="C3541" s="14" t="str">
        <f>IF(ISBLANK(A3541),"",_xlfn.XLOOKUP(A3541,'DISPATCH SHEET'!C$3:C$121,'DISPATCH SHEET'!#REF!,""))</f>
        <v/>
      </c>
    </row>
    <row r="3542" spans="2:3" x14ac:dyDescent="0.2">
      <c r="B3542" s="14" t="str">
        <f>IF(A3542="","",_xlfn.XLOOKUP(A3542,'DISPATCH SHEET'!B$3:B$121,'DISPATCH SHEET'!C$3:C$121,""))</f>
        <v/>
      </c>
      <c r="C3542" s="14" t="str">
        <f>IF(ISBLANK(A3542),"",_xlfn.XLOOKUP(A3542,'DISPATCH SHEET'!C$3:C$121,'DISPATCH SHEET'!#REF!,""))</f>
        <v/>
      </c>
    </row>
    <row r="3543" spans="2:3" x14ac:dyDescent="0.2">
      <c r="B3543" s="14" t="str">
        <f>IF(A3543="","",_xlfn.XLOOKUP(A3543,'DISPATCH SHEET'!B$3:B$121,'DISPATCH SHEET'!C$3:C$121,""))</f>
        <v/>
      </c>
      <c r="C3543" s="14" t="str">
        <f>IF(ISBLANK(A3543),"",_xlfn.XLOOKUP(A3543,'DISPATCH SHEET'!C$3:C$121,'DISPATCH SHEET'!#REF!,""))</f>
        <v/>
      </c>
    </row>
    <row r="3544" spans="2:3" x14ac:dyDescent="0.2">
      <c r="B3544" s="14" t="str">
        <f>IF(A3544="","",_xlfn.XLOOKUP(A3544,'DISPATCH SHEET'!B$3:B$121,'DISPATCH SHEET'!C$3:C$121,""))</f>
        <v/>
      </c>
      <c r="C3544" s="14" t="str">
        <f>IF(ISBLANK(A3544),"",_xlfn.XLOOKUP(A3544,'DISPATCH SHEET'!C$3:C$121,'DISPATCH SHEET'!#REF!,""))</f>
        <v/>
      </c>
    </row>
    <row r="3545" spans="2:3" x14ac:dyDescent="0.2">
      <c r="B3545" s="14" t="str">
        <f>IF(A3545="","",_xlfn.XLOOKUP(A3545,'DISPATCH SHEET'!B$3:B$121,'DISPATCH SHEET'!C$3:C$121,""))</f>
        <v/>
      </c>
      <c r="C3545" s="14" t="str">
        <f>IF(ISBLANK(A3545),"",_xlfn.XLOOKUP(A3545,'DISPATCH SHEET'!C$3:C$121,'DISPATCH SHEET'!#REF!,""))</f>
        <v/>
      </c>
    </row>
    <row r="3546" spans="2:3" x14ac:dyDescent="0.2">
      <c r="B3546" s="14" t="str">
        <f>IF(A3546="","",_xlfn.XLOOKUP(A3546,'DISPATCH SHEET'!B$3:B$121,'DISPATCH SHEET'!C$3:C$121,""))</f>
        <v/>
      </c>
      <c r="C3546" s="14" t="str">
        <f>IF(ISBLANK(A3546),"",_xlfn.XLOOKUP(A3546,'DISPATCH SHEET'!C$3:C$121,'DISPATCH SHEET'!#REF!,""))</f>
        <v/>
      </c>
    </row>
    <row r="3547" spans="2:3" x14ac:dyDescent="0.2">
      <c r="B3547" s="14" t="str">
        <f>IF(A3547="","",_xlfn.XLOOKUP(A3547,'DISPATCH SHEET'!B$3:B$121,'DISPATCH SHEET'!C$3:C$121,""))</f>
        <v/>
      </c>
      <c r="C3547" s="14" t="str">
        <f>IF(ISBLANK(A3547),"",_xlfn.XLOOKUP(A3547,'DISPATCH SHEET'!C$3:C$121,'DISPATCH SHEET'!#REF!,""))</f>
        <v/>
      </c>
    </row>
    <row r="3548" spans="2:3" x14ac:dyDescent="0.2">
      <c r="B3548" s="14" t="str">
        <f>IF(A3548="","",_xlfn.XLOOKUP(A3548,'DISPATCH SHEET'!B$3:B$121,'DISPATCH SHEET'!C$3:C$121,""))</f>
        <v/>
      </c>
      <c r="C3548" s="14" t="str">
        <f>IF(ISBLANK(A3548),"",_xlfn.XLOOKUP(A3548,'DISPATCH SHEET'!C$3:C$121,'DISPATCH SHEET'!#REF!,""))</f>
        <v/>
      </c>
    </row>
    <row r="3549" spans="2:3" x14ac:dyDescent="0.2">
      <c r="B3549" s="14" t="str">
        <f>IF(A3549="","",_xlfn.XLOOKUP(A3549,'DISPATCH SHEET'!B$3:B$121,'DISPATCH SHEET'!C$3:C$121,""))</f>
        <v/>
      </c>
      <c r="C3549" s="14" t="str">
        <f>IF(ISBLANK(A3549),"",_xlfn.XLOOKUP(A3549,'DISPATCH SHEET'!C$3:C$121,'DISPATCH SHEET'!#REF!,""))</f>
        <v/>
      </c>
    </row>
    <row r="3550" spans="2:3" x14ac:dyDescent="0.2">
      <c r="B3550" s="14" t="str">
        <f>IF(A3550="","",_xlfn.XLOOKUP(A3550,'DISPATCH SHEET'!B$3:B$121,'DISPATCH SHEET'!C$3:C$121,""))</f>
        <v/>
      </c>
      <c r="C3550" s="14" t="str">
        <f>IF(ISBLANK(A3550),"",_xlfn.XLOOKUP(A3550,'DISPATCH SHEET'!C$3:C$121,'DISPATCH SHEET'!#REF!,""))</f>
        <v/>
      </c>
    </row>
    <row r="3551" spans="2:3" x14ac:dyDescent="0.2">
      <c r="B3551" s="14" t="str">
        <f>IF(A3551="","",_xlfn.XLOOKUP(A3551,'DISPATCH SHEET'!B$3:B$121,'DISPATCH SHEET'!C$3:C$121,""))</f>
        <v/>
      </c>
      <c r="C3551" s="14" t="str">
        <f>IF(ISBLANK(A3551),"",_xlfn.XLOOKUP(A3551,'DISPATCH SHEET'!C$3:C$121,'DISPATCH SHEET'!#REF!,""))</f>
        <v/>
      </c>
    </row>
    <row r="3552" spans="2:3" x14ac:dyDescent="0.2">
      <c r="B3552" s="14" t="str">
        <f>IF(A3552="","",_xlfn.XLOOKUP(A3552,'DISPATCH SHEET'!B$3:B$121,'DISPATCH SHEET'!C$3:C$121,""))</f>
        <v/>
      </c>
      <c r="C3552" s="14" t="str">
        <f>IF(ISBLANK(A3552),"",_xlfn.XLOOKUP(A3552,'DISPATCH SHEET'!C$3:C$121,'DISPATCH SHEET'!#REF!,""))</f>
        <v/>
      </c>
    </row>
    <row r="3553" spans="2:3" x14ac:dyDescent="0.2">
      <c r="B3553" s="14" t="str">
        <f>IF(A3553="","",_xlfn.XLOOKUP(A3553,'DISPATCH SHEET'!B$3:B$121,'DISPATCH SHEET'!C$3:C$121,""))</f>
        <v/>
      </c>
      <c r="C3553" s="14" t="str">
        <f>IF(ISBLANK(A3553),"",_xlfn.XLOOKUP(A3553,'DISPATCH SHEET'!C$3:C$121,'DISPATCH SHEET'!#REF!,""))</f>
        <v/>
      </c>
    </row>
    <row r="3554" spans="2:3" x14ac:dyDescent="0.2">
      <c r="B3554" s="14" t="str">
        <f>IF(A3554="","",_xlfn.XLOOKUP(A3554,'DISPATCH SHEET'!B$3:B$121,'DISPATCH SHEET'!C$3:C$121,""))</f>
        <v/>
      </c>
      <c r="C3554" s="14" t="str">
        <f>IF(ISBLANK(A3554),"",_xlfn.XLOOKUP(A3554,'DISPATCH SHEET'!C$3:C$121,'DISPATCH SHEET'!#REF!,""))</f>
        <v/>
      </c>
    </row>
    <row r="3555" spans="2:3" x14ac:dyDescent="0.2">
      <c r="B3555" s="14" t="str">
        <f>IF(A3555="","",_xlfn.XLOOKUP(A3555,'DISPATCH SHEET'!B$3:B$121,'DISPATCH SHEET'!C$3:C$121,""))</f>
        <v/>
      </c>
      <c r="C3555" s="14" t="str">
        <f>IF(ISBLANK(A3555),"",_xlfn.XLOOKUP(A3555,'DISPATCH SHEET'!C$3:C$121,'DISPATCH SHEET'!#REF!,""))</f>
        <v/>
      </c>
    </row>
    <row r="3556" spans="2:3" x14ac:dyDescent="0.2">
      <c r="B3556" s="14" t="str">
        <f>IF(A3556="","",_xlfn.XLOOKUP(A3556,'DISPATCH SHEET'!B$3:B$121,'DISPATCH SHEET'!C$3:C$121,""))</f>
        <v/>
      </c>
      <c r="C3556" s="14" t="str">
        <f>IF(ISBLANK(A3556),"",_xlfn.XLOOKUP(A3556,'DISPATCH SHEET'!C$3:C$121,'DISPATCH SHEET'!#REF!,""))</f>
        <v/>
      </c>
    </row>
    <row r="3557" spans="2:3" x14ac:dyDescent="0.2">
      <c r="B3557" s="14" t="str">
        <f>IF(A3557="","",_xlfn.XLOOKUP(A3557,'DISPATCH SHEET'!B$3:B$121,'DISPATCH SHEET'!C$3:C$121,""))</f>
        <v/>
      </c>
      <c r="C3557" s="14" t="str">
        <f>IF(ISBLANK(A3557),"",_xlfn.XLOOKUP(A3557,'DISPATCH SHEET'!C$3:C$121,'DISPATCH SHEET'!#REF!,""))</f>
        <v/>
      </c>
    </row>
    <row r="3558" spans="2:3" x14ac:dyDescent="0.2">
      <c r="B3558" s="14" t="str">
        <f>IF(A3558="","",_xlfn.XLOOKUP(A3558,'DISPATCH SHEET'!B$3:B$121,'DISPATCH SHEET'!C$3:C$121,""))</f>
        <v/>
      </c>
      <c r="C3558" s="14" t="str">
        <f>IF(ISBLANK(A3558),"",_xlfn.XLOOKUP(A3558,'DISPATCH SHEET'!C$3:C$121,'DISPATCH SHEET'!#REF!,""))</f>
        <v/>
      </c>
    </row>
    <row r="3559" spans="2:3" x14ac:dyDescent="0.2">
      <c r="B3559" s="14" t="str">
        <f>IF(A3559="","",_xlfn.XLOOKUP(A3559,'DISPATCH SHEET'!B$3:B$121,'DISPATCH SHEET'!C$3:C$121,""))</f>
        <v/>
      </c>
      <c r="C3559" s="14" t="str">
        <f>IF(ISBLANK(A3559),"",_xlfn.XLOOKUP(A3559,'DISPATCH SHEET'!C$3:C$121,'DISPATCH SHEET'!#REF!,""))</f>
        <v/>
      </c>
    </row>
    <row r="3560" spans="2:3" x14ac:dyDescent="0.2">
      <c r="B3560" s="14" t="str">
        <f>IF(A3560="","",_xlfn.XLOOKUP(A3560,'DISPATCH SHEET'!B$3:B$121,'DISPATCH SHEET'!C$3:C$121,""))</f>
        <v/>
      </c>
      <c r="C3560" s="14" t="str">
        <f>IF(ISBLANK(A3560),"",_xlfn.XLOOKUP(A3560,'DISPATCH SHEET'!C$3:C$121,'DISPATCH SHEET'!#REF!,""))</f>
        <v/>
      </c>
    </row>
    <row r="3561" spans="2:3" x14ac:dyDescent="0.2">
      <c r="B3561" s="14" t="str">
        <f>IF(A3561="","",_xlfn.XLOOKUP(A3561,'DISPATCH SHEET'!B$3:B$121,'DISPATCH SHEET'!C$3:C$121,""))</f>
        <v/>
      </c>
      <c r="C3561" s="14" t="str">
        <f>IF(ISBLANK(A3561),"",_xlfn.XLOOKUP(A3561,'DISPATCH SHEET'!C$3:C$121,'DISPATCH SHEET'!#REF!,""))</f>
        <v/>
      </c>
    </row>
    <row r="3562" spans="2:3" x14ac:dyDescent="0.2">
      <c r="B3562" s="14" t="str">
        <f>IF(A3562="","",_xlfn.XLOOKUP(A3562,'DISPATCH SHEET'!B$3:B$121,'DISPATCH SHEET'!C$3:C$121,""))</f>
        <v/>
      </c>
      <c r="C3562" s="14" t="str">
        <f>IF(ISBLANK(A3562),"",_xlfn.XLOOKUP(A3562,'DISPATCH SHEET'!C$3:C$121,'DISPATCH SHEET'!#REF!,""))</f>
        <v/>
      </c>
    </row>
    <row r="3563" spans="2:3" x14ac:dyDescent="0.2">
      <c r="B3563" s="14" t="str">
        <f>IF(A3563="","",_xlfn.XLOOKUP(A3563,'DISPATCH SHEET'!B$3:B$121,'DISPATCH SHEET'!C$3:C$121,""))</f>
        <v/>
      </c>
      <c r="C3563" s="14" t="str">
        <f>IF(ISBLANK(A3563),"",_xlfn.XLOOKUP(A3563,'DISPATCH SHEET'!C$3:C$121,'DISPATCH SHEET'!#REF!,""))</f>
        <v/>
      </c>
    </row>
    <row r="3564" spans="2:3" x14ac:dyDescent="0.2">
      <c r="B3564" s="14" t="str">
        <f>IF(A3564="","",_xlfn.XLOOKUP(A3564,'DISPATCH SHEET'!B$3:B$121,'DISPATCH SHEET'!C$3:C$121,""))</f>
        <v/>
      </c>
      <c r="C3564" s="14" t="str">
        <f>IF(ISBLANK(A3564),"",_xlfn.XLOOKUP(A3564,'DISPATCH SHEET'!C$3:C$121,'DISPATCH SHEET'!#REF!,""))</f>
        <v/>
      </c>
    </row>
    <row r="3565" spans="2:3" x14ac:dyDescent="0.2">
      <c r="B3565" s="14" t="str">
        <f>IF(A3565="","",_xlfn.XLOOKUP(A3565,'DISPATCH SHEET'!B$3:B$121,'DISPATCH SHEET'!C$3:C$121,""))</f>
        <v/>
      </c>
      <c r="C3565" s="14" t="str">
        <f>IF(ISBLANK(A3565),"",_xlfn.XLOOKUP(A3565,'DISPATCH SHEET'!C$3:C$121,'DISPATCH SHEET'!#REF!,""))</f>
        <v/>
      </c>
    </row>
    <row r="3566" spans="2:3" x14ac:dyDescent="0.2">
      <c r="B3566" s="14" t="str">
        <f>IF(A3566="","",_xlfn.XLOOKUP(A3566,'DISPATCH SHEET'!B$3:B$121,'DISPATCH SHEET'!C$3:C$121,""))</f>
        <v/>
      </c>
      <c r="C3566" s="14" t="str">
        <f>IF(ISBLANK(A3566),"",_xlfn.XLOOKUP(A3566,'DISPATCH SHEET'!C$3:C$121,'DISPATCH SHEET'!#REF!,""))</f>
        <v/>
      </c>
    </row>
    <row r="3567" spans="2:3" x14ac:dyDescent="0.2">
      <c r="B3567" s="14" t="str">
        <f>IF(A3567="","",_xlfn.XLOOKUP(A3567,'DISPATCH SHEET'!B$3:B$121,'DISPATCH SHEET'!C$3:C$121,""))</f>
        <v/>
      </c>
      <c r="C3567" s="14" t="str">
        <f>IF(ISBLANK(A3567),"",_xlfn.XLOOKUP(A3567,'DISPATCH SHEET'!C$3:C$121,'DISPATCH SHEET'!#REF!,""))</f>
        <v/>
      </c>
    </row>
    <row r="3568" spans="2:3" x14ac:dyDescent="0.2">
      <c r="B3568" s="14" t="str">
        <f>IF(A3568="","",_xlfn.XLOOKUP(A3568,'DISPATCH SHEET'!B$3:B$121,'DISPATCH SHEET'!C$3:C$121,""))</f>
        <v/>
      </c>
      <c r="C3568" s="14" t="str">
        <f>IF(ISBLANK(A3568),"",_xlfn.XLOOKUP(A3568,'DISPATCH SHEET'!C$3:C$121,'DISPATCH SHEET'!#REF!,""))</f>
        <v/>
      </c>
    </row>
    <row r="3569" spans="2:3" x14ac:dyDescent="0.2">
      <c r="B3569" s="14" t="str">
        <f>IF(A3569="","",_xlfn.XLOOKUP(A3569,'DISPATCH SHEET'!B$3:B$121,'DISPATCH SHEET'!C$3:C$121,""))</f>
        <v/>
      </c>
      <c r="C3569" s="14" t="str">
        <f>IF(ISBLANK(A3569),"",_xlfn.XLOOKUP(A3569,'DISPATCH SHEET'!C$3:C$121,'DISPATCH SHEET'!#REF!,""))</f>
        <v/>
      </c>
    </row>
    <row r="3570" spans="2:3" x14ac:dyDescent="0.2">
      <c r="B3570" s="14" t="str">
        <f>IF(A3570="","",_xlfn.XLOOKUP(A3570,'DISPATCH SHEET'!B$3:B$121,'DISPATCH SHEET'!C$3:C$121,""))</f>
        <v/>
      </c>
      <c r="C3570" s="14" t="str">
        <f>IF(ISBLANK(A3570),"",_xlfn.XLOOKUP(A3570,'DISPATCH SHEET'!C$3:C$121,'DISPATCH SHEET'!#REF!,""))</f>
        <v/>
      </c>
    </row>
    <row r="3571" spans="2:3" x14ac:dyDescent="0.2">
      <c r="B3571" s="14" t="str">
        <f>IF(A3571="","",_xlfn.XLOOKUP(A3571,'DISPATCH SHEET'!B$3:B$121,'DISPATCH SHEET'!C$3:C$121,""))</f>
        <v/>
      </c>
      <c r="C3571" s="14" t="str">
        <f>IF(ISBLANK(A3571),"",_xlfn.XLOOKUP(A3571,'DISPATCH SHEET'!C$3:C$121,'DISPATCH SHEET'!#REF!,""))</f>
        <v/>
      </c>
    </row>
    <row r="3572" spans="2:3" x14ac:dyDescent="0.2">
      <c r="B3572" s="14" t="str">
        <f>IF(A3572="","",_xlfn.XLOOKUP(A3572,'DISPATCH SHEET'!B$3:B$121,'DISPATCH SHEET'!C$3:C$121,""))</f>
        <v/>
      </c>
      <c r="C3572" s="14" t="str">
        <f>IF(ISBLANK(A3572),"",_xlfn.XLOOKUP(A3572,'DISPATCH SHEET'!C$3:C$121,'DISPATCH SHEET'!#REF!,""))</f>
        <v/>
      </c>
    </row>
    <row r="3573" spans="2:3" x14ac:dyDescent="0.2">
      <c r="B3573" s="14" t="str">
        <f>IF(A3573="","",_xlfn.XLOOKUP(A3573,'DISPATCH SHEET'!B$3:B$121,'DISPATCH SHEET'!C$3:C$121,""))</f>
        <v/>
      </c>
      <c r="C3573" s="14" t="str">
        <f>IF(ISBLANK(A3573),"",_xlfn.XLOOKUP(A3573,'DISPATCH SHEET'!C$3:C$121,'DISPATCH SHEET'!#REF!,""))</f>
        <v/>
      </c>
    </row>
    <row r="3574" spans="2:3" x14ac:dyDescent="0.2">
      <c r="B3574" s="14" t="str">
        <f>IF(A3574="","",_xlfn.XLOOKUP(A3574,'DISPATCH SHEET'!B$3:B$121,'DISPATCH SHEET'!C$3:C$121,""))</f>
        <v/>
      </c>
      <c r="C3574" s="14" t="str">
        <f>IF(ISBLANK(A3574),"",_xlfn.XLOOKUP(A3574,'DISPATCH SHEET'!C$3:C$121,'DISPATCH SHEET'!#REF!,""))</f>
        <v/>
      </c>
    </row>
    <row r="3575" spans="2:3" x14ac:dyDescent="0.2">
      <c r="B3575" s="14" t="str">
        <f>IF(A3575="","",_xlfn.XLOOKUP(A3575,'DISPATCH SHEET'!B$3:B$121,'DISPATCH SHEET'!C$3:C$121,""))</f>
        <v/>
      </c>
      <c r="C3575" s="14" t="str">
        <f>IF(ISBLANK(A3575),"",_xlfn.XLOOKUP(A3575,'DISPATCH SHEET'!C$3:C$121,'DISPATCH SHEET'!#REF!,""))</f>
        <v/>
      </c>
    </row>
    <row r="3576" spans="2:3" x14ac:dyDescent="0.2">
      <c r="B3576" s="14" t="str">
        <f>IF(A3576="","",_xlfn.XLOOKUP(A3576,'DISPATCH SHEET'!B$3:B$121,'DISPATCH SHEET'!C$3:C$121,""))</f>
        <v/>
      </c>
      <c r="C3576" s="14" t="str">
        <f>IF(ISBLANK(A3576),"",_xlfn.XLOOKUP(A3576,'DISPATCH SHEET'!C$3:C$121,'DISPATCH SHEET'!#REF!,""))</f>
        <v/>
      </c>
    </row>
    <row r="3577" spans="2:3" x14ac:dyDescent="0.2">
      <c r="B3577" s="14" t="str">
        <f>IF(A3577="","",_xlfn.XLOOKUP(A3577,'DISPATCH SHEET'!B$3:B$121,'DISPATCH SHEET'!C$3:C$121,""))</f>
        <v/>
      </c>
      <c r="C3577" s="14" t="str">
        <f>IF(ISBLANK(A3577),"",_xlfn.XLOOKUP(A3577,'DISPATCH SHEET'!C$3:C$121,'DISPATCH SHEET'!#REF!,""))</f>
        <v/>
      </c>
    </row>
    <row r="3578" spans="2:3" x14ac:dyDescent="0.2">
      <c r="B3578" s="14" t="str">
        <f>IF(A3578="","",_xlfn.XLOOKUP(A3578,'DISPATCH SHEET'!B$3:B$121,'DISPATCH SHEET'!C$3:C$121,""))</f>
        <v/>
      </c>
      <c r="C3578" s="14" t="str">
        <f>IF(ISBLANK(A3578),"",_xlfn.XLOOKUP(A3578,'DISPATCH SHEET'!C$3:C$121,'DISPATCH SHEET'!#REF!,""))</f>
        <v/>
      </c>
    </row>
    <row r="3579" spans="2:3" x14ac:dyDescent="0.2">
      <c r="B3579" s="14" t="str">
        <f>IF(A3579="","",_xlfn.XLOOKUP(A3579,'DISPATCH SHEET'!B$3:B$121,'DISPATCH SHEET'!C$3:C$121,""))</f>
        <v/>
      </c>
      <c r="C3579" s="14" t="str">
        <f>IF(ISBLANK(A3579),"",_xlfn.XLOOKUP(A3579,'DISPATCH SHEET'!C$3:C$121,'DISPATCH SHEET'!#REF!,""))</f>
        <v/>
      </c>
    </row>
    <row r="3580" spans="2:3" x14ac:dyDescent="0.2">
      <c r="B3580" s="14" t="str">
        <f>IF(A3580="","",_xlfn.XLOOKUP(A3580,'DISPATCH SHEET'!B$3:B$121,'DISPATCH SHEET'!C$3:C$121,""))</f>
        <v/>
      </c>
      <c r="C3580" s="14" t="str">
        <f>IF(ISBLANK(A3580),"",_xlfn.XLOOKUP(A3580,'DISPATCH SHEET'!C$3:C$121,'DISPATCH SHEET'!#REF!,""))</f>
        <v/>
      </c>
    </row>
    <row r="3581" spans="2:3" x14ac:dyDescent="0.2">
      <c r="B3581" s="14" t="str">
        <f>IF(A3581="","",_xlfn.XLOOKUP(A3581,'DISPATCH SHEET'!B$3:B$121,'DISPATCH SHEET'!C$3:C$121,""))</f>
        <v/>
      </c>
      <c r="C3581" s="14" t="str">
        <f>IF(ISBLANK(A3581),"",_xlfn.XLOOKUP(A3581,'DISPATCH SHEET'!C$3:C$121,'DISPATCH SHEET'!#REF!,""))</f>
        <v/>
      </c>
    </row>
    <row r="3582" spans="2:3" x14ac:dyDescent="0.2">
      <c r="B3582" s="14" t="str">
        <f>IF(A3582="","",_xlfn.XLOOKUP(A3582,'DISPATCH SHEET'!B$3:B$121,'DISPATCH SHEET'!C$3:C$121,""))</f>
        <v/>
      </c>
      <c r="C3582" s="14" t="str">
        <f>IF(ISBLANK(A3582),"",_xlfn.XLOOKUP(A3582,'DISPATCH SHEET'!C$3:C$121,'DISPATCH SHEET'!#REF!,""))</f>
        <v/>
      </c>
    </row>
    <row r="3583" spans="2:3" x14ac:dyDescent="0.2">
      <c r="B3583" s="14" t="str">
        <f>IF(A3583="","",_xlfn.XLOOKUP(A3583,'DISPATCH SHEET'!B$3:B$121,'DISPATCH SHEET'!C$3:C$121,""))</f>
        <v/>
      </c>
      <c r="C3583" s="14" t="str">
        <f>IF(ISBLANK(A3583),"",_xlfn.XLOOKUP(A3583,'DISPATCH SHEET'!C$3:C$121,'DISPATCH SHEET'!#REF!,""))</f>
        <v/>
      </c>
    </row>
    <row r="3584" spans="2:3" x14ac:dyDescent="0.2">
      <c r="B3584" s="14" t="str">
        <f>IF(A3584="","",_xlfn.XLOOKUP(A3584,'DISPATCH SHEET'!B$3:B$121,'DISPATCH SHEET'!C$3:C$121,""))</f>
        <v/>
      </c>
      <c r="C3584" s="14" t="str">
        <f>IF(ISBLANK(A3584),"",_xlfn.XLOOKUP(A3584,'DISPATCH SHEET'!C$3:C$121,'DISPATCH SHEET'!#REF!,""))</f>
        <v/>
      </c>
    </row>
    <row r="3585" spans="2:3" x14ac:dyDescent="0.2">
      <c r="B3585" s="14" t="str">
        <f>IF(A3585="","",_xlfn.XLOOKUP(A3585,'DISPATCH SHEET'!B$3:B$121,'DISPATCH SHEET'!C$3:C$121,""))</f>
        <v/>
      </c>
      <c r="C3585" s="14" t="str">
        <f>IF(ISBLANK(A3585),"",_xlfn.XLOOKUP(A3585,'DISPATCH SHEET'!C$3:C$121,'DISPATCH SHEET'!#REF!,""))</f>
        <v/>
      </c>
    </row>
    <row r="3586" spans="2:3" x14ac:dyDescent="0.2">
      <c r="B3586" s="14" t="str">
        <f>IF(A3586="","",_xlfn.XLOOKUP(A3586,'DISPATCH SHEET'!B$3:B$121,'DISPATCH SHEET'!C$3:C$121,""))</f>
        <v/>
      </c>
      <c r="C3586" s="14" t="str">
        <f>IF(ISBLANK(A3586),"",_xlfn.XLOOKUP(A3586,'DISPATCH SHEET'!C$3:C$121,'DISPATCH SHEET'!#REF!,""))</f>
        <v/>
      </c>
    </row>
    <row r="3587" spans="2:3" x14ac:dyDescent="0.2">
      <c r="B3587" s="14" t="str">
        <f>IF(A3587="","",_xlfn.XLOOKUP(A3587,'DISPATCH SHEET'!B$3:B$121,'DISPATCH SHEET'!C$3:C$121,""))</f>
        <v/>
      </c>
      <c r="C3587" s="14" t="str">
        <f>IF(ISBLANK(A3587),"",_xlfn.XLOOKUP(A3587,'DISPATCH SHEET'!C$3:C$121,'DISPATCH SHEET'!#REF!,""))</f>
        <v/>
      </c>
    </row>
    <row r="3588" spans="2:3" x14ac:dyDescent="0.2">
      <c r="B3588" s="14" t="str">
        <f>IF(A3588="","",_xlfn.XLOOKUP(A3588,'DISPATCH SHEET'!B$3:B$121,'DISPATCH SHEET'!C$3:C$121,""))</f>
        <v/>
      </c>
      <c r="C3588" s="14" t="str">
        <f>IF(ISBLANK(A3588),"",_xlfn.XLOOKUP(A3588,'DISPATCH SHEET'!C$3:C$121,'DISPATCH SHEET'!#REF!,""))</f>
        <v/>
      </c>
    </row>
    <row r="3589" spans="2:3" x14ac:dyDescent="0.2">
      <c r="B3589" s="14" t="str">
        <f>IF(A3589="","",_xlfn.XLOOKUP(A3589,'DISPATCH SHEET'!B$3:B$121,'DISPATCH SHEET'!C$3:C$121,""))</f>
        <v/>
      </c>
      <c r="C3589" s="14" t="str">
        <f>IF(ISBLANK(A3589),"",_xlfn.XLOOKUP(A3589,'DISPATCH SHEET'!C$3:C$121,'DISPATCH SHEET'!#REF!,""))</f>
        <v/>
      </c>
    </row>
    <row r="3590" spans="2:3" x14ac:dyDescent="0.2">
      <c r="B3590" s="14" t="str">
        <f>IF(A3590="","",_xlfn.XLOOKUP(A3590,'DISPATCH SHEET'!B$3:B$121,'DISPATCH SHEET'!C$3:C$121,""))</f>
        <v/>
      </c>
      <c r="C3590" s="14" t="str">
        <f>IF(ISBLANK(A3590),"",_xlfn.XLOOKUP(A3590,'DISPATCH SHEET'!C$3:C$121,'DISPATCH SHEET'!#REF!,""))</f>
        <v/>
      </c>
    </row>
    <row r="3591" spans="2:3" x14ac:dyDescent="0.2">
      <c r="B3591" s="14" t="str">
        <f>IF(A3591="","",_xlfn.XLOOKUP(A3591,'DISPATCH SHEET'!B$3:B$121,'DISPATCH SHEET'!C$3:C$121,""))</f>
        <v/>
      </c>
      <c r="C3591" s="14" t="str">
        <f>IF(ISBLANK(A3591),"",_xlfn.XLOOKUP(A3591,'DISPATCH SHEET'!C$3:C$121,'DISPATCH SHEET'!#REF!,""))</f>
        <v/>
      </c>
    </row>
    <row r="3592" spans="2:3" x14ac:dyDescent="0.2">
      <c r="B3592" s="14" t="str">
        <f>IF(A3592="","",_xlfn.XLOOKUP(A3592,'DISPATCH SHEET'!B$3:B$121,'DISPATCH SHEET'!C$3:C$121,""))</f>
        <v/>
      </c>
      <c r="C3592" s="14" t="str">
        <f>IF(ISBLANK(A3592),"",_xlfn.XLOOKUP(A3592,'DISPATCH SHEET'!C$3:C$121,'DISPATCH SHEET'!#REF!,""))</f>
        <v/>
      </c>
    </row>
    <row r="3593" spans="2:3" x14ac:dyDescent="0.2">
      <c r="B3593" s="14" t="str">
        <f>IF(A3593="","",_xlfn.XLOOKUP(A3593,'DISPATCH SHEET'!B$3:B$121,'DISPATCH SHEET'!C$3:C$121,""))</f>
        <v/>
      </c>
      <c r="C3593" s="14" t="str">
        <f>IF(ISBLANK(A3593),"",_xlfn.XLOOKUP(A3593,'DISPATCH SHEET'!C$3:C$121,'DISPATCH SHEET'!#REF!,""))</f>
        <v/>
      </c>
    </row>
    <row r="3594" spans="2:3" x14ac:dyDescent="0.2">
      <c r="B3594" s="14" t="str">
        <f>IF(A3594="","",_xlfn.XLOOKUP(A3594,'DISPATCH SHEET'!B$3:B$121,'DISPATCH SHEET'!C$3:C$121,""))</f>
        <v/>
      </c>
      <c r="C3594" s="14" t="str">
        <f>IF(ISBLANK(A3594),"",_xlfn.XLOOKUP(A3594,'DISPATCH SHEET'!C$3:C$121,'DISPATCH SHEET'!#REF!,""))</f>
        <v/>
      </c>
    </row>
    <row r="3595" spans="2:3" x14ac:dyDescent="0.2">
      <c r="B3595" s="14" t="str">
        <f>IF(A3595="","",_xlfn.XLOOKUP(A3595,'DISPATCH SHEET'!B$3:B$121,'DISPATCH SHEET'!C$3:C$121,""))</f>
        <v/>
      </c>
      <c r="C3595" s="14" t="str">
        <f>IF(ISBLANK(A3595),"",_xlfn.XLOOKUP(A3595,'DISPATCH SHEET'!C$3:C$121,'DISPATCH SHEET'!#REF!,""))</f>
        <v/>
      </c>
    </row>
    <row r="3596" spans="2:3" x14ac:dyDescent="0.2">
      <c r="B3596" s="14" t="str">
        <f>IF(A3596="","",_xlfn.XLOOKUP(A3596,'DISPATCH SHEET'!B$3:B$121,'DISPATCH SHEET'!C$3:C$121,""))</f>
        <v/>
      </c>
      <c r="C3596" s="14" t="str">
        <f>IF(ISBLANK(A3596),"",_xlfn.XLOOKUP(A3596,'DISPATCH SHEET'!C$3:C$121,'DISPATCH SHEET'!#REF!,""))</f>
        <v/>
      </c>
    </row>
    <row r="3597" spans="2:3" x14ac:dyDescent="0.2">
      <c r="B3597" s="14" t="str">
        <f>IF(A3597="","",_xlfn.XLOOKUP(A3597,'DISPATCH SHEET'!B$3:B$121,'DISPATCH SHEET'!C$3:C$121,""))</f>
        <v/>
      </c>
      <c r="C3597" s="14" t="str">
        <f>IF(ISBLANK(A3597),"",_xlfn.XLOOKUP(A3597,'DISPATCH SHEET'!C$3:C$121,'DISPATCH SHEET'!#REF!,""))</f>
        <v/>
      </c>
    </row>
    <row r="3598" spans="2:3" x14ac:dyDescent="0.2">
      <c r="B3598" s="14" t="str">
        <f>IF(A3598="","",_xlfn.XLOOKUP(A3598,'DISPATCH SHEET'!B$3:B$121,'DISPATCH SHEET'!C$3:C$121,""))</f>
        <v/>
      </c>
      <c r="C3598" s="14" t="str">
        <f>IF(ISBLANK(A3598),"",_xlfn.XLOOKUP(A3598,'DISPATCH SHEET'!C$3:C$121,'DISPATCH SHEET'!#REF!,""))</f>
        <v/>
      </c>
    </row>
    <row r="3599" spans="2:3" x14ac:dyDescent="0.2">
      <c r="B3599" s="14" t="str">
        <f>IF(A3599="","",_xlfn.XLOOKUP(A3599,'DISPATCH SHEET'!B$3:B$121,'DISPATCH SHEET'!C$3:C$121,""))</f>
        <v/>
      </c>
      <c r="C3599" s="14" t="str">
        <f>IF(ISBLANK(A3599),"",_xlfn.XLOOKUP(A3599,'DISPATCH SHEET'!C$3:C$121,'DISPATCH SHEET'!#REF!,""))</f>
        <v/>
      </c>
    </row>
    <row r="3600" spans="2:3" x14ac:dyDescent="0.2">
      <c r="B3600" s="14" t="str">
        <f>IF(A3600="","",_xlfn.XLOOKUP(A3600,'DISPATCH SHEET'!B$3:B$121,'DISPATCH SHEET'!C$3:C$121,""))</f>
        <v/>
      </c>
      <c r="C3600" s="14" t="str">
        <f>IF(ISBLANK(A3600),"",_xlfn.XLOOKUP(A3600,'DISPATCH SHEET'!C$3:C$121,'DISPATCH SHEET'!#REF!,""))</f>
        <v/>
      </c>
    </row>
    <row r="3601" spans="2:3" x14ac:dyDescent="0.2">
      <c r="B3601" s="14" t="str">
        <f>IF(A3601="","",_xlfn.XLOOKUP(A3601,'DISPATCH SHEET'!B$3:B$121,'DISPATCH SHEET'!C$3:C$121,""))</f>
        <v/>
      </c>
      <c r="C3601" s="14" t="str">
        <f>IF(ISBLANK(A3601),"",_xlfn.XLOOKUP(A3601,'DISPATCH SHEET'!C$3:C$121,'DISPATCH SHEET'!#REF!,""))</f>
        <v/>
      </c>
    </row>
    <row r="3602" spans="2:3" x14ac:dyDescent="0.2">
      <c r="B3602" s="14" t="str">
        <f>IF(A3602="","",_xlfn.XLOOKUP(A3602,'DISPATCH SHEET'!B$3:B$121,'DISPATCH SHEET'!C$3:C$121,""))</f>
        <v/>
      </c>
      <c r="C3602" s="14" t="str">
        <f>IF(ISBLANK(A3602),"",_xlfn.XLOOKUP(A3602,'DISPATCH SHEET'!C$3:C$121,'DISPATCH SHEET'!#REF!,""))</f>
        <v/>
      </c>
    </row>
    <row r="3603" spans="2:3" x14ac:dyDescent="0.2">
      <c r="B3603" s="14" t="str">
        <f>IF(A3603="","",_xlfn.XLOOKUP(A3603,'DISPATCH SHEET'!B$3:B$121,'DISPATCH SHEET'!C$3:C$121,""))</f>
        <v/>
      </c>
      <c r="C3603" s="14" t="str">
        <f>IF(ISBLANK(A3603),"",_xlfn.XLOOKUP(A3603,'DISPATCH SHEET'!C$3:C$121,'DISPATCH SHEET'!#REF!,""))</f>
        <v/>
      </c>
    </row>
    <row r="3604" spans="2:3" x14ac:dyDescent="0.2">
      <c r="B3604" s="14" t="str">
        <f>IF(A3604="","",_xlfn.XLOOKUP(A3604,'DISPATCH SHEET'!B$3:B$121,'DISPATCH SHEET'!C$3:C$121,""))</f>
        <v/>
      </c>
      <c r="C3604" s="14" t="str">
        <f>IF(ISBLANK(A3604),"",_xlfn.XLOOKUP(A3604,'DISPATCH SHEET'!C$3:C$121,'DISPATCH SHEET'!#REF!,""))</f>
        <v/>
      </c>
    </row>
    <row r="3605" spans="2:3" x14ac:dyDescent="0.2">
      <c r="B3605" s="14" t="str">
        <f>IF(A3605="","",_xlfn.XLOOKUP(A3605,'DISPATCH SHEET'!B$3:B$121,'DISPATCH SHEET'!C$3:C$121,""))</f>
        <v/>
      </c>
      <c r="C3605" s="14" t="str">
        <f>IF(ISBLANK(A3605),"",_xlfn.XLOOKUP(A3605,'DISPATCH SHEET'!C$3:C$121,'DISPATCH SHEET'!#REF!,""))</f>
        <v/>
      </c>
    </row>
    <row r="3606" spans="2:3" x14ac:dyDescent="0.2">
      <c r="B3606" s="14" t="str">
        <f>IF(A3606="","",_xlfn.XLOOKUP(A3606,'DISPATCH SHEET'!B$3:B$121,'DISPATCH SHEET'!C$3:C$121,""))</f>
        <v/>
      </c>
      <c r="C3606" s="14" t="str">
        <f>IF(ISBLANK(A3606),"",_xlfn.XLOOKUP(A3606,'DISPATCH SHEET'!C$3:C$121,'DISPATCH SHEET'!#REF!,""))</f>
        <v/>
      </c>
    </row>
    <row r="3607" spans="2:3" x14ac:dyDescent="0.2">
      <c r="B3607" s="14" t="str">
        <f>IF(A3607="","",_xlfn.XLOOKUP(A3607,'DISPATCH SHEET'!B$3:B$121,'DISPATCH SHEET'!C$3:C$121,""))</f>
        <v/>
      </c>
      <c r="C3607" s="14" t="str">
        <f>IF(ISBLANK(A3607),"",_xlfn.XLOOKUP(A3607,'DISPATCH SHEET'!C$3:C$121,'DISPATCH SHEET'!#REF!,""))</f>
        <v/>
      </c>
    </row>
    <row r="3608" spans="2:3" x14ac:dyDescent="0.2">
      <c r="B3608" s="14" t="str">
        <f>IF(A3608="","",_xlfn.XLOOKUP(A3608,'DISPATCH SHEET'!B$3:B$121,'DISPATCH SHEET'!C$3:C$121,""))</f>
        <v/>
      </c>
      <c r="C3608" s="14" t="str">
        <f>IF(ISBLANK(A3608),"",_xlfn.XLOOKUP(A3608,'DISPATCH SHEET'!C$3:C$121,'DISPATCH SHEET'!#REF!,""))</f>
        <v/>
      </c>
    </row>
    <row r="3609" spans="2:3" x14ac:dyDescent="0.2">
      <c r="B3609" s="14" t="str">
        <f>IF(A3609="","",_xlfn.XLOOKUP(A3609,'DISPATCH SHEET'!B$3:B$121,'DISPATCH SHEET'!C$3:C$121,""))</f>
        <v/>
      </c>
      <c r="C3609" s="14" t="str">
        <f>IF(ISBLANK(A3609),"",_xlfn.XLOOKUP(A3609,'DISPATCH SHEET'!C$3:C$121,'DISPATCH SHEET'!#REF!,""))</f>
        <v/>
      </c>
    </row>
    <row r="3610" spans="2:3" x14ac:dyDescent="0.2">
      <c r="B3610" s="14" t="str">
        <f>IF(A3610="","",_xlfn.XLOOKUP(A3610,'DISPATCH SHEET'!B$3:B$121,'DISPATCH SHEET'!C$3:C$121,""))</f>
        <v/>
      </c>
      <c r="C3610" s="14" t="str">
        <f>IF(ISBLANK(A3610),"",_xlfn.XLOOKUP(A3610,'DISPATCH SHEET'!C$3:C$121,'DISPATCH SHEET'!#REF!,""))</f>
        <v/>
      </c>
    </row>
    <row r="3611" spans="2:3" x14ac:dyDescent="0.2">
      <c r="B3611" s="14" t="str">
        <f>IF(A3611="","",_xlfn.XLOOKUP(A3611,'DISPATCH SHEET'!B$3:B$121,'DISPATCH SHEET'!C$3:C$121,""))</f>
        <v/>
      </c>
      <c r="C3611" s="14" t="str">
        <f>IF(ISBLANK(A3611),"",_xlfn.XLOOKUP(A3611,'DISPATCH SHEET'!C$3:C$121,'DISPATCH SHEET'!#REF!,""))</f>
        <v/>
      </c>
    </row>
    <row r="3612" spans="2:3" x14ac:dyDescent="0.2">
      <c r="B3612" s="14" t="str">
        <f>IF(A3612="","",_xlfn.XLOOKUP(A3612,'DISPATCH SHEET'!B$3:B$121,'DISPATCH SHEET'!C$3:C$121,""))</f>
        <v/>
      </c>
      <c r="C3612" s="14" t="str">
        <f>IF(ISBLANK(A3612),"",_xlfn.XLOOKUP(A3612,'DISPATCH SHEET'!C$3:C$121,'DISPATCH SHEET'!#REF!,""))</f>
        <v/>
      </c>
    </row>
    <row r="3613" spans="2:3" x14ac:dyDescent="0.2">
      <c r="B3613" s="14" t="str">
        <f>IF(A3613="","",_xlfn.XLOOKUP(A3613,'DISPATCH SHEET'!B$3:B$121,'DISPATCH SHEET'!C$3:C$121,""))</f>
        <v/>
      </c>
      <c r="C3613" s="14" t="str">
        <f>IF(ISBLANK(A3613),"",_xlfn.XLOOKUP(A3613,'DISPATCH SHEET'!C$3:C$121,'DISPATCH SHEET'!#REF!,""))</f>
        <v/>
      </c>
    </row>
    <row r="3614" spans="2:3" x14ac:dyDescent="0.2">
      <c r="B3614" s="14" t="str">
        <f>IF(A3614="","",_xlfn.XLOOKUP(A3614,'DISPATCH SHEET'!B$3:B$121,'DISPATCH SHEET'!C$3:C$121,""))</f>
        <v/>
      </c>
      <c r="C3614" s="14" t="str">
        <f>IF(ISBLANK(A3614),"",_xlfn.XLOOKUP(A3614,'DISPATCH SHEET'!C$3:C$121,'DISPATCH SHEET'!#REF!,""))</f>
        <v/>
      </c>
    </row>
    <row r="3615" spans="2:3" x14ac:dyDescent="0.2">
      <c r="B3615" s="14" t="str">
        <f>IF(A3615="","",_xlfn.XLOOKUP(A3615,'DISPATCH SHEET'!B$3:B$121,'DISPATCH SHEET'!C$3:C$121,""))</f>
        <v/>
      </c>
      <c r="C3615" s="14" t="str">
        <f>IF(ISBLANK(A3615),"",_xlfn.XLOOKUP(A3615,'DISPATCH SHEET'!C$3:C$121,'DISPATCH SHEET'!#REF!,""))</f>
        <v/>
      </c>
    </row>
    <row r="3616" spans="2:3" x14ac:dyDescent="0.2">
      <c r="B3616" s="14" t="str">
        <f>IF(A3616="","",_xlfn.XLOOKUP(A3616,'DISPATCH SHEET'!B$3:B$121,'DISPATCH SHEET'!C$3:C$121,""))</f>
        <v/>
      </c>
      <c r="C3616" s="14" t="str">
        <f>IF(ISBLANK(A3616),"",_xlfn.XLOOKUP(A3616,'DISPATCH SHEET'!C$3:C$121,'DISPATCH SHEET'!#REF!,""))</f>
        <v/>
      </c>
    </row>
    <row r="3617" spans="2:3" x14ac:dyDescent="0.2">
      <c r="B3617" s="14" t="str">
        <f>IF(A3617="","",_xlfn.XLOOKUP(A3617,'DISPATCH SHEET'!B$3:B$121,'DISPATCH SHEET'!C$3:C$121,""))</f>
        <v/>
      </c>
      <c r="C3617" s="14" t="str">
        <f>IF(ISBLANK(A3617),"",_xlfn.XLOOKUP(A3617,'DISPATCH SHEET'!C$3:C$121,'DISPATCH SHEET'!#REF!,""))</f>
        <v/>
      </c>
    </row>
    <row r="3618" spans="2:3" x14ac:dyDescent="0.2">
      <c r="B3618" s="14" t="str">
        <f>IF(A3618="","",_xlfn.XLOOKUP(A3618,'DISPATCH SHEET'!B$3:B$121,'DISPATCH SHEET'!C$3:C$121,""))</f>
        <v/>
      </c>
      <c r="C3618" s="14" t="str">
        <f>IF(ISBLANK(A3618),"",_xlfn.XLOOKUP(A3618,'DISPATCH SHEET'!C$3:C$121,'DISPATCH SHEET'!#REF!,""))</f>
        <v/>
      </c>
    </row>
    <row r="3619" spans="2:3" x14ac:dyDescent="0.2">
      <c r="B3619" s="14" t="str">
        <f>IF(A3619="","",_xlfn.XLOOKUP(A3619,'DISPATCH SHEET'!B$3:B$121,'DISPATCH SHEET'!C$3:C$121,""))</f>
        <v/>
      </c>
      <c r="C3619" s="14" t="str">
        <f>IF(ISBLANK(A3619),"",_xlfn.XLOOKUP(A3619,'DISPATCH SHEET'!C$3:C$121,'DISPATCH SHEET'!#REF!,""))</f>
        <v/>
      </c>
    </row>
    <row r="3620" spans="2:3" x14ac:dyDescent="0.2">
      <c r="B3620" s="14" t="str">
        <f>IF(A3620="","",_xlfn.XLOOKUP(A3620,'DISPATCH SHEET'!B$3:B$121,'DISPATCH SHEET'!C$3:C$121,""))</f>
        <v/>
      </c>
      <c r="C3620" s="14" t="str">
        <f>IF(ISBLANK(A3620),"",_xlfn.XLOOKUP(A3620,'DISPATCH SHEET'!C$3:C$121,'DISPATCH SHEET'!#REF!,""))</f>
        <v/>
      </c>
    </row>
    <row r="3621" spans="2:3" x14ac:dyDescent="0.2">
      <c r="B3621" s="14" t="str">
        <f>IF(A3621="","",_xlfn.XLOOKUP(A3621,'DISPATCH SHEET'!B$3:B$121,'DISPATCH SHEET'!C$3:C$121,""))</f>
        <v/>
      </c>
      <c r="C3621" s="14" t="str">
        <f>IF(ISBLANK(A3621),"",_xlfn.XLOOKUP(A3621,'DISPATCH SHEET'!C$3:C$121,'DISPATCH SHEET'!#REF!,""))</f>
        <v/>
      </c>
    </row>
    <row r="3622" spans="2:3" x14ac:dyDescent="0.2">
      <c r="B3622" s="14" t="str">
        <f>IF(A3622="","",_xlfn.XLOOKUP(A3622,'DISPATCH SHEET'!B$3:B$121,'DISPATCH SHEET'!C$3:C$121,""))</f>
        <v/>
      </c>
      <c r="C3622" s="14" t="str">
        <f>IF(ISBLANK(A3622),"",_xlfn.XLOOKUP(A3622,'DISPATCH SHEET'!C$3:C$121,'DISPATCH SHEET'!#REF!,""))</f>
        <v/>
      </c>
    </row>
    <row r="3623" spans="2:3" x14ac:dyDescent="0.2">
      <c r="B3623" s="14" t="str">
        <f>IF(A3623="","",_xlfn.XLOOKUP(A3623,'DISPATCH SHEET'!B$3:B$121,'DISPATCH SHEET'!C$3:C$121,""))</f>
        <v/>
      </c>
      <c r="C3623" s="14" t="str">
        <f>IF(ISBLANK(A3623),"",_xlfn.XLOOKUP(A3623,'DISPATCH SHEET'!C$3:C$121,'DISPATCH SHEET'!#REF!,""))</f>
        <v/>
      </c>
    </row>
    <row r="3624" spans="2:3" x14ac:dyDescent="0.2">
      <c r="B3624" s="14" t="str">
        <f>IF(A3624="","",_xlfn.XLOOKUP(A3624,'DISPATCH SHEET'!B$3:B$121,'DISPATCH SHEET'!C$3:C$121,""))</f>
        <v/>
      </c>
      <c r="C3624" s="14" t="str">
        <f>IF(ISBLANK(A3624),"",_xlfn.XLOOKUP(A3624,'DISPATCH SHEET'!C$3:C$121,'DISPATCH SHEET'!#REF!,""))</f>
        <v/>
      </c>
    </row>
    <row r="3625" spans="2:3" x14ac:dyDescent="0.2">
      <c r="B3625" s="14" t="str">
        <f>IF(A3625="","",_xlfn.XLOOKUP(A3625,'DISPATCH SHEET'!B$3:B$121,'DISPATCH SHEET'!C$3:C$121,""))</f>
        <v/>
      </c>
      <c r="C3625" s="14" t="str">
        <f>IF(ISBLANK(A3625),"",_xlfn.XLOOKUP(A3625,'DISPATCH SHEET'!C$3:C$121,'DISPATCH SHEET'!#REF!,""))</f>
        <v/>
      </c>
    </row>
    <row r="3626" spans="2:3" x14ac:dyDescent="0.2">
      <c r="B3626" s="14" t="str">
        <f>IF(A3626="","",_xlfn.XLOOKUP(A3626,'DISPATCH SHEET'!B$3:B$121,'DISPATCH SHEET'!C$3:C$121,""))</f>
        <v/>
      </c>
      <c r="C3626" s="14" t="str">
        <f>IF(ISBLANK(A3626),"",_xlfn.XLOOKUP(A3626,'DISPATCH SHEET'!C$3:C$121,'DISPATCH SHEET'!#REF!,""))</f>
        <v/>
      </c>
    </row>
    <row r="3627" spans="2:3" x14ac:dyDescent="0.2">
      <c r="B3627" s="14" t="str">
        <f>IF(A3627="","",_xlfn.XLOOKUP(A3627,'DISPATCH SHEET'!B$3:B$121,'DISPATCH SHEET'!C$3:C$121,""))</f>
        <v/>
      </c>
      <c r="C3627" s="14" t="str">
        <f>IF(ISBLANK(A3627),"",_xlfn.XLOOKUP(A3627,'DISPATCH SHEET'!C$3:C$121,'DISPATCH SHEET'!#REF!,""))</f>
        <v/>
      </c>
    </row>
    <row r="3628" spans="2:3" x14ac:dyDescent="0.2">
      <c r="B3628" s="14" t="str">
        <f>IF(A3628="","",_xlfn.XLOOKUP(A3628,'DISPATCH SHEET'!B$3:B$121,'DISPATCH SHEET'!C$3:C$121,""))</f>
        <v/>
      </c>
      <c r="C3628" s="14" t="str">
        <f>IF(ISBLANK(A3628),"",_xlfn.XLOOKUP(A3628,'DISPATCH SHEET'!C$3:C$121,'DISPATCH SHEET'!#REF!,""))</f>
        <v/>
      </c>
    </row>
    <row r="3629" spans="2:3" x14ac:dyDescent="0.2">
      <c r="B3629" s="14" t="str">
        <f>IF(A3629="","",_xlfn.XLOOKUP(A3629,'DISPATCH SHEET'!B$3:B$121,'DISPATCH SHEET'!C$3:C$121,""))</f>
        <v/>
      </c>
      <c r="C3629" s="14" t="str">
        <f>IF(ISBLANK(A3629),"",_xlfn.XLOOKUP(A3629,'DISPATCH SHEET'!C$3:C$121,'DISPATCH SHEET'!#REF!,""))</f>
        <v/>
      </c>
    </row>
    <row r="3630" spans="2:3" x14ac:dyDescent="0.2">
      <c r="B3630" s="14" t="str">
        <f>IF(A3630="","",_xlfn.XLOOKUP(A3630,'DISPATCH SHEET'!B$3:B$121,'DISPATCH SHEET'!C$3:C$121,""))</f>
        <v/>
      </c>
      <c r="C3630" s="14" t="str">
        <f>IF(ISBLANK(A3630),"",_xlfn.XLOOKUP(A3630,'DISPATCH SHEET'!C$3:C$121,'DISPATCH SHEET'!#REF!,""))</f>
        <v/>
      </c>
    </row>
    <row r="3631" spans="2:3" x14ac:dyDescent="0.2">
      <c r="B3631" s="14" t="str">
        <f>IF(A3631="","",_xlfn.XLOOKUP(A3631,'DISPATCH SHEET'!B$3:B$121,'DISPATCH SHEET'!C$3:C$121,""))</f>
        <v/>
      </c>
      <c r="C3631" s="14" t="str">
        <f>IF(ISBLANK(A3631),"",_xlfn.XLOOKUP(A3631,'DISPATCH SHEET'!C$3:C$121,'DISPATCH SHEET'!#REF!,""))</f>
        <v/>
      </c>
    </row>
    <row r="3632" spans="2:3" x14ac:dyDescent="0.2">
      <c r="B3632" s="14" t="str">
        <f>IF(A3632="","",_xlfn.XLOOKUP(A3632,'DISPATCH SHEET'!B$3:B$121,'DISPATCH SHEET'!C$3:C$121,""))</f>
        <v/>
      </c>
      <c r="C3632" s="14" t="str">
        <f>IF(ISBLANK(A3632),"",_xlfn.XLOOKUP(A3632,'DISPATCH SHEET'!C$3:C$121,'DISPATCH SHEET'!#REF!,""))</f>
        <v/>
      </c>
    </row>
    <row r="3633" spans="2:3" x14ac:dyDescent="0.2">
      <c r="B3633" s="14" t="str">
        <f>IF(A3633="","",_xlfn.XLOOKUP(A3633,'DISPATCH SHEET'!B$3:B$121,'DISPATCH SHEET'!C$3:C$121,""))</f>
        <v/>
      </c>
      <c r="C3633" s="14" t="str">
        <f>IF(ISBLANK(A3633),"",_xlfn.XLOOKUP(A3633,'DISPATCH SHEET'!C$3:C$121,'DISPATCH SHEET'!#REF!,""))</f>
        <v/>
      </c>
    </row>
    <row r="3634" spans="2:3" x14ac:dyDescent="0.2">
      <c r="B3634" s="14" t="str">
        <f>IF(A3634="","",_xlfn.XLOOKUP(A3634,'DISPATCH SHEET'!B$3:B$121,'DISPATCH SHEET'!C$3:C$121,""))</f>
        <v/>
      </c>
      <c r="C3634" s="14" t="str">
        <f>IF(ISBLANK(A3634),"",_xlfn.XLOOKUP(A3634,'DISPATCH SHEET'!C$3:C$121,'DISPATCH SHEET'!#REF!,""))</f>
        <v/>
      </c>
    </row>
    <row r="3635" spans="2:3" x14ac:dyDescent="0.2">
      <c r="B3635" s="14" t="str">
        <f>IF(A3635="","",_xlfn.XLOOKUP(A3635,'DISPATCH SHEET'!B$3:B$121,'DISPATCH SHEET'!C$3:C$121,""))</f>
        <v/>
      </c>
      <c r="C3635" s="14" t="str">
        <f>IF(ISBLANK(A3635),"",_xlfn.XLOOKUP(A3635,'DISPATCH SHEET'!C$3:C$121,'DISPATCH SHEET'!#REF!,""))</f>
        <v/>
      </c>
    </row>
    <row r="3636" spans="2:3" x14ac:dyDescent="0.2">
      <c r="B3636" s="14" t="str">
        <f>IF(A3636="","",_xlfn.XLOOKUP(A3636,'DISPATCH SHEET'!B$3:B$121,'DISPATCH SHEET'!C$3:C$121,""))</f>
        <v/>
      </c>
      <c r="C3636" s="14" t="str">
        <f>IF(ISBLANK(A3636),"",_xlfn.XLOOKUP(A3636,'DISPATCH SHEET'!C$3:C$121,'DISPATCH SHEET'!#REF!,""))</f>
        <v/>
      </c>
    </row>
    <row r="3637" spans="2:3" x14ac:dyDescent="0.2">
      <c r="B3637" s="14" t="str">
        <f>IF(A3637="","",_xlfn.XLOOKUP(A3637,'DISPATCH SHEET'!B$3:B$121,'DISPATCH SHEET'!C$3:C$121,""))</f>
        <v/>
      </c>
      <c r="C3637" s="14" t="str">
        <f>IF(ISBLANK(A3637),"",_xlfn.XLOOKUP(A3637,'DISPATCH SHEET'!C$3:C$121,'DISPATCH SHEET'!#REF!,""))</f>
        <v/>
      </c>
    </row>
    <row r="3638" spans="2:3" x14ac:dyDescent="0.2">
      <c r="B3638" s="14" t="str">
        <f>IF(A3638="","",_xlfn.XLOOKUP(A3638,'DISPATCH SHEET'!B$3:B$121,'DISPATCH SHEET'!C$3:C$121,""))</f>
        <v/>
      </c>
      <c r="C3638" s="14" t="str">
        <f>IF(ISBLANK(A3638),"",_xlfn.XLOOKUP(A3638,'DISPATCH SHEET'!C$3:C$121,'DISPATCH SHEET'!#REF!,""))</f>
        <v/>
      </c>
    </row>
    <row r="3639" spans="2:3" x14ac:dyDescent="0.2">
      <c r="B3639" s="14" t="str">
        <f>IF(A3639="","",_xlfn.XLOOKUP(A3639,'DISPATCH SHEET'!B$3:B$121,'DISPATCH SHEET'!C$3:C$121,""))</f>
        <v/>
      </c>
      <c r="C3639" s="14" t="str">
        <f>IF(ISBLANK(A3639),"",_xlfn.XLOOKUP(A3639,'DISPATCH SHEET'!C$3:C$121,'DISPATCH SHEET'!#REF!,""))</f>
        <v/>
      </c>
    </row>
    <row r="3640" spans="2:3" x14ac:dyDescent="0.2">
      <c r="B3640" s="14" t="str">
        <f>IF(A3640="","",_xlfn.XLOOKUP(A3640,'DISPATCH SHEET'!B$3:B$121,'DISPATCH SHEET'!C$3:C$121,""))</f>
        <v/>
      </c>
      <c r="C3640" s="14" t="str">
        <f>IF(ISBLANK(A3640),"",_xlfn.XLOOKUP(A3640,'DISPATCH SHEET'!C$3:C$121,'DISPATCH SHEET'!#REF!,""))</f>
        <v/>
      </c>
    </row>
    <row r="3641" spans="2:3" x14ac:dyDescent="0.2">
      <c r="B3641" s="14" t="str">
        <f>IF(A3641="","",_xlfn.XLOOKUP(A3641,'DISPATCH SHEET'!B$3:B$121,'DISPATCH SHEET'!C$3:C$121,""))</f>
        <v/>
      </c>
      <c r="C3641" s="14" t="str">
        <f>IF(ISBLANK(A3641),"",_xlfn.XLOOKUP(A3641,'DISPATCH SHEET'!C$3:C$121,'DISPATCH SHEET'!#REF!,""))</f>
        <v/>
      </c>
    </row>
    <row r="3642" spans="2:3" x14ac:dyDescent="0.2">
      <c r="B3642" s="14" t="str">
        <f>IF(A3642="","",_xlfn.XLOOKUP(A3642,'DISPATCH SHEET'!B$3:B$121,'DISPATCH SHEET'!C$3:C$121,""))</f>
        <v/>
      </c>
      <c r="C3642" s="14" t="str">
        <f>IF(ISBLANK(A3642),"",_xlfn.XLOOKUP(A3642,'DISPATCH SHEET'!C$3:C$121,'DISPATCH SHEET'!#REF!,""))</f>
        <v/>
      </c>
    </row>
    <row r="3643" spans="2:3" x14ac:dyDescent="0.2">
      <c r="B3643" s="14" t="str">
        <f>IF(A3643="","",_xlfn.XLOOKUP(A3643,'DISPATCH SHEET'!B$3:B$121,'DISPATCH SHEET'!C$3:C$121,""))</f>
        <v/>
      </c>
      <c r="C3643" s="14" t="str">
        <f>IF(ISBLANK(A3643),"",_xlfn.XLOOKUP(A3643,'DISPATCH SHEET'!C$3:C$121,'DISPATCH SHEET'!#REF!,""))</f>
        <v/>
      </c>
    </row>
    <row r="3644" spans="2:3" x14ac:dyDescent="0.2">
      <c r="B3644" s="14" t="str">
        <f>IF(A3644="","",_xlfn.XLOOKUP(A3644,'DISPATCH SHEET'!B$3:B$121,'DISPATCH SHEET'!C$3:C$121,""))</f>
        <v/>
      </c>
      <c r="C3644" s="14" t="str">
        <f>IF(ISBLANK(A3644),"",_xlfn.XLOOKUP(A3644,'DISPATCH SHEET'!C$3:C$121,'DISPATCH SHEET'!#REF!,""))</f>
        <v/>
      </c>
    </row>
    <row r="3645" spans="2:3" x14ac:dyDescent="0.2">
      <c r="B3645" s="14" t="str">
        <f>IF(A3645="","",_xlfn.XLOOKUP(A3645,'DISPATCH SHEET'!B$3:B$121,'DISPATCH SHEET'!C$3:C$121,""))</f>
        <v/>
      </c>
      <c r="C3645" s="14" t="str">
        <f>IF(ISBLANK(A3645),"",_xlfn.XLOOKUP(A3645,'DISPATCH SHEET'!C$3:C$121,'DISPATCH SHEET'!#REF!,""))</f>
        <v/>
      </c>
    </row>
    <row r="3646" spans="2:3" x14ac:dyDescent="0.2">
      <c r="B3646" s="14" t="str">
        <f>IF(A3646="","",_xlfn.XLOOKUP(A3646,'DISPATCH SHEET'!B$3:B$121,'DISPATCH SHEET'!C$3:C$121,""))</f>
        <v/>
      </c>
      <c r="C3646" s="14" t="str">
        <f>IF(ISBLANK(A3646),"",_xlfn.XLOOKUP(A3646,'DISPATCH SHEET'!C$3:C$121,'DISPATCH SHEET'!#REF!,""))</f>
        <v/>
      </c>
    </row>
    <row r="3647" spans="2:3" x14ac:dyDescent="0.2">
      <c r="B3647" s="14" t="str">
        <f>IF(A3647="","",_xlfn.XLOOKUP(A3647,'DISPATCH SHEET'!B$3:B$121,'DISPATCH SHEET'!C$3:C$121,""))</f>
        <v/>
      </c>
      <c r="C3647" s="14" t="str">
        <f>IF(ISBLANK(A3647),"",_xlfn.XLOOKUP(A3647,'DISPATCH SHEET'!C$3:C$121,'DISPATCH SHEET'!#REF!,""))</f>
        <v/>
      </c>
    </row>
    <row r="3648" spans="2:3" x14ac:dyDescent="0.2">
      <c r="B3648" s="14" t="str">
        <f>IF(A3648="","",_xlfn.XLOOKUP(A3648,'DISPATCH SHEET'!B$3:B$121,'DISPATCH SHEET'!C$3:C$121,""))</f>
        <v/>
      </c>
      <c r="C3648" s="14" t="str">
        <f>IF(ISBLANK(A3648),"",_xlfn.XLOOKUP(A3648,'DISPATCH SHEET'!C$3:C$121,'DISPATCH SHEET'!#REF!,""))</f>
        <v/>
      </c>
    </row>
    <row r="3649" spans="2:3" x14ac:dyDescent="0.2">
      <c r="B3649" s="14" t="str">
        <f>IF(A3649="","",_xlfn.XLOOKUP(A3649,'DISPATCH SHEET'!B$3:B$121,'DISPATCH SHEET'!C$3:C$121,""))</f>
        <v/>
      </c>
      <c r="C3649" s="14" t="str">
        <f>IF(ISBLANK(A3649),"",_xlfn.XLOOKUP(A3649,'DISPATCH SHEET'!C$3:C$121,'DISPATCH SHEET'!#REF!,""))</f>
        <v/>
      </c>
    </row>
    <row r="3650" spans="2:3" x14ac:dyDescent="0.2">
      <c r="B3650" s="14" t="str">
        <f>IF(A3650="","",_xlfn.XLOOKUP(A3650,'DISPATCH SHEET'!B$3:B$121,'DISPATCH SHEET'!C$3:C$121,""))</f>
        <v/>
      </c>
      <c r="C3650" s="14" t="str">
        <f>IF(ISBLANK(A3650),"",_xlfn.XLOOKUP(A3650,'DISPATCH SHEET'!C$3:C$121,'DISPATCH SHEET'!#REF!,""))</f>
        <v/>
      </c>
    </row>
    <row r="3651" spans="2:3" x14ac:dyDescent="0.2">
      <c r="B3651" s="14" t="str">
        <f>IF(A3651="","",_xlfn.XLOOKUP(A3651,'DISPATCH SHEET'!B$3:B$121,'DISPATCH SHEET'!C$3:C$121,""))</f>
        <v/>
      </c>
      <c r="C3651" s="14" t="str">
        <f>IF(ISBLANK(A3651),"",_xlfn.XLOOKUP(A3651,'DISPATCH SHEET'!C$3:C$121,'DISPATCH SHEET'!#REF!,""))</f>
        <v/>
      </c>
    </row>
    <row r="3652" spans="2:3" x14ac:dyDescent="0.2">
      <c r="B3652" s="14" t="str">
        <f>IF(A3652="","",_xlfn.XLOOKUP(A3652,'DISPATCH SHEET'!B$3:B$121,'DISPATCH SHEET'!C$3:C$121,""))</f>
        <v/>
      </c>
      <c r="C3652" s="14" t="str">
        <f>IF(ISBLANK(A3652),"",_xlfn.XLOOKUP(A3652,'DISPATCH SHEET'!C$3:C$121,'DISPATCH SHEET'!#REF!,""))</f>
        <v/>
      </c>
    </row>
    <row r="3653" spans="2:3" x14ac:dyDescent="0.2">
      <c r="B3653" s="14" t="str">
        <f>IF(A3653="","",_xlfn.XLOOKUP(A3653,'DISPATCH SHEET'!B$3:B$121,'DISPATCH SHEET'!C$3:C$121,""))</f>
        <v/>
      </c>
      <c r="C3653" s="14" t="str">
        <f>IF(ISBLANK(A3653),"",_xlfn.XLOOKUP(A3653,'DISPATCH SHEET'!C$3:C$121,'DISPATCH SHEET'!#REF!,""))</f>
        <v/>
      </c>
    </row>
    <row r="3654" spans="2:3" x14ac:dyDescent="0.2">
      <c r="B3654" s="14" t="str">
        <f>IF(A3654="","",_xlfn.XLOOKUP(A3654,'DISPATCH SHEET'!B$3:B$121,'DISPATCH SHEET'!C$3:C$121,""))</f>
        <v/>
      </c>
      <c r="C3654" s="14" t="str">
        <f>IF(ISBLANK(A3654),"",_xlfn.XLOOKUP(A3654,'DISPATCH SHEET'!C$3:C$121,'DISPATCH SHEET'!#REF!,""))</f>
        <v/>
      </c>
    </row>
    <row r="3655" spans="2:3" x14ac:dyDescent="0.2">
      <c r="B3655" s="14" t="str">
        <f>IF(A3655="","",_xlfn.XLOOKUP(A3655,'DISPATCH SHEET'!B$3:B$121,'DISPATCH SHEET'!C$3:C$121,""))</f>
        <v/>
      </c>
      <c r="C3655" s="14" t="str">
        <f>IF(ISBLANK(A3655),"",_xlfn.XLOOKUP(A3655,'DISPATCH SHEET'!C$3:C$121,'DISPATCH SHEET'!#REF!,""))</f>
        <v/>
      </c>
    </row>
    <row r="3656" spans="2:3" x14ac:dyDescent="0.2">
      <c r="B3656" s="14" t="str">
        <f>IF(A3656="","",_xlfn.XLOOKUP(A3656,'DISPATCH SHEET'!B$3:B$121,'DISPATCH SHEET'!C$3:C$121,""))</f>
        <v/>
      </c>
      <c r="C3656" s="14" t="str">
        <f>IF(ISBLANK(A3656),"",_xlfn.XLOOKUP(A3656,'DISPATCH SHEET'!C$3:C$121,'DISPATCH SHEET'!#REF!,""))</f>
        <v/>
      </c>
    </row>
    <row r="3657" spans="2:3" x14ac:dyDescent="0.2">
      <c r="B3657" s="14" t="str">
        <f>IF(A3657="","",_xlfn.XLOOKUP(A3657,'DISPATCH SHEET'!B$3:B$121,'DISPATCH SHEET'!C$3:C$121,""))</f>
        <v/>
      </c>
      <c r="C3657" s="14" t="str">
        <f>IF(ISBLANK(A3657),"",_xlfn.XLOOKUP(A3657,'DISPATCH SHEET'!C$3:C$121,'DISPATCH SHEET'!#REF!,""))</f>
        <v/>
      </c>
    </row>
    <row r="3658" spans="2:3" x14ac:dyDescent="0.2">
      <c r="B3658" s="14" t="str">
        <f>IF(A3658="","",_xlfn.XLOOKUP(A3658,'DISPATCH SHEET'!B$3:B$121,'DISPATCH SHEET'!C$3:C$121,""))</f>
        <v/>
      </c>
      <c r="C3658" s="14" t="str">
        <f>IF(ISBLANK(A3658),"",_xlfn.XLOOKUP(A3658,'DISPATCH SHEET'!C$3:C$121,'DISPATCH SHEET'!#REF!,""))</f>
        <v/>
      </c>
    </row>
    <row r="3659" spans="2:3" x14ac:dyDescent="0.2">
      <c r="B3659" s="14" t="str">
        <f>IF(A3659="","",_xlfn.XLOOKUP(A3659,'DISPATCH SHEET'!B$3:B$121,'DISPATCH SHEET'!C$3:C$121,""))</f>
        <v/>
      </c>
      <c r="C3659" s="14" t="str">
        <f>IF(ISBLANK(A3659),"",_xlfn.XLOOKUP(A3659,'DISPATCH SHEET'!C$3:C$121,'DISPATCH SHEET'!#REF!,""))</f>
        <v/>
      </c>
    </row>
    <row r="3660" spans="2:3" x14ac:dyDescent="0.2">
      <c r="B3660" s="14" t="str">
        <f>IF(A3660="","",_xlfn.XLOOKUP(A3660,'DISPATCH SHEET'!B$3:B$121,'DISPATCH SHEET'!C$3:C$121,""))</f>
        <v/>
      </c>
      <c r="C3660" s="14" t="str">
        <f>IF(ISBLANK(A3660),"",_xlfn.XLOOKUP(A3660,'DISPATCH SHEET'!C$3:C$121,'DISPATCH SHEET'!#REF!,""))</f>
        <v/>
      </c>
    </row>
    <row r="3661" spans="2:3" x14ac:dyDescent="0.2">
      <c r="B3661" s="14" t="str">
        <f>IF(A3661="","",_xlfn.XLOOKUP(A3661,'DISPATCH SHEET'!B$3:B$121,'DISPATCH SHEET'!C$3:C$121,""))</f>
        <v/>
      </c>
      <c r="C3661" s="14" t="str">
        <f>IF(ISBLANK(A3661),"",_xlfn.XLOOKUP(A3661,'DISPATCH SHEET'!C$3:C$121,'DISPATCH SHEET'!#REF!,""))</f>
        <v/>
      </c>
    </row>
    <row r="3662" spans="2:3" x14ac:dyDescent="0.2">
      <c r="B3662" s="14" t="str">
        <f>IF(A3662="","",_xlfn.XLOOKUP(A3662,'DISPATCH SHEET'!B$3:B$121,'DISPATCH SHEET'!C$3:C$121,""))</f>
        <v/>
      </c>
      <c r="C3662" s="14" t="str">
        <f>IF(ISBLANK(A3662),"",_xlfn.XLOOKUP(A3662,'DISPATCH SHEET'!C$3:C$121,'DISPATCH SHEET'!#REF!,""))</f>
        <v/>
      </c>
    </row>
    <row r="3663" spans="2:3" x14ac:dyDescent="0.2">
      <c r="B3663" s="14" t="str">
        <f>IF(A3663="","",_xlfn.XLOOKUP(A3663,'DISPATCH SHEET'!B$3:B$121,'DISPATCH SHEET'!C$3:C$121,""))</f>
        <v/>
      </c>
      <c r="C3663" s="14" t="str">
        <f>IF(ISBLANK(A3663),"",_xlfn.XLOOKUP(A3663,'DISPATCH SHEET'!C$3:C$121,'DISPATCH SHEET'!#REF!,""))</f>
        <v/>
      </c>
    </row>
    <row r="3664" spans="2:3" x14ac:dyDescent="0.2">
      <c r="B3664" s="14" t="str">
        <f>IF(A3664="","",_xlfn.XLOOKUP(A3664,'DISPATCH SHEET'!B$3:B$121,'DISPATCH SHEET'!C$3:C$121,""))</f>
        <v/>
      </c>
      <c r="C3664" s="14" t="str">
        <f>IF(ISBLANK(A3664),"",_xlfn.XLOOKUP(A3664,'DISPATCH SHEET'!C$3:C$121,'DISPATCH SHEET'!#REF!,""))</f>
        <v/>
      </c>
    </row>
    <row r="3665" spans="2:3" x14ac:dyDescent="0.2">
      <c r="B3665" s="14" t="str">
        <f>IF(A3665="","",_xlfn.XLOOKUP(A3665,'DISPATCH SHEET'!B$3:B$121,'DISPATCH SHEET'!C$3:C$121,""))</f>
        <v/>
      </c>
      <c r="C3665" s="14" t="str">
        <f>IF(ISBLANK(A3665),"",_xlfn.XLOOKUP(A3665,'DISPATCH SHEET'!C$3:C$121,'DISPATCH SHEET'!#REF!,""))</f>
        <v/>
      </c>
    </row>
    <row r="3666" spans="2:3" x14ac:dyDescent="0.2">
      <c r="B3666" s="14" t="str">
        <f>IF(A3666="","",_xlfn.XLOOKUP(A3666,'DISPATCH SHEET'!B$3:B$121,'DISPATCH SHEET'!C$3:C$121,""))</f>
        <v/>
      </c>
      <c r="C3666" s="14" t="str">
        <f>IF(ISBLANK(A3666),"",_xlfn.XLOOKUP(A3666,'DISPATCH SHEET'!C$3:C$121,'DISPATCH SHEET'!#REF!,""))</f>
        <v/>
      </c>
    </row>
    <row r="3667" spans="2:3" x14ac:dyDescent="0.2">
      <c r="B3667" s="14" t="str">
        <f>IF(A3667="","",_xlfn.XLOOKUP(A3667,'DISPATCH SHEET'!B$3:B$121,'DISPATCH SHEET'!C$3:C$121,""))</f>
        <v/>
      </c>
      <c r="C3667" s="14" t="str">
        <f>IF(ISBLANK(A3667),"",_xlfn.XLOOKUP(A3667,'DISPATCH SHEET'!C$3:C$121,'DISPATCH SHEET'!#REF!,""))</f>
        <v/>
      </c>
    </row>
    <row r="3668" spans="2:3" x14ac:dyDescent="0.2">
      <c r="B3668" s="14" t="str">
        <f>IF(A3668="","",_xlfn.XLOOKUP(A3668,'DISPATCH SHEET'!B$3:B$121,'DISPATCH SHEET'!C$3:C$121,""))</f>
        <v/>
      </c>
      <c r="C3668" s="14" t="str">
        <f>IF(ISBLANK(A3668),"",_xlfn.XLOOKUP(A3668,'DISPATCH SHEET'!C$3:C$121,'DISPATCH SHEET'!#REF!,""))</f>
        <v/>
      </c>
    </row>
    <row r="3669" spans="2:3" x14ac:dyDescent="0.2">
      <c r="B3669" s="14" t="str">
        <f>IF(A3669="","",_xlfn.XLOOKUP(A3669,'DISPATCH SHEET'!B$3:B$121,'DISPATCH SHEET'!C$3:C$121,""))</f>
        <v/>
      </c>
      <c r="C3669" s="14" t="str">
        <f>IF(ISBLANK(A3669),"",_xlfn.XLOOKUP(A3669,'DISPATCH SHEET'!C$3:C$121,'DISPATCH SHEET'!#REF!,""))</f>
        <v/>
      </c>
    </row>
    <row r="3670" spans="2:3" x14ac:dyDescent="0.2">
      <c r="B3670" s="14" t="str">
        <f>IF(A3670="","",_xlfn.XLOOKUP(A3670,'DISPATCH SHEET'!B$3:B$121,'DISPATCH SHEET'!C$3:C$121,""))</f>
        <v/>
      </c>
      <c r="C3670" s="14" t="str">
        <f>IF(ISBLANK(A3670),"",_xlfn.XLOOKUP(A3670,'DISPATCH SHEET'!C$3:C$121,'DISPATCH SHEET'!#REF!,""))</f>
        <v/>
      </c>
    </row>
    <row r="3671" spans="2:3" x14ac:dyDescent="0.2">
      <c r="B3671" s="14" t="str">
        <f>IF(A3671="","",_xlfn.XLOOKUP(A3671,'DISPATCH SHEET'!B$3:B$121,'DISPATCH SHEET'!C$3:C$121,""))</f>
        <v/>
      </c>
      <c r="C3671" s="14" t="str">
        <f>IF(ISBLANK(A3671),"",_xlfn.XLOOKUP(A3671,'DISPATCH SHEET'!C$3:C$121,'DISPATCH SHEET'!#REF!,""))</f>
        <v/>
      </c>
    </row>
    <row r="3672" spans="2:3" x14ac:dyDescent="0.2">
      <c r="B3672" s="14" t="str">
        <f>IF(A3672="","",_xlfn.XLOOKUP(A3672,'DISPATCH SHEET'!B$3:B$121,'DISPATCH SHEET'!C$3:C$121,""))</f>
        <v/>
      </c>
      <c r="C3672" s="14" t="str">
        <f>IF(ISBLANK(A3672),"",_xlfn.XLOOKUP(A3672,'DISPATCH SHEET'!C$3:C$121,'DISPATCH SHEET'!#REF!,""))</f>
        <v/>
      </c>
    </row>
    <row r="3673" spans="2:3" x14ac:dyDescent="0.2">
      <c r="B3673" s="14" t="str">
        <f>IF(A3673="","",_xlfn.XLOOKUP(A3673,'DISPATCH SHEET'!B$3:B$121,'DISPATCH SHEET'!C$3:C$121,""))</f>
        <v/>
      </c>
      <c r="C3673" s="14" t="str">
        <f>IF(ISBLANK(A3673),"",_xlfn.XLOOKUP(A3673,'DISPATCH SHEET'!C$3:C$121,'DISPATCH SHEET'!#REF!,""))</f>
        <v/>
      </c>
    </row>
    <row r="3674" spans="2:3" x14ac:dyDescent="0.2">
      <c r="B3674" s="14" t="str">
        <f>IF(A3674="","",_xlfn.XLOOKUP(A3674,'DISPATCH SHEET'!B$3:B$121,'DISPATCH SHEET'!C$3:C$121,""))</f>
        <v/>
      </c>
      <c r="C3674" s="14" t="str">
        <f>IF(ISBLANK(A3674),"",_xlfn.XLOOKUP(A3674,'DISPATCH SHEET'!C$3:C$121,'DISPATCH SHEET'!#REF!,""))</f>
        <v/>
      </c>
    </row>
    <row r="3675" spans="2:3" x14ac:dyDescent="0.2">
      <c r="B3675" s="14" t="str">
        <f>IF(A3675="","",_xlfn.XLOOKUP(A3675,'DISPATCH SHEET'!B$3:B$121,'DISPATCH SHEET'!C$3:C$121,""))</f>
        <v/>
      </c>
      <c r="C3675" s="14" t="str">
        <f>IF(ISBLANK(A3675),"",_xlfn.XLOOKUP(A3675,'DISPATCH SHEET'!C$3:C$121,'DISPATCH SHEET'!#REF!,""))</f>
        <v/>
      </c>
    </row>
    <row r="3676" spans="2:3" x14ac:dyDescent="0.2">
      <c r="B3676" s="14" t="str">
        <f>IF(A3676="","",_xlfn.XLOOKUP(A3676,'DISPATCH SHEET'!B$3:B$121,'DISPATCH SHEET'!C$3:C$121,""))</f>
        <v/>
      </c>
      <c r="C3676" s="14" t="str">
        <f>IF(ISBLANK(A3676),"",_xlfn.XLOOKUP(A3676,'DISPATCH SHEET'!C$3:C$121,'DISPATCH SHEET'!#REF!,""))</f>
        <v/>
      </c>
    </row>
    <row r="3677" spans="2:3" x14ac:dyDescent="0.2">
      <c r="B3677" s="14" t="str">
        <f>IF(A3677="","",_xlfn.XLOOKUP(A3677,'DISPATCH SHEET'!B$3:B$121,'DISPATCH SHEET'!C$3:C$121,""))</f>
        <v/>
      </c>
      <c r="C3677" s="14" t="str">
        <f>IF(ISBLANK(A3677),"",_xlfn.XLOOKUP(A3677,'DISPATCH SHEET'!C$3:C$121,'DISPATCH SHEET'!#REF!,""))</f>
        <v/>
      </c>
    </row>
    <row r="3678" spans="2:3" x14ac:dyDescent="0.2">
      <c r="B3678" s="14" t="str">
        <f>IF(A3678="","",_xlfn.XLOOKUP(A3678,'DISPATCH SHEET'!B$3:B$121,'DISPATCH SHEET'!C$3:C$121,""))</f>
        <v/>
      </c>
      <c r="C3678" s="14" t="str">
        <f>IF(ISBLANK(A3678),"",_xlfn.XLOOKUP(A3678,'DISPATCH SHEET'!C$3:C$121,'DISPATCH SHEET'!#REF!,""))</f>
        <v/>
      </c>
    </row>
    <row r="3679" spans="2:3" x14ac:dyDescent="0.2">
      <c r="B3679" s="14" t="str">
        <f>IF(A3679="","",_xlfn.XLOOKUP(A3679,'DISPATCH SHEET'!B$3:B$121,'DISPATCH SHEET'!C$3:C$121,""))</f>
        <v/>
      </c>
      <c r="C3679" s="14" t="str">
        <f>IF(ISBLANK(A3679),"",_xlfn.XLOOKUP(A3679,'DISPATCH SHEET'!C$3:C$121,'DISPATCH SHEET'!#REF!,""))</f>
        <v/>
      </c>
    </row>
    <row r="3680" spans="2:3" x14ac:dyDescent="0.2">
      <c r="B3680" s="14" t="str">
        <f>IF(A3680="","",_xlfn.XLOOKUP(A3680,'DISPATCH SHEET'!B$3:B$121,'DISPATCH SHEET'!C$3:C$121,""))</f>
        <v/>
      </c>
      <c r="C3680" s="14" t="str">
        <f>IF(ISBLANK(A3680),"",_xlfn.XLOOKUP(A3680,'DISPATCH SHEET'!C$3:C$121,'DISPATCH SHEET'!#REF!,""))</f>
        <v/>
      </c>
    </row>
    <row r="3681" spans="2:3" x14ac:dyDescent="0.2">
      <c r="B3681" s="14" t="str">
        <f>IF(A3681="","",_xlfn.XLOOKUP(A3681,'DISPATCH SHEET'!B$3:B$121,'DISPATCH SHEET'!C$3:C$121,""))</f>
        <v/>
      </c>
      <c r="C3681" s="14" t="str">
        <f>IF(ISBLANK(A3681),"",_xlfn.XLOOKUP(A3681,'DISPATCH SHEET'!C$3:C$121,'DISPATCH SHEET'!#REF!,""))</f>
        <v/>
      </c>
    </row>
    <row r="3682" spans="2:3" x14ac:dyDescent="0.2">
      <c r="B3682" s="14" t="str">
        <f>IF(A3682="","",_xlfn.XLOOKUP(A3682,'DISPATCH SHEET'!B$3:B$121,'DISPATCH SHEET'!C$3:C$121,""))</f>
        <v/>
      </c>
      <c r="C3682" s="14" t="str">
        <f>IF(ISBLANK(A3682),"",_xlfn.XLOOKUP(A3682,'DISPATCH SHEET'!C$3:C$121,'DISPATCH SHEET'!#REF!,""))</f>
        <v/>
      </c>
    </row>
    <row r="3683" spans="2:3" x14ac:dyDescent="0.2">
      <c r="B3683" s="14" t="str">
        <f>IF(A3683="","",_xlfn.XLOOKUP(A3683,'DISPATCH SHEET'!B$3:B$121,'DISPATCH SHEET'!C$3:C$121,""))</f>
        <v/>
      </c>
      <c r="C3683" s="14" t="str">
        <f>IF(ISBLANK(A3683),"",_xlfn.XLOOKUP(A3683,'DISPATCH SHEET'!C$3:C$121,'DISPATCH SHEET'!#REF!,""))</f>
        <v/>
      </c>
    </row>
    <row r="3684" spans="2:3" x14ac:dyDescent="0.2">
      <c r="B3684" s="14" t="str">
        <f>IF(A3684="","",_xlfn.XLOOKUP(A3684,'DISPATCH SHEET'!B$3:B$121,'DISPATCH SHEET'!C$3:C$121,""))</f>
        <v/>
      </c>
      <c r="C3684" s="14" t="str">
        <f>IF(ISBLANK(A3684),"",_xlfn.XLOOKUP(A3684,'DISPATCH SHEET'!C$3:C$121,'DISPATCH SHEET'!#REF!,""))</f>
        <v/>
      </c>
    </row>
    <row r="3685" spans="2:3" x14ac:dyDescent="0.2">
      <c r="B3685" s="14" t="str">
        <f>IF(A3685="","",_xlfn.XLOOKUP(A3685,'DISPATCH SHEET'!B$3:B$121,'DISPATCH SHEET'!C$3:C$121,""))</f>
        <v/>
      </c>
      <c r="C3685" s="14" t="str">
        <f>IF(ISBLANK(A3685),"",_xlfn.XLOOKUP(A3685,'DISPATCH SHEET'!C$3:C$121,'DISPATCH SHEET'!#REF!,""))</f>
        <v/>
      </c>
    </row>
    <row r="3686" spans="2:3" x14ac:dyDescent="0.2">
      <c r="B3686" s="14" t="str">
        <f>IF(A3686="","",_xlfn.XLOOKUP(A3686,'DISPATCH SHEET'!B$3:B$121,'DISPATCH SHEET'!C$3:C$121,""))</f>
        <v/>
      </c>
      <c r="C3686" s="14" t="str">
        <f>IF(ISBLANK(A3686),"",_xlfn.XLOOKUP(A3686,'DISPATCH SHEET'!C$3:C$121,'DISPATCH SHEET'!#REF!,""))</f>
        <v/>
      </c>
    </row>
    <row r="3687" spans="2:3" x14ac:dyDescent="0.2">
      <c r="B3687" s="14" t="str">
        <f>IF(A3687="","",_xlfn.XLOOKUP(A3687,'DISPATCH SHEET'!B$3:B$121,'DISPATCH SHEET'!C$3:C$121,""))</f>
        <v/>
      </c>
      <c r="C3687" s="14" t="str">
        <f>IF(ISBLANK(A3687),"",_xlfn.XLOOKUP(A3687,'DISPATCH SHEET'!C$3:C$121,'DISPATCH SHEET'!#REF!,""))</f>
        <v/>
      </c>
    </row>
    <row r="3688" spans="2:3" x14ac:dyDescent="0.2">
      <c r="B3688" s="14" t="str">
        <f>IF(A3688="","",_xlfn.XLOOKUP(A3688,'DISPATCH SHEET'!B$3:B$121,'DISPATCH SHEET'!C$3:C$121,""))</f>
        <v/>
      </c>
      <c r="C3688" s="14" t="str">
        <f>IF(ISBLANK(A3688),"",_xlfn.XLOOKUP(A3688,'DISPATCH SHEET'!C$3:C$121,'DISPATCH SHEET'!#REF!,""))</f>
        <v/>
      </c>
    </row>
    <row r="3689" spans="2:3" x14ac:dyDescent="0.2">
      <c r="B3689" s="14" t="str">
        <f>IF(A3689="","",_xlfn.XLOOKUP(A3689,'DISPATCH SHEET'!B$3:B$121,'DISPATCH SHEET'!C$3:C$121,""))</f>
        <v/>
      </c>
      <c r="C3689" s="14" t="str">
        <f>IF(ISBLANK(A3689),"",_xlfn.XLOOKUP(A3689,'DISPATCH SHEET'!C$3:C$121,'DISPATCH SHEET'!#REF!,""))</f>
        <v/>
      </c>
    </row>
    <row r="3690" spans="2:3" x14ac:dyDescent="0.2">
      <c r="B3690" s="14" t="str">
        <f>IF(A3690="","",_xlfn.XLOOKUP(A3690,'DISPATCH SHEET'!B$3:B$121,'DISPATCH SHEET'!C$3:C$121,""))</f>
        <v/>
      </c>
      <c r="C3690" s="14" t="str">
        <f>IF(ISBLANK(A3690),"",_xlfn.XLOOKUP(A3690,'DISPATCH SHEET'!C$3:C$121,'DISPATCH SHEET'!#REF!,""))</f>
        <v/>
      </c>
    </row>
    <row r="3691" spans="2:3" x14ac:dyDescent="0.2">
      <c r="B3691" s="14" t="str">
        <f>IF(A3691="","",_xlfn.XLOOKUP(A3691,'DISPATCH SHEET'!B$3:B$121,'DISPATCH SHEET'!C$3:C$121,""))</f>
        <v/>
      </c>
      <c r="C3691" s="14" t="str">
        <f>IF(ISBLANK(A3691),"",_xlfn.XLOOKUP(A3691,'DISPATCH SHEET'!C$3:C$121,'DISPATCH SHEET'!#REF!,""))</f>
        <v/>
      </c>
    </row>
    <row r="3692" spans="2:3" x14ac:dyDescent="0.2">
      <c r="B3692" s="14" t="str">
        <f>IF(A3692="","",_xlfn.XLOOKUP(A3692,'DISPATCH SHEET'!B$3:B$121,'DISPATCH SHEET'!C$3:C$121,""))</f>
        <v/>
      </c>
      <c r="C3692" s="14" t="str">
        <f>IF(ISBLANK(A3692),"",_xlfn.XLOOKUP(A3692,'DISPATCH SHEET'!C$3:C$121,'DISPATCH SHEET'!#REF!,""))</f>
        <v/>
      </c>
    </row>
    <row r="3693" spans="2:3" x14ac:dyDescent="0.2">
      <c r="B3693" s="14" t="str">
        <f>IF(A3693="","",_xlfn.XLOOKUP(A3693,'DISPATCH SHEET'!B$3:B$121,'DISPATCH SHEET'!C$3:C$121,""))</f>
        <v/>
      </c>
      <c r="C3693" s="14" t="str">
        <f>IF(ISBLANK(A3693),"",_xlfn.XLOOKUP(A3693,'DISPATCH SHEET'!C$3:C$121,'DISPATCH SHEET'!#REF!,""))</f>
        <v/>
      </c>
    </row>
    <row r="3694" spans="2:3" x14ac:dyDescent="0.2">
      <c r="B3694" s="14" t="str">
        <f>IF(A3694="","",_xlfn.XLOOKUP(A3694,'DISPATCH SHEET'!B$3:B$121,'DISPATCH SHEET'!C$3:C$121,""))</f>
        <v/>
      </c>
      <c r="C3694" s="14" t="str">
        <f>IF(ISBLANK(A3694),"",_xlfn.XLOOKUP(A3694,'DISPATCH SHEET'!C$3:C$121,'DISPATCH SHEET'!#REF!,""))</f>
        <v/>
      </c>
    </row>
    <row r="3695" spans="2:3" x14ac:dyDescent="0.2">
      <c r="B3695" s="14" t="str">
        <f>IF(A3695="","",_xlfn.XLOOKUP(A3695,'DISPATCH SHEET'!B$3:B$121,'DISPATCH SHEET'!C$3:C$121,""))</f>
        <v/>
      </c>
      <c r="C3695" s="14" t="str">
        <f>IF(ISBLANK(A3695),"",_xlfn.XLOOKUP(A3695,'DISPATCH SHEET'!C$3:C$121,'DISPATCH SHEET'!#REF!,""))</f>
        <v/>
      </c>
    </row>
    <row r="3696" spans="2:3" x14ac:dyDescent="0.2">
      <c r="B3696" s="14" t="str">
        <f>IF(A3696="","",_xlfn.XLOOKUP(A3696,'DISPATCH SHEET'!B$3:B$121,'DISPATCH SHEET'!C$3:C$121,""))</f>
        <v/>
      </c>
      <c r="C3696" s="14" t="str">
        <f>IF(ISBLANK(A3696),"",_xlfn.XLOOKUP(A3696,'DISPATCH SHEET'!C$3:C$121,'DISPATCH SHEET'!#REF!,""))</f>
        <v/>
      </c>
    </row>
    <row r="3697" spans="2:3" x14ac:dyDescent="0.2">
      <c r="B3697" s="14" t="str">
        <f>IF(A3697="","",_xlfn.XLOOKUP(A3697,'DISPATCH SHEET'!B$3:B$121,'DISPATCH SHEET'!C$3:C$121,""))</f>
        <v/>
      </c>
      <c r="C3697" s="14" t="str">
        <f>IF(ISBLANK(A3697),"",_xlfn.XLOOKUP(A3697,'DISPATCH SHEET'!C$3:C$121,'DISPATCH SHEET'!#REF!,""))</f>
        <v/>
      </c>
    </row>
    <row r="3698" spans="2:3" x14ac:dyDescent="0.2">
      <c r="B3698" s="14" t="str">
        <f>IF(A3698="","",_xlfn.XLOOKUP(A3698,'DISPATCH SHEET'!B$3:B$121,'DISPATCH SHEET'!C$3:C$121,""))</f>
        <v/>
      </c>
      <c r="C3698" s="14" t="str">
        <f>IF(ISBLANK(A3698),"",_xlfn.XLOOKUP(A3698,'DISPATCH SHEET'!C$3:C$121,'DISPATCH SHEET'!#REF!,""))</f>
        <v/>
      </c>
    </row>
    <row r="3699" spans="2:3" x14ac:dyDescent="0.2">
      <c r="B3699" s="14" t="str">
        <f>IF(A3699="","",_xlfn.XLOOKUP(A3699,'DISPATCH SHEET'!B$3:B$121,'DISPATCH SHEET'!C$3:C$121,""))</f>
        <v/>
      </c>
      <c r="C3699" s="14" t="str">
        <f>IF(ISBLANK(A3699),"",_xlfn.XLOOKUP(A3699,'DISPATCH SHEET'!C$3:C$121,'DISPATCH SHEET'!#REF!,""))</f>
        <v/>
      </c>
    </row>
    <row r="3700" spans="2:3" x14ac:dyDescent="0.2">
      <c r="B3700" s="14" t="str">
        <f>IF(A3700="","",_xlfn.XLOOKUP(A3700,'DISPATCH SHEET'!B$3:B$121,'DISPATCH SHEET'!C$3:C$121,""))</f>
        <v/>
      </c>
      <c r="C3700" s="14" t="str">
        <f>IF(ISBLANK(A3700),"",_xlfn.XLOOKUP(A3700,'DISPATCH SHEET'!C$3:C$121,'DISPATCH SHEET'!#REF!,""))</f>
        <v/>
      </c>
    </row>
    <row r="3701" spans="2:3" x14ac:dyDescent="0.2">
      <c r="B3701" s="14" t="str">
        <f>IF(A3701="","",_xlfn.XLOOKUP(A3701,'DISPATCH SHEET'!B$3:B$121,'DISPATCH SHEET'!C$3:C$121,""))</f>
        <v/>
      </c>
      <c r="C3701" s="14" t="str">
        <f>IF(ISBLANK(A3701),"",_xlfn.XLOOKUP(A3701,'DISPATCH SHEET'!C$3:C$121,'DISPATCH SHEET'!#REF!,""))</f>
        <v/>
      </c>
    </row>
    <row r="3702" spans="2:3" x14ac:dyDescent="0.2">
      <c r="B3702" s="14" t="str">
        <f>IF(A3702="","",_xlfn.XLOOKUP(A3702,'DISPATCH SHEET'!B$3:B$121,'DISPATCH SHEET'!C$3:C$121,""))</f>
        <v/>
      </c>
      <c r="C3702" s="14" t="str">
        <f>IF(ISBLANK(A3702),"",_xlfn.XLOOKUP(A3702,'DISPATCH SHEET'!C$3:C$121,'DISPATCH SHEET'!#REF!,""))</f>
        <v/>
      </c>
    </row>
    <row r="3703" spans="2:3" x14ac:dyDescent="0.2">
      <c r="B3703" s="14" t="str">
        <f>IF(A3703="","",_xlfn.XLOOKUP(A3703,'DISPATCH SHEET'!B$3:B$121,'DISPATCH SHEET'!C$3:C$121,""))</f>
        <v/>
      </c>
      <c r="C3703" s="14" t="str">
        <f>IF(ISBLANK(A3703),"",_xlfn.XLOOKUP(A3703,'DISPATCH SHEET'!C$3:C$121,'DISPATCH SHEET'!#REF!,""))</f>
        <v/>
      </c>
    </row>
    <row r="3704" spans="2:3" x14ac:dyDescent="0.2">
      <c r="B3704" s="14" t="str">
        <f>IF(A3704="","",_xlfn.XLOOKUP(A3704,'DISPATCH SHEET'!B$3:B$121,'DISPATCH SHEET'!C$3:C$121,""))</f>
        <v/>
      </c>
      <c r="C3704" s="14" t="str">
        <f>IF(ISBLANK(A3704),"",_xlfn.XLOOKUP(A3704,'DISPATCH SHEET'!C$3:C$121,'DISPATCH SHEET'!#REF!,""))</f>
        <v/>
      </c>
    </row>
    <row r="3705" spans="2:3" x14ac:dyDescent="0.2">
      <c r="B3705" s="14" t="str">
        <f>IF(A3705="","",_xlfn.XLOOKUP(A3705,'DISPATCH SHEET'!B$3:B$121,'DISPATCH SHEET'!C$3:C$121,""))</f>
        <v/>
      </c>
      <c r="C3705" s="14" t="str">
        <f>IF(ISBLANK(A3705),"",_xlfn.XLOOKUP(A3705,'DISPATCH SHEET'!C$3:C$121,'DISPATCH SHEET'!#REF!,""))</f>
        <v/>
      </c>
    </row>
    <row r="3706" spans="2:3" x14ac:dyDescent="0.2">
      <c r="B3706" s="14" t="str">
        <f>IF(A3706="","",_xlfn.XLOOKUP(A3706,'DISPATCH SHEET'!B$3:B$121,'DISPATCH SHEET'!C$3:C$121,""))</f>
        <v/>
      </c>
      <c r="C3706" s="14" t="str">
        <f>IF(ISBLANK(A3706),"",_xlfn.XLOOKUP(A3706,'DISPATCH SHEET'!C$3:C$121,'DISPATCH SHEET'!#REF!,""))</f>
        <v/>
      </c>
    </row>
    <row r="3707" spans="2:3" x14ac:dyDescent="0.2">
      <c r="B3707" s="14" t="str">
        <f>IF(A3707="","",_xlfn.XLOOKUP(A3707,'DISPATCH SHEET'!B$3:B$121,'DISPATCH SHEET'!C$3:C$121,""))</f>
        <v/>
      </c>
      <c r="C3707" s="14" t="str">
        <f>IF(ISBLANK(A3707),"",_xlfn.XLOOKUP(A3707,'DISPATCH SHEET'!C$3:C$121,'DISPATCH SHEET'!#REF!,""))</f>
        <v/>
      </c>
    </row>
    <row r="3708" spans="2:3" x14ac:dyDescent="0.2">
      <c r="B3708" s="14" t="str">
        <f>IF(A3708="","",_xlfn.XLOOKUP(A3708,'DISPATCH SHEET'!B$3:B$121,'DISPATCH SHEET'!C$3:C$121,""))</f>
        <v/>
      </c>
      <c r="C3708" s="14" t="str">
        <f>IF(ISBLANK(A3708),"",_xlfn.XLOOKUP(A3708,'DISPATCH SHEET'!C$3:C$121,'DISPATCH SHEET'!#REF!,""))</f>
        <v/>
      </c>
    </row>
    <row r="3709" spans="2:3" x14ac:dyDescent="0.2">
      <c r="B3709" s="14" t="str">
        <f>IF(A3709="","",_xlfn.XLOOKUP(A3709,'DISPATCH SHEET'!B$3:B$121,'DISPATCH SHEET'!C$3:C$121,""))</f>
        <v/>
      </c>
      <c r="C3709" s="14" t="str">
        <f>IF(ISBLANK(A3709),"",_xlfn.XLOOKUP(A3709,'DISPATCH SHEET'!C$3:C$121,'DISPATCH SHEET'!#REF!,""))</f>
        <v/>
      </c>
    </row>
    <row r="3710" spans="2:3" x14ac:dyDescent="0.2">
      <c r="B3710" s="14" t="str">
        <f>IF(A3710="","",_xlfn.XLOOKUP(A3710,'DISPATCH SHEET'!B$3:B$121,'DISPATCH SHEET'!C$3:C$121,""))</f>
        <v/>
      </c>
      <c r="C3710" s="14" t="str">
        <f>IF(ISBLANK(A3710),"",_xlfn.XLOOKUP(A3710,'DISPATCH SHEET'!C$3:C$121,'DISPATCH SHEET'!#REF!,""))</f>
        <v/>
      </c>
    </row>
    <row r="3711" spans="2:3" x14ac:dyDescent="0.2">
      <c r="B3711" s="14" t="str">
        <f>IF(A3711="","",_xlfn.XLOOKUP(A3711,'DISPATCH SHEET'!B$3:B$121,'DISPATCH SHEET'!C$3:C$121,""))</f>
        <v/>
      </c>
      <c r="C3711" s="14" t="str">
        <f>IF(ISBLANK(A3711),"",_xlfn.XLOOKUP(A3711,'DISPATCH SHEET'!C$3:C$121,'DISPATCH SHEET'!#REF!,""))</f>
        <v/>
      </c>
    </row>
    <row r="3712" spans="2:3" x14ac:dyDescent="0.2">
      <c r="B3712" s="14" t="str">
        <f>IF(A3712="","",_xlfn.XLOOKUP(A3712,'DISPATCH SHEET'!B$3:B$121,'DISPATCH SHEET'!C$3:C$121,""))</f>
        <v/>
      </c>
      <c r="C3712" s="14" t="str">
        <f>IF(ISBLANK(A3712),"",_xlfn.XLOOKUP(A3712,'DISPATCH SHEET'!C$3:C$121,'DISPATCH SHEET'!#REF!,""))</f>
        <v/>
      </c>
    </row>
    <row r="3713" spans="2:3" x14ac:dyDescent="0.2">
      <c r="B3713" s="14" t="str">
        <f>IF(A3713="","",_xlfn.XLOOKUP(A3713,'DISPATCH SHEET'!B$3:B$121,'DISPATCH SHEET'!C$3:C$121,""))</f>
        <v/>
      </c>
      <c r="C3713" s="14" t="str">
        <f>IF(ISBLANK(A3713),"",_xlfn.XLOOKUP(A3713,'DISPATCH SHEET'!C$3:C$121,'DISPATCH SHEET'!#REF!,""))</f>
        <v/>
      </c>
    </row>
    <row r="3714" spans="2:3" x14ac:dyDescent="0.2">
      <c r="B3714" s="14" t="str">
        <f>IF(A3714="","",_xlfn.XLOOKUP(A3714,'DISPATCH SHEET'!B$3:B$121,'DISPATCH SHEET'!C$3:C$121,""))</f>
        <v/>
      </c>
      <c r="C3714" s="14" t="str">
        <f>IF(ISBLANK(A3714),"",_xlfn.XLOOKUP(A3714,'DISPATCH SHEET'!C$3:C$121,'DISPATCH SHEET'!#REF!,""))</f>
        <v/>
      </c>
    </row>
    <row r="3715" spans="2:3" x14ac:dyDescent="0.2">
      <c r="B3715" s="14" t="str">
        <f>IF(A3715="","",_xlfn.XLOOKUP(A3715,'DISPATCH SHEET'!B$3:B$121,'DISPATCH SHEET'!C$3:C$121,""))</f>
        <v/>
      </c>
      <c r="C3715" s="14" t="str">
        <f>IF(ISBLANK(A3715),"",_xlfn.XLOOKUP(A3715,'DISPATCH SHEET'!C$3:C$121,'DISPATCH SHEET'!#REF!,""))</f>
        <v/>
      </c>
    </row>
    <row r="3716" spans="2:3" x14ac:dyDescent="0.2">
      <c r="B3716" s="14" t="str">
        <f>IF(A3716="","",_xlfn.XLOOKUP(A3716,'DISPATCH SHEET'!B$3:B$121,'DISPATCH SHEET'!C$3:C$121,""))</f>
        <v/>
      </c>
      <c r="C3716" s="14" t="str">
        <f>IF(ISBLANK(A3716),"",_xlfn.XLOOKUP(A3716,'DISPATCH SHEET'!C$3:C$121,'DISPATCH SHEET'!#REF!,""))</f>
        <v/>
      </c>
    </row>
    <row r="3717" spans="2:3" x14ac:dyDescent="0.2">
      <c r="B3717" s="14" t="str">
        <f>IF(A3717="","",_xlfn.XLOOKUP(A3717,'DISPATCH SHEET'!B$3:B$121,'DISPATCH SHEET'!C$3:C$121,""))</f>
        <v/>
      </c>
      <c r="C3717" s="14" t="str">
        <f>IF(ISBLANK(A3717),"",_xlfn.XLOOKUP(A3717,'DISPATCH SHEET'!C$3:C$121,'DISPATCH SHEET'!#REF!,""))</f>
        <v/>
      </c>
    </row>
    <row r="3718" spans="2:3" x14ac:dyDescent="0.2">
      <c r="B3718" s="14" t="str">
        <f>IF(A3718="","",_xlfn.XLOOKUP(A3718,'DISPATCH SHEET'!B$3:B$121,'DISPATCH SHEET'!C$3:C$121,""))</f>
        <v/>
      </c>
      <c r="C3718" s="14" t="str">
        <f>IF(ISBLANK(A3718),"",_xlfn.XLOOKUP(A3718,'DISPATCH SHEET'!C$3:C$121,'DISPATCH SHEET'!#REF!,""))</f>
        <v/>
      </c>
    </row>
    <row r="3719" spans="2:3" x14ac:dyDescent="0.2">
      <c r="B3719" s="14" t="str">
        <f>IF(A3719="","",_xlfn.XLOOKUP(A3719,'DISPATCH SHEET'!B$3:B$121,'DISPATCH SHEET'!C$3:C$121,""))</f>
        <v/>
      </c>
      <c r="C3719" s="14" t="str">
        <f>IF(ISBLANK(A3719),"",_xlfn.XLOOKUP(A3719,'DISPATCH SHEET'!C$3:C$121,'DISPATCH SHEET'!#REF!,""))</f>
        <v/>
      </c>
    </row>
    <row r="3720" spans="2:3" x14ac:dyDescent="0.2">
      <c r="B3720" s="14" t="str">
        <f>IF(A3720="","",_xlfn.XLOOKUP(A3720,'DISPATCH SHEET'!B$3:B$121,'DISPATCH SHEET'!C$3:C$121,""))</f>
        <v/>
      </c>
      <c r="C3720" s="14" t="str">
        <f>IF(ISBLANK(A3720),"",_xlfn.XLOOKUP(A3720,'DISPATCH SHEET'!C$3:C$121,'DISPATCH SHEET'!#REF!,""))</f>
        <v/>
      </c>
    </row>
    <row r="3721" spans="2:3" x14ac:dyDescent="0.2">
      <c r="B3721" s="14" t="str">
        <f>IF(A3721="","",_xlfn.XLOOKUP(A3721,'DISPATCH SHEET'!B$3:B$121,'DISPATCH SHEET'!C$3:C$121,""))</f>
        <v/>
      </c>
      <c r="C3721" s="14" t="str">
        <f>IF(ISBLANK(A3721),"",_xlfn.XLOOKUP(A3721,'DISPATCH SHEET'!C$3:C$121,'DISPATCH SHEET'!#REF!,""))</f>
        <v/>
      </c>
    </row>
    <row r="3722" spans="2:3" x14ac:dyDescent="0.2">
      <c r="B3722" s="14" t="str">
        <f>IF(A3722="","",_xlfn.XLOOKUP(A3722,'DISPATCH SHEET'!B$3:B$121,'DISPATCH SHEET'!C$3:C$121,""))</f>
        <v/>
      </c>
      <c r="C3722" s="14" t="str">
        <f>IF(ISBLANK(A3722),"",_xlfn.XLOOKUP(A3722,'DISPATCH SHEET'!C$3:C$121,'DISPATCH SHEET'!#REF!,""))</f>
        <v/>
      </c>
    </row>
    <row r="3723" spans="2:3" x14ac:dyDescent="0.2">
      <c r="B3723" s="14" t="str">
        <f>IF(A3723="","",_xlfn.XLOOKUP(A3723,'DISPATCH SHEET'!B$3:B$121,'DISPATCH SHEET'!C$3:C$121,""))</f>
        <v/>
      </c>
      <c r="C3723" s="14" t="str">
        <f>IF(ISBLANK(A3723),"",_xlfn.XLOOKUP(A3723,'DISPATCH SHEET'!C$3:C$121,'DISPATCH SHEET'!#REF!,""))</f>
        <v/>
      </c>
    </row>
    <row r="3724" spans="2:3" x14ac:dyDescent="0.2">
      <c r="B3724" s="14" t="str">
        <f>IF(A3724="","",_xlfn.XLOOKUP(A3724,'DISPATCH SHEET'!B$3:B$121,'DISPATCH SHEET'!C$3:C$121,""))</f>
        <v/>
      </c>
      <c r="C3724" s="14" t="str">
        <f>IF(ISBLANK(A3724),"",_xlfn.XLOOKUP(A3724,'DISPATCH SHEET'!C$3:C$121,'DISPATCH SHEET'!#REF!,""))</f>
        <v/>
      </c>
    </row>
    <row r="3725" spans="2:3" x14ac:dyDescent="0.2">
      <c r="B3725" s="14" t="str">
        <f>IF(A3725="","",_xlfn.XLOOKUP(A3725,'DISPATCH SHEET'!B$3:B$121,'DISPATCH SHEET'!C$3:C$121,""))</f>
        <v/>
      </c>
      <c r="C3725" s="14" t="str">
        <f>IF(ISBLANK(A3725),"",_xlfn.XLOOKUP(A3725,'DISPATCH SHEET'!C$3:C$121,'DISPATCH SHEET'!#REF!,""))</f>
        <v/>
      </c>
    </row>
    <row r="3726" spans="2:3" x14ac:dyDescent="0.2">
      <c r="B3726" s="14" t="str">
        <f>IF(A3726="","",_xlfn.XLOOKUP(A3726,'DISPATCH SHEET'!B$3:B$121,'DISPATCH SHEET'!C$3:C$121,""))</f>
        <v/>
      </c>
      <c r="C3726" s="14" t="str">
        <f>IF(ISBLANK(A3726),"",_xlfn.XLOOKUP(A3726,'DISPATCH SHEET'!C$3:C$121,'DISPATCH SHEET'!#REF!,""))</f>
        <v/>
      </c>
    </row>
    <row r="3727" spans="2:3" x14ac:dyDescent="0.2">
      <c r="B3727" s="14" t="str">
        <f>IF(A3727="","",_xlfn.XLOOKUP(A3727,'DISPATCH SHEET'!B$3:B$121,'DISPATCH SHEET'!C$3:C$121,""))</f>
        <v/>
      </c>
      <c r="C3727" s="14" t="str">
        <f>IF(ISBLANK(A3727),"",_xlfn.XLOOKUP(A3727,'DISPATCH SHEET'!C$3:C$121,'DISPATCH SHEET'!#REF!,""))</f>
        <v/>
      </c>
    </row>
    <row r="3728" spans="2:3" x14ac:dyDescent="0.2">
      <c r="B3728" s="14" t="str">
        <f>IF(A3728="","",_xlfn.XLOOKUP(A3728,'DISPATCH SHEET'!B$3:B$121,'DISPATCH SHEET'!C$3:C$121,""))</f>
        <v/>
      </c>
      <c r="C3728" s="14" t="str">
        <f>IF(ISBLANK(A3728),"",_xlfn.XLOOKUP(A3728,'DISPATCH SHEET'!C$3:C$121,'DISPATCH SHEET'!#REF!,""))</f>
        <v/>
      </c>
    </row>
    <row r="3729" spans="2:3" x14ac:dyDescent="0.2">
      <c r="B3729" s="14" t="str">
        <f>IF(A3729="","",_xlfn.XLOOKUP(A3729,'DISPATCH SHEET'!B$3:B$121,'DISPATCH SHEET'!C$3:C$121,""))</f>
        <v/>
      </c>
      <c r="C3729" s="14" t="str">
        <f>IF(ISBLANK(A3729),"",_xlfn.XLOOKUP(A3729,'DISPATCH SHEET'!C$3:C$121,'DISPATCH SHEET'!#REF!,""))</f>
        <v/>
      </c>
    </row>
    <row r="3730" spans="2:3" x14ac:dyDescent="0.2">
      <c r="B3730" s="14" t="str">
        <f>IF(A3730="","",_xlfn.XLOOKUP(A3730,'DISPATCH SHEET'!B$3:B$121,'DISPATCH SHEET'!C$3:C$121,""))</f>
        <v/>
      </c>
      <c r="C3730" s="14" t="str">
        <f>IF(ISBLANK(A3730),"",_xlfn.XLOOKUP(A3730,'DISPATCH SHEET'!C$3:C$121,'DISPATCH SHEET'!#REF!,""))</f>
        <v/>
      </c>
    </row>
    <row r="3731" spans="2:3" x14ac:dyDescent="0.2">
      <c r="B3731" s="14" t="str">
        <f>IF(A3731="","",_xlfn.XLOOKUP(A3731,'DISPATCH SHEET'!B$3:B$121,'DISPATCH SHEET'!C$3:C$121,""))</f>
        <v/>
      </c>
      <c r="C3731" s="14" t="str">
        <f>IF(ISBLANK(A3731),"",_xlfn.XLOOKUP(A3731,'DISPATCH SHEET'!C$3:C$121,'DISPATCH SHEET'!#REF!,""))</f>
        <v/>
      </c>
    </row>
    <row r="3732" spans="2:3" x14ac:dyDescent="0.2">
      <c r="B3732" s="14" t="str">
        <f>IF(A3732="","",_xlfn.XLOOKUP(A3732,'DISPATCH SHEET'!B$3:B$121,'DISPATCH SHEET'!C$3:C$121,""))</f>
        <v/>
      </c>
      <c r="C3732" s="14" t="str">
        <f>IF(ISBLANK(A3732),"",_xlfn.XLOOKUP(A3732,'DISPATCH SHEET'!C$3:C$121,'DISPATCH SHEET'!#REF!,""))</f>
        <v/>
      </c>
    </row>
    <row r="3733" spans="2:3" x14ac:dyDescent="0.2">
      <c r="B3733" s="14" t="str">
        <f>IF(A3733="","",_xlfn.XLOOKUP(A3733,'DISPATCH SHEET'!B$3:B$121,'DISPATCH SHEET'!C$3:C$121,""))</f>
        <v/>
      </c>
      <c r="C3733" s="14" t="str">
        <f>IF(ISBLANK(A3733),"",_xlfn.XLOOKUP(A3733,'DISPATCH SHEET'!C$3:C$121,'DISPATCH SHEET'!#REF!,""))</f>
        <v/>
      </c>
    </row>
    <row r="3734" spans="2:3" x14ac:dyDescent="0.2">
      <c r="B3734" s="14" t="str">
        <f>IF(A3734="","",_xlfn.XLOOKUP(A3734,'DISPATCH SHEET'!B$3:B$121,'DISPATCH SHEET'!C$3:C$121,""))</f>
        <v/>
      </c>
      <c r="C3734" s="14" t="str">
        <f>IF(ISBLANK(A3734),"",_xlfn.XLOOKUP(A3734,'DISPATCH SHEET'!C$3:C$121,'DISPATCH SHEET'!#REF!,""))</f>
        <v/>
      </c>
    </row>
    <row r="3735" spans="2:3" x14ac:dyDescent="0.2">
      <c r="B3735" s="14" t="str">
        <f>IF(A3735="","",_xlfn.XLOOKUP(A3735,'DISPATCH SHEET'!B$3:B$121,'DISPATCH SHEET'!C$3:C$121,""))</f>
        <v/>
      </c>
      <c r="C3735" s="14" t="str">
        <f>IF(ISBLANK(A3735),"",_xlfn.XLOOKUP(A3735,'DISPATCH SHEET'!C$3:C$121,'DISPATCH SHEET'!#REF!,""))</f>
        <v/>
      </c>
    </row>
    <row r="3736" spans="2:3" x14ac:dyDescent="0.2">
      <c r="B3736" s="14" t="str">
        <f>IF(A3736="","",_xlfn.XLOOKUP(A3736,'DISPATCH SHEET'!B$3:B$121,'DISPATCH SHEET'!C$3:C$121,""))</f>
        <v/>
      </c>
      <c r="C3736" s="14" t="str">
        <f>IF(ISBLANK(A3736),"",_xlfn.XLOOKUP(A3736,'DISPATCH SHEET'!C$3:C$121,'DISPATCH SHEET'!#REF!,""))</f>
        <v/>
      </c>
    </row>
    <row r="3737" spans="2:3" x14ac:dyDescent="0.2">
      <c r="B3737" s="14" t="str">
        <f>IF(A3737="","",_xlfn.XLOOKUP(A3737,'DISPATCH SHEET'!B$3:B$121,'DISPATCH SHEET'!C$3:C$121,""))</f>
        <v/>
      </c>
      <c r="C3737" s="14" t="str">
        <f>IF(ISBLANK(A3737),"",_xlfn.XLOOKUP(A3737,'DISPATCH SHEET'!C$3:C$121,'DISPATCH SHEET'!#REF!,""))</f>
        <v/>
      </c>
    </row>
    <row r="3738" spans="2:3" x14ac:dyDescent="0.2">
      <c r="B3738" s="14" t="str">
        <f>IF(A3738="","",_xlfn.XLOOKUP(A3738,'DISPATCH SHEET'!B$3:B$121,'DISPATCH SHEET'!C$3:C$121,""))</f>
        <v/>
      </c>
      <c r="C3738" s="14" t="str">
        <f>IF(ISBLANK(A3738),"",_xlfn.XLOOKUP(A3738,'DISPATCH SHEET'!C$3:C$121,'DISPATCH SHEET'!#REF!,""))</f>
        <v/>
      </c>
    </row>
    <row r="3739" spans="2:3" x14ac:dyDescent="0.2">
      <c r="B3739" s="14" t="str">
        <f>IF(A3739="","",_xlfn.XLOOKUP(A3739,'DISPATCH SHEET'!B$3:B$121,'DISPATCH SHEET'!C$3:C$121,""))</f>
        <v/>
      </c>
      <c r="C3739" s="14" t="str">
        <f>IF(ISBLANK(A3739),"",_xlfn.XLOOKUP(A3739,'DISPATCH SHEET'!C$3:C$121,'DISPATCH SHEET'!#REF!,""))</f>
        <v/>
      </c>
    </row>
    <row r="3740" spans="2:3" x14ac:dyDescent="0.2">
      <c r="B3740" s="14" t="str">
        <f>IF(A3740="","",_xlfn.XLOOKUP(A3740,'DISPATCH SHEET'!B$3:B$121,'DISPATCH SHEET'!C$3:C$121,""))</f>
        <v/>
      </c>
      <c r="C3740" s="14" t="str">
        <f>IF(ISBLANK(A3740),"",_xlfn.XLOOKUP(A3740,'DISPATCH SHEET'!C$3:C$121,'DISPATCH SHEET'!#REF!,""))</f>
        <v/>
      </c>
    </row>
    <row r="3741" spans="2:3" x14ac:dyDescent="0.2">
      <c r="B3741" s="14" t="str">
        <f>IF(A3741="","",_xlfn.XLOOKUP(A3741,'DISPATCH SHEET'!B$3:B$121,'DISPATCH SHEET'!C$3:C$121,""))</f>
        <v/>
      </c>
      <c r="C3741" s="14" t="str">
        <f>IF(ISBLANK(A3741),"",_xlfn.XLOOKUP(A3741,'DISPATCH SHEET'!C$3:C$121,'DISPATCH SHEET'!#REF!,""))</f>
        <v/>
      </c>
    </row>
    <row r="3742" spans="2:3" x14ac:dyDescent="0.2">
      <c r="B3742" s="14" t="str">
        <f>IF(A3742="","",_xlfn.XLOOKUP(A3742,'DISPATCH SHEET'!B$3:B$121,'DISPATCH SHEET'!C$3:C$121,""))</f>
        <v/>
      </c>
      <c r="C3742" s="14" t="str">
        <f>IF(ISBLANK(A3742),"",_xlfn.XLOOKUP(A3742,'DISPATCH SHEET'!C$3:C$121,'DISPATCH SHEET'!#REF!,""))</f>
        <v/>
      </c>
    </row>
    <row r="3743" spans="2:3" x14ac:dyDescent="0.2">
      <c r="B3743" s="14" t="str">
        <f>IF(A3743="","",_xlfn.XLOOKUP(A3743,'DISPATCH SHEET'!B$3:B$121,'DISPATCH SHEET'!C$3:C$121,""))</f>
        <v/>
      </c>
      <c r="C3743" s="14" t="str">
        <f>IF(ISBLANK(A3743),"",_xlfn.XLOOKUP(A3743,'DISPATCH SHEET'!C$3:C$121,'DISPATCH SHEET'!#REF!,""))</f>
        <v/>
      </c>
    </row>
    <row r="3744" spans="2:3" x14ac:dyDescent="0.2">
      <c r="B3744" s="14" t="str">
        <f>IF(A3744="","",_xlfn.XLOOKUP(A3744,'DISPATCH SHEET'!B$3:B$121,'DISPATCH SHEET'!C$3:C$121,""))</f>
        <v/>
      </c>
      <c r="C3744" s="14" t="str">
        <f>IF(ISBLANK(A3744),"",_xlfn.XLOOKUP(A3744,'DISPATCH SHEET'!C$3:C$121,'DISPATCH SHEET'!#REF!,""))</f>
        <v/>
      </c>
    </row>
    <row r="3745" spans="2:3" x14ac:dyDescent="0.2">
      <c r="B3745" s="14" t="str">
        <f>IF(A3745="","",_xlfn.XLOOKUP(A3745,'DISPATCH SHEET'!B$3:B$121,'DISPATCH SHEET'!C$3:C$121,""))</f>
        <v/>
      </c>
      <c r="C3745" s="14" t="str">
        <f>IF(ISBLANK(A3745),"",_xlfn.XLOOKUP(A3745,'DISPATCH SHEET'!C$3:C$121,'DISPATCH SHEET'!#REF!,""))</f>
        <v/>
      </c>
    </row>
    <row r="3746" spans="2:3" x14ac:dyDescent="0.2">
      <c r="B3746" s="14" t="str">
        <f>IF(A3746="","",_xlfn.XLOOKUP(A3746,'DISPATCH SHEET'!B$3:B$121,'DISPATCH SHEET'!C$3:C$121,""))</f>
        <v/>
      </c>
      <c r="C3746" s="14" t="str">
        <f>IF(ISBLANK(A3746),"",_xlfn.XLOOKUP(A3746,'DISPATCH SHEET'!C$3:C$121,'DISPATCH SHEET'!#REF!,""))</f>
        <v/>
      </c>
    </row>
    <row r="3747" spans="2:3" x14ac:dyDescent="0.2">
      <c r="B3747" s="14" t="str">
        <f>IF(A3747="","",_xlfn.XLOOKUP(A3747,'DISPATCH SHEET'!B$3:B$121,'DISPATCH SHEET'!C$3:C$121,""))</f>
        <v/>
      </c>
      <c r="C3747" s="14" t="str">
        <f>IF(ISBLANK(A3747),"",_xlfn.XLOOKUP(A3747,'DISPATCH SHEET'!C$3:C$121,'DISPATCH SHEET'!#REF!,""))</f>
        <v/>
      </c>
    </row>
    <row r="3748" spans="2:3" x14ac:dyDescent="0.2">
      <c r="B3748" s="14" t="str">
        <f>IF(A3748="","",_xlfn.XLOOKUP(A3748,'DISPATCH SHEET'!B$3:B$121,'DISPATCH SHEET'!C$3:C$121,""))</f>
        <v/>
      </c>
      <c r="C3748" s="14" t="str">
        <f>IF(ISBLANK(A3748),"",_xlfn.XLOOKUP(A3748,'DISPATCH SHEET'!C$3:C$121,'DISPATCH SHEET'!#REF!,""))</f>
        <v/>
      </c>
    </row>
    <row r="3749" spans="2:3" x14ac:dyDescent="0.2">
      <c r="B3749" s="14" t="str">
        <f>IF(A3749="","",_xlfn.XLOOKUP(A3749,'DISPATCH SHEET'!B$3:B$121,'DISPATCH SHEET'!C$3:C$121,""))</f>
        <v/>
      </c>
      <c r="C3749" s="14" t="str">
        <f>IF(ISBLANK(A3749),"",_xlfn.XLOOKUP(A3749,'DISPATCH SHEET'!C$3:C$121,'DISPATCH SHEET'!#REF!,""))</f>
        <v/>
      </c>
    </row>
    <row r="3750" spans="2:3" x14ac:dyDescent="0.2">
      <c r="B3750" s="14" t="str">
        <f>IF(A3750="","",_xlfn.XLOOKUP(A3750,'DISPATCH SHEET'!B$3:B$121,'DISPATCH SHEET'!C$3:C$121,""))</f>
        <v/>
      </c>
      <c r="C3750" s="14" t="str">
        <f>IF(ISBLANK(A3750),"",_xlfn.XLOOKUP(A3750,'DISPATCH SHEET'!C$3:C$121,'DISPATCH SHEET'!#REF!,""))</f>
        <v/>
      </c>
    </row>
    <row r="3751" spans="2:3" x14ac:dyDescent="0.2">
      <c r="B3751" s="14" t="str">
        <f>IF(A3751="","",_xlfn.XLOOKUP(A3751,'DISPATCH SHEET'!B$3:B$121,'DISPATCH SHEET'!C$3:C$121,""))</f>
        <v/>
      </c>
      <c r="C3751" s="14" t="str">
        <f>IF(ISBLANK(A3751),"",_xlfn.XLOOKUP(A3751,'DISPATCH SHEET'!C$3:C$121,'DISPATCH SHEET'!#REF!,""))</f>
        <v/>
      </c>
    </row>
    <row r="3752" spans="2:3" x14ac:dyDescent="0.2">
      <c r="B3752" s="14" t="str">
        <f>IF(A3752="","",_xlfn.XLOOKUP(A3752,'DISPATCH SHEET'!B$3:B$121,'DISPATCH SHEET'!C$3:C$121,""))</f>
        <v/>
      </c>
      <c r="C3752" s="14" t="str">
        <f>IF(ISBLANK(A3752),"",_xlfn.XLOOKUP(A3752,'DISPATCH SHEET'!C$3:C$121,'DISPATCH SHEET'!#REF!,""))</f>
        <v/>
      </c>
    </row>
    <row r="3753" spans="2:3" x14ac:dyDescent="0.2">
      <c r="B3753" s="14" t="str">
        <f>IF(A3753="","",_xlfn.XLOOKUP(A3753,'DISPATCH SHEET'!B$3:B$121,'DISPATCH SHEET'!C$3:C$121,""))</f>
        <v/>
      </c>
      <c r="C3753" s="14" t="str">
        <f>IF(ISBLANK(A3753),"",_xlfn.XLOOKUP(A3753,'DISPATCH SHEET'!C$3:C$121,'DISPATCH SHEET'!#REF!,""))</f>
        <v/>
      </c>
    </row>
    <row r="3754" spans="2:3" x14ac:dyDescent="0.2">
      <c r="B3754" s="14" t="str">
        <f>IF(A3754="","",_xlfn.XLOOKUP(A3754,'DISPATCH SHEET'!B$3:B$121,'DISPATCH SHEET'!C$3:C$121,""))</f>
        <v/>
      </c>
      <c r="C3754" s="14" t="str">
        <f>IF(ISBLANK(A3754),"",_xlfn.XLOOKUP(A3754,'DISPATCH SHEET'!C$3:C$121,'DISPATCH SHEET'!#REF!,""))</f>
        <v/>
      </c>
    </row>
    <row r="3755" spans="2:3" x14ac:dyDescent="0.2">
      <c r="B3755" s="14" t="str">
        <f>IF(A3755="","",_xlfn.XLOOKUP(A3755,'DISPATCH SHEET'!B$3:B$121,'DISPATCH SHEET'!C$3:C$121,""))</f>
        <v/>
      </c>
      <c r="C3755" s="14" t="str">
        <f>IF(ISBLANK(A3755),"",_xlfn.XLOOKUP(A3755,'DISPATCH SHEET'!C$3:C$121,'DISPATCH SHEET'!#REF!,""))</f>
        <v/>
      </c>
    </row>
    <row r="3756" spans="2:3" x14ac:dyDescent="0.2">
      <c r="B3756" s="14" t="str">
        <f>IF(A3756="","",_xlfn.XLOOKUP(A3756,'DISPATCH SHEET'!B$3:B$121,'DISPATCH SHEET'!C$3:C$121,""))</f>
        <v/>
      </c>
      <c r="C3756" s="14" t="str">
        <f>IF(ISBLANK(A3756),"",_xlfn.XLOOKUP(A3756,'DISPATCH SHEET'!C$3:C$121,'DISPATCH SHEET'!#REF!,""))</f>
        <v/>
      </c>
    </row>
    <row r="3757" spans="2:3" x14ac:dyDescent="0.2">
      <c r="B3757" s="14" t="str">
        <f>IF(A3757="","",_xlfn.XLOOKUP(A3757,'DISPATCH SHEET'!B$3:B$121,'DISPATCH SHEET'!C$3:C$121,""))</f>
        <v/>
      </c>
      <c r="C3757" s="14" t="str">
        <f>IF(ISBLANK(A3757),"",_xlfn.XLOOKUP(A3757,'DISPATCH SHEET'!C$3:C$121,'DISPATCH SHEET'!#REF!,""))</f>
        <v/>
      </c>
    </row>
    <row r="3758" spans="2:3" x14ac:dyDescent="0.2">
      <c r="B3758" s="14" t="str">
        <f>IF(A3758="","",_xlfn.XLOOKUP(A3758,'DISPATCH SHEET'!B$3:B$121,'DISPATCH SHEET'!C$3:C$121,""))</f>
        <v/>
      </c>
      <c r="C3758" s="14" t="str">
        <f>IF(ISBLANK(A3758),"",_xlfn.XLOOKUP(A3758,'DISPATCH SHEET'!C$3:C$121,'DISPATCH SHEET'!#REF!,""))</f>
        <v/>
      </c>
    </row>
    <row r="3759" spans="2:3" x14ac:dyDescent="0.2">
      <c r="B3759" s="14" t="str">
        <f>IF(A3759="","",_xlfn.XLOOKUP(A3759,'DISPATCH SHEET'!B$3:B$121,'DISPATCH SHEET'!C$3:C$121,""))</f>
        <v/>
      </c>
      <c r="C3759" s="14" t="str">
        <f>IF(ISBLANK(A3759),"",_xlfn.XLOOKUP(A3759,'DISPATCH SHEET'!C$3:C$121,'DISPATCH SHEET'!#REF!,""))</f>
        <v/>
      </c>
    </row>
    <row r="3760" spans="2:3" x14ac:dyDescent="0.2">
      <c r="B3760" s="14" t="str">
        <f>IF(A3760="","",_xlfn.XLOOKUP(A3760,'DISPATCH SHEET'!B$3:B$121,'DISPATCH SHEET'!C$3:C$121,""))</f>
        <v/>
      </c>
      <c r="C3760" s="14" t="str">
        <f>IF(ISBLANK(A3760),"",_xlfn.XLOOKUP(A3760,'DISPATCH SHEET'!C$3:C$121,'DISPATCH SHEET'!#REF!,""))</f>
        <v/>
      </c>
    </row>
    <row r="3761" spans="2:3" x14ac:dyDescent="0.2">
      <c r="B3761" s="14" t="str">
        <f>IF(A3761="","",_xlfn.XLOOKUP(A3761,'DISPATCH SHEET'!B$3:B$121,'DISPATCH SHEET'!C$3:C$121,""))</f>
        <v/>
      </c>
      <c r="C3761" s="14" t="str">
        <f>IF(ISBLANK(A3761),"",_xlfn.XLOOKUP(A3761,'DISPATCH SHEET'!C$3:C$121,'DISPATCH SHEET'!#REF!,""))</f>
        <v/>
      </c>
    </row>
    <row r="3762" spans="2:3" x14ac:dyDescent="0.2">
      <c r="B3762" s="14" t="str">
        <f>IF(A3762="","",_xlfn.XLOOKUP(A3762,'DISPATCH SHEET'!B$3:B$121,'DISPATCH SHEET'!C$3:C$121,""))</f>
        <v/>
      </c>
      <c r="C3762" s="14" t="str">
        <f>IF(ISBLANK(A3762),"",_xlfn.XLOOKUP(A3762,'DISPATCH SHEET'!C$3:C$121,'DISPATCH SHEET'!#REF!,""))</f>
        <v/>
      </c>
    </row>
    <row r="3763" spans="2:3" x14ac:dyDescent="0.2">
      <c r="B3763" s="14" t="str">
        <f>IF(A3763="","",_xlfn.XLOOKUP(A3763,'DISPATCH SHEET'!B$3:B$121,'DISPATCH SHEET'!C$3:C$121,""))</f>
        <v/>
      </c>
      <c r="C3763" s="14" t="str">
        <f>IF(ISBLANK(A3763),"",_xlfn.XLOOKUP(A3763,'DISPATCH SHEET'!C$3:C$121,'DISPATCH SHEET'!#REF!,""))</f>
        <v/>
      </c>
    </row>
    <row r="3764" spans="2:3" x14ac:dyDescent="0.2">
      <c r="B3764" s="14" t="str">
        <f>IF(A3764="","",_xlfn.XLOOKUP(A3764,'DISPATCH SHEET'!B$3:B$121,'DISPATCH SHEET'!C$3:C$121,""))</f>
        <v/>
      </c>
      <c r="C3764" s="14" t="str">
        <f>IF(ISBLANK(A3764),"",_xlfn.XLOOKUP(A3764,'DISPATCH SHEET'!C$3:C$121,'DISPATCH SHEET'!#REF!,""))</f>
        <v/>
      </c>
    </row>
    <row r="3765" spans="2:3" x14ac:dyDescent="0.2">
      <c r="B3765" s="14" t="str">
        <f>IF(A3765="","",_xlfn.XLOOKUP(A3765,'DISPATCH SHEET'!B$3:B$121,'DISPATCH SHEET'!C$3:C$121,""))</f>
        <v/>
      </c>
      <c r="C3765" s="14" t="str">
        <f>IF(ISBLANK(A3765),"",_xlfn.XLOOKUP(A3765,'DISPATCH SHEET'!C$3:C$121,'DISPATCH SHEET'!#REF!,""))</f>
        <v/>
      </c>
    </row>
    <row r="3766" spans="2:3" x14ac:dyDescent="0.2">
      <c r="B3766" s="14" t="str">
        <f>IF(A3766="","",_xlfn.XLOOKUP(A3766,'DISPATCH SHEET'!B$3:B$121,'DISPATCH SHEET'!C$3:C$121,""))</f>
        <v/>
      </c>
      <c r="C3766" s="14" t="str">
        <f>IF(ISBLANK(A3766),"",_xlfn.XLOOKUP(A3766,'DISPATCH SHEET'!C$3:C$121,'DISPATCH SHEET'!#REF!,""))</f>
        <v/>
      </c>
    </row>
    <row r="3767" spans="2:3" x14ac:dyDescent="0.2">
      <c r="B3767" s="14" t="str">
        <f>IF(A3767="","",_xlfn.XLOOKUP(A3767,'DISPATCH SHEET'!B$3:B$121,'DISPATCH SHEET'!C$3:C$121,""))</f>
        <v/>
      </c>
      <c r="C3767" s="14" t="str">
        <f>IF(ISBLANK(A3767),"",_xlfn.XLOOKUP(A3767,'DISPATCH SHEET'!C$3:C$121,'DISPATCH SHEET'!#REF!,""))</f>
        <v/>
      </c>
    </row>
    <row r="3768" spans="2:3" x14ac:dyDescent="0.2">
      <c r="B3768" s="14" t="str">
        <f>IF(A3768="","",_xlfn.XLOOKUP(A3768,'DISPATCH SHEET'!B$3:B$121,'DISPATCH SHEET'!C$3:C$121,""))</f>
        <v/>
      </c>
      <c r="C3768" s="14" t="str">
        <f>IF(ISBLANK(A3768),"",_xlfn.XLOOKUP(A3768,'DISPATCH SHEET'!C$3:C$121,'DISPATCH SHEET'!#REF!,""))</f>
        <v/>
      </c>
    </row>
    <row r="3769" spans="2:3" x14ac:dyDescent="0.2">
      <c r="B3769" s="14" t="str">
        <f>IF(A3769="","",_xlfn.XLOOKUP(A3769,'DISPATCH SHEET'!B$3:B$121,'DISPATCH SHEET'!C$3:C$121,""))</f>
        <v/>
      </c>
      <c r="C3769" s="14" t="str">
        <f>IF(ISBLANK(A3769),"",_xlfn.XLOOKUP(A3769,'DISPATCH SHEET'!C$3:C$121,'DISPATCH SHEET'!#REF!,""))</f>
        <v/>
      </c>
    </row>
    <row r="3770" spans="2:3" x14ac:dyDescent="0.2">
      <c r="B3770" s="14" t="str">
        <f>IF(A3770="","",_xlfn.XLOOKUP(A3770,'DISPATCH SHEET'!B$3:B$121,'DISPATCH SHEET'!C$3:C$121,""))</f>
        <v/>
      </c>
      <c r="C3770" s="14" t="str">
        <f>IF(ISBLANK(A3770),"",_xlfn.XLOOKUP(A3770,'DISPATCH SHEET'!C$3:C$121,'DISPATCH SHEET'!#REF!,""))</f>
        <v/>
      </c>
    </row>
    <row r="3771" spans="2:3" x14ac:dyDescent="0.2">
      <c r="B3771" s="14" t="str">
        <f>IF(A3771="","",_xlfn.XLOOKUP(A3771,'DISPATCH SHEET'!B$3:B$121,'DISPATCH SHEET'!C$3:C$121,""))</f>
        <v/>
      </c>
      <c r="C3771" s="14" t="str">
        <f>IF(ISBLANK(A3771),"",_xlfn.XLOOKUP(A3771,'DISPATCH SHEET'!C$3:C$121,'DISPATCH SHEET'!#REF!,""))</f>
        <v/>
      </c>
    </row>
    <row r="3772" spans="2:3" x14ac:dyDescent="0.2">
      <c r="B3772" s="14" t="str">
        <f>IF(A3772="","",_xlfn.XLOOKUP(A3772,'DISPATCH SHEET'!B$3:B$121,'DISPATCH SHEET'!C$3:C$121,""))</f>
        <v/>
      </c>
      <c r="C3772" s="14" t="str">
        <f>IF(ISBLANK(A3772),"",_xlfn.XLOOKUP(A3772,'DISPATCH SHEET'!C$3:C$121,'DISPATCH SHEET'!#REF!,""))</f>
        <v/>
      </c>
    </row>
    <row r="3773" spans="2:3" x14ac:dyDescent="0.2">
      <c r="B3773" s="14" t="str">
        <f>IF(A3773="","",_xlfn.XLOOKUP(A3773,'DISPATCH SHEET'!B$3:B$121,'DISPATCH SHEET'!C$3:C$121,""))</f>
        <v/>
      </c>
      <c r="C3773" s="14" t="str">
        <f>IF(ISBLANK(A3773),"",_xlfn.XLOOKUP(A3773,'DISPATCH SHEET'!C$3:C$121,'DISPATCH SHEET'!#REF!,""))</f>
        <v/>
      </c>
    </row>
    <row r="3774" spans="2:3" x14ac:dyDescent="0.2">
      <c r="B3774" s="14" t="str">
        <f>IF(A3774="","",_xlfn.XLOOKUP(A3774,'DISPATCH SHEET'!B$3:B$121,'DISPATCH SHEET'!C$3:C$121,""))</f>
        <v/>
      </c>
      <c r="C3774" s="14" t="str">
        <f>IF(ISBLANK(A3774),"",_xlfn.XLOOKUP(A3774,'DISPATCH SHEET'!C$3:C$121,'DISPATCH SHEET'!#REF!,""))</f>
        <v/>
      </c>
    </row>
    <row r="3775" spans="2:3" x14ac:dyDescent="0.2">
      <c r="B3775" s="14" t="str">
        <f>IF(A3775="","",_xlfn.XLOOKUP(A3775,'DISPATCH SHEET'!B$3:B$121,'DISPATCH SHEET'!C$3:C$121,""))</f>
        <v/>
      </c>
      <c r="C3775" s="14" t="str">
        <f>IF(ISBLANK(A3775),"",_xlfn.XLOOKUP(A3775,'DISPATCH SHEET'!C$3:C$121,'DISPATCH SHEET'!#REF!,""))</f>
        <v/>
      </c>
    </row>
    <row r="3776" spans="2:3" x14ac:dyDescent="0.2">
      <c r="B3776" s="14" t="str">
        <f>IF(A3776="","",_xlfn.XLOOKUP(A3776,'DISPATCH SHEET'!B$3:B$121,'DISPATCH SHEET'!C$3:C$121,""))</f>
        <v/>
      </c>
      <c r="C3776" s="14" t="str">
        <f>IF(ISBLANK(A3776),"",_xlfn.XLOOKUP(A3776,'DISPATCH SHEET'!C$3:C$121,'DISPATCH SHEET'!#REF!,""))</f>
        <v/>
      </c>
    </row>
    <row r="3777" spans="2:3" x14ac:dyDescent="0.2">
      <c r="B3777" s="14" t="str">
        <f>IF(A3777="","",_xlfn.XLOOKUP(A3777,'DISPATCH SHEET'!B$3:B$121,'DISPATCH SHEET'!C$3:C$121,""))</f>
        <v/>
      </c>
      <c r="C3777" s="14" t="str">
        <f>IF(ISBLANK(A3777),"",_xlfn.XLOOKUP(A3777,'DISPATCH SHEET'!C$3:C$121,'DISPATCH SHEET'!#REF!,""))</f>
        <v/>
      </c>
    </row>
    <row r="3778" spans="2:3" x14ac:dyDescent="0.2">
      <c r="B3778" s="14" t="str">
        <f>IF(A3778="","",_xlfn.XLOOKUP(A3778,'DISPATCH SHEET'!B$3:B$121,'DISPATCH SHEET'!C$3:C$121,""))</f>
        <v/>
      </c>
      <c r="C3778" s="14" t="str">
        <f>IF(ISBLANK(A3778),"",_xlfn.XLOOKUP(A3778,'DISPATCH SHEET'!C$3:C$121,'DISPATCH SHEET'!#REF!,""))</f>
        <v/>
      </c>
    </row>
    <row r="3779" spans="2:3" x14ac:dyDescent="0.2">
      <c r="B3779" s="14" t="str">
        <f>IF(A3779="","",_xlfn.XLOOKUP(A3779,'DISPATCH SHEET'!B$3:B$121,'DISPATCH SHEET'!C$3:C$121,""))</f>
        <v/>
      </c>
      <c r="C3779" s="14" t="str">
        <f>IF(ISBLANK(A3779),"",_xlfn.XLOOKUP(A3779,'DISPATCH SHEET'!C$3:C$121,'DISPATCH SHEET'!#REF!,""))</f>
        <v/>
      </c>
    </row>
    <row r="3780" spans="2:3" x14ac:dyDescent="0.2">
      <c r="B3780" s="14" t="str">
        <f>IF(A3780="","",_xlfn.XLOOKUP(A3780,'DISPATCH SHEET'!B$3:B$121,'DISPATCH SHEET'!C$3:C$121,""))</f>
        <v/>
      </c>
      <c r="C3780" s="14" t="str">
        <f>IF(ISBLANK(A3780),"",_xlfn.XLOOKUP(A3780,'DISPATCH SHEET'!C$3:C$121,'DISPATCH SHEET'!#REF!,""))</f>
        <v/>
      </c>
    </row>
    <row r="3781" spans="2:3" x14ac:dyDescent="0.2">
      <c r="B3781" s="14" t="str">
        <f>IF(A3781="","",_xlfn.XLOOKUP(A3781,'DISPATCH SHEET'!B$3:B$121,'DISPATCH SHEET'!C$3:C$121,""))</f>
        <v/>
      </c>
      <c r="C3781" s="14" t="str">
        <f>IF(ISBLANK(A3781),"",_xlfn.XLOOKUP(A3781,'DISPATCH SHEET'!C$3:C$121,'DISPATCH SHEET'!#REF!,""))</f>
        <v/>
      </c>
    </row>
    <row r="3782" spans="2:3" x14ac:dyDescent="0.2">
      <c r="B3782" s="14" t="str">
        <f>IF(A3782="","",_xlfn.XLOOKUP(A3782,'DISPATCH SHEET'!B$3:B$121,'DISPATCH SHEET'!C$3:C$121,""))</f>
        <v/>
      </c>
      <c r="C3782" s="14" t="str">
        <f>IF(ISBLANK(A3782),"",_xlfn.XLOOKUP(A3782,'DISPATCH SHEET'!C$3:C$121,'DISPATCH SHEET'!#REF!,""))</f>
        <v/>
      </c>
    </row>
    <row r="3783" spans="2:3" x14ac:dyDescent="0.2">
      <c r="B3783" s="14" t="str">
        <f>IF(A3783="","",_xlfn.XLOOKUP(A3783,'DISPATCH SHEET'!B$3:B$121,'DISPATCH SHEET'!C$3:C$121,""))</f>
        <v/>
      </c>
      <c r="C3783" s="14" t="str">
        <f>IF(ISBLANK(A3783),"",_xlfn.XLOOKUP(A3783,'DISPATCH SHEET'!C$3:C$121,'DISPATCH SHEET'!#REF!,""))</f>
        <v/>
      </c>
    </row>
    <row r="3784" spans="2:3" x14ac:dyDescent="0.2">
      <c r="B3784" s="14" t="str">
        <f>IF(A3784="","",_xlfn.XLOOKUP(A3784,'DISPATCH SHEET'!B$3:B$121,'DISPATCH SHEET'!C$3:C$121,""))</f>
        <v/>
      </c>
      <c r="C3784" s="14" t="str">
        <f>IF(ISBLANK(A3784),"",_xlfn.XLOOKUP(A3784,'DISPATCH SHEET'!C$3:C$121,'DISPATCH SHEET'!#REF!,""))</f>
        <v/>
      </c>
    </row>
    <row r="3785" spans="2:3" x14ac:dyDescent="0.2">
      <c r="B3785" s="14" t="str">
        <f>IF(A3785="","",_xlfn.XLOOKUP(A3785,'DISPATCH SHEET'!B$3:B$121,'DISPATCH SHEET'!C$3:C$121,""))</f>
        <v/>
      </c>
      <c r="C3785" s="14" t="str">
        <f>IF(ISBLANK(A3785),"",_xlfn.XLOOKUP(A3785,'DISPATCH SHEET'!C$3:C$121,'DISPATCH SHEET'!#REF!,""))</f>
        <v/>
      </c>
    </row>
    <row r="3786" spans="2:3" x14ac:dyDescent="0.2">
      <c r="B3786" s="14" t="str">
        <f>IF(A3786="","",_xlfn.XLOOKUP(A3786,'DISPATCH SHEET'!B$3:B$121,'DISPATCH SHEET'!C$3:C$121,""))</f>
        <v/>
      </c>
      <c r="C3786" s="14" t="str">
        <f>IF(ISBLANK(A3786),"",_xlfn.XLOOKUP(A3786,'DISPATCH SHEET'!C$3:C$121,'DISPATCH SHEET'!#REF!,""))</f>
        <v/>
      </c>
    </row>
    <row r="3787" spans="2:3" x14ac:dyDescent="0.2">
      <c r="B3787" s="14" t="str">
        <f>IF(A3787="","",_xlfn.XLOOKUP(A3787,'DISPATCH SHEET'!B$3:B$121,'DISPATCH SHEET'!C$3:C$121,""))</f>
        <v/>
      </c>
      <c r="C3787" s="14" t="str">
        <f>IF(ISBLANK(A3787),"",_xlfn.XLOOKUP(A3787,'DISPATCH SHEET'!C$3:C$121,'DISPATCH SHEET'!#REF!,""))</f>
        <v/>
      </c>
    </row>
    <row r="3788" spans="2:3" x14ac:dyDescent="0.2">
      <c r="B3788" s="14" t="str">
        <f>IF(A3788="","",_xlfn.XLOOKUP(A3788,'DISPATCH SHEET'!B$3:B$121,'DISPATCH SHEET'!C$3:C$121,""))</f>
        <v/>
      </c>
      <c r="C3788" s="14" t="str">
        <f>IF(ISBLANK(A3788),"",_xlfn.XLOOKUP(A3788,'DISPATCH SHEET'!C$3:C$121,'DISPATCH SHEET'!#REF!,""))</f>
        <v/>
      </c>
    </row>
    <row r="3789" spans="2:3" x14ac:dyDescent="0.2">
      <c r="B3789" s="14" t="str">
        <f>IF(A3789="","",_xlfn.XLOOKUP(A3789,'DISPATCH SHEET'!B$3:B$121,'DISPATCH SHEET'!C$3:C$121,""))</f>
        <v/>
      </c>
      <c r="C3789" s="14" t="str">
        <f>IF(ISBLANK(A3789),"",_xlfn.XLOOKUP(A3789,'DISPATCH SHEET'!C$3:C$121,'DISPATCH SHEET'!#REF!,""))</f>
        <v/>
      </c>
    </row>
    <row r="3790" spans="2:3" x14ac:dyDescent="0.2">
      <c r="B3790" s="14" t="str">
        <f>IF(A3790="","",_xlfn.XLOOKUP(A3790,'DISPATCH SHEET'!B$3:B$121,'DISPATCH SHEET'!C$3:C$121,""))</f>
        <v/>
      </c>
      <c r="C3790" s="14" t="str">
        <f>IF(ISBLANK(A3790),"",_xlfn.XLOOKUP(A3790,'DISPATCH SHEET'!C$3:C$121,'DISPATCH SHEET'!#REF!,""))</f>
        <v/>
      </c>
    </row>
    <row r="3791" spans="2:3" x14ac:dyDescent="0.2">
      <c r="B3791" s="14" t="str">
        <f>IF(A3791="","",_xlfn.XLOOKUP(A3791,'DISPATCH SHEET'!B$3:B$121,'DISPATCH SHEET'!C$3:C$121,""))</f>
        <v/>
      </c>
      <c r="C3791" s="14" t="str">
        <f>IF(ISBLANK(A3791),"",_xlfn.XLOOKUP(A3791,'DISPATCH SHEET'!C$3:C$121,'DISPATCH SHEET'!#REF!,""))</f>
        <v/>
      </c>
    </row>
    <row r="3792" spans="2:3" x14ac:dyDescent="0.2">
      <c r="B3792" s="14" t="str">
        <f>IF(A3792="","",_xlfn.XLOOKUP(A3792,'DISPATCH SHEET'!B$3:B$121,'DISPATCH SHEET'!C$3:C$121,""))</f>
        <v/>
      </c>
      <c r="C3792" s="14" t="str">
        <f>IF(ISBLANK(A3792),"",_xlfn.XLOOKUP(A3792,'DISPATCH SHEET'!C$3:C$121,'DISPATCH SHEET'!#REF!,""))</f>
        <v/>
      </c>
    </row>
    <row r="3793" spans="2:3" x14ac:dyDescent="0.2">
      <c r="B3793" s="14" t="str">
        <f>IF(A3793="","",_xlfn.XLOOKUP(A3793,'DISPATCH SHEET'!B$3:B$121,'DISPATCH SHEET'!C$3:C$121,""))</f>
        <v/>
      </c>
      <c r="C3793" s="14" t="str">
        <f>IF(ISBLANK(A3793),"",_xlfn.XLOOKUP(A3793,'DISPATCH SHEET'!C$3:C$121,'DISPATCH SHEET'!#REF!,""))</f>
        <v/>
      </c>
    </row>
    <row r="3794" spans="2:3" x14ac:dyDescent="0.2">
      <c r="B3794" s="14" t="str">
        <f>IF(A3794="","",_xlfn.XLOOKUP(A3794,'DISPATCH SHEET'!B$3:B$121,'DISPATCH SHEET'!C$3:C$121,""))</f>
        <v/>
      </c>
      <c r="C3794" s="14" t="str">
        <f>IF(ISBLANK(A3794),"",_xlfn.XLOOKUP(A3794,'DISPATCH SHEET'!C$3:C$121,'DISPATCH SHEET'!#REF!,""))</f>
        <v/>
      </c>
    </row>
    <row r="3795" spans="2:3" x14ac:dyDescent="0.2">
      <c r="B3795" s="14" t="str">
        <f>IF(A3795="","",_xlfn.XLOOKUP(A3795,'DISPATCH SHEET'!B$3:B$121,'DISPATCH SHEET'!C$3:C$121,""))</f>
        <v/>
      </c>
      <c r="C3795" s="14" t="str">
        <f>IF(ISBLANK(A3795),"",_xlfn.XLOOKUP(A3795,'DISPATCH SHEET'!C$3:C$121,'DISPATCH SHEET'!#REF!,""))</f>
        <v/>
      </c>
    </row>
    <row r="3796" spans="2:3" x14ac:dyDescent="0.2">
      <c r="B3796" s="14" t="str">
        <f>IF(A3796="","",_xlfn.XLOOKUP(A3796,'DISPATCH SHEET'!B$3:B$121,'DISPATCH SHEET'!C$3:C$121,""))</f>
        <v/>
      </c>
      <c r="C3796" s="14" t="str">
        <f>IF(ISBLANK(A3796),"",_xlfn.XLOOKUP(A3796,'DISPATCH SHEET'!C$3:C$121,'DISPATCH SHEET'!#REF!,""))</f>
        <v/>
      </c>
    </row>
    <row r="3797" spans="2:3" x14ac:dyDescent="0.2">
      <c r="B3797" s="14" t="str">
        <f>IF(A3797="","",_xlfn.XLOOKUP(A3797,'DISPATCH SHEET'!B$3:B$121,'DISPATCH SHEET'!C$3:C$121,""))</f>
        <v/>
      </c>
      <c r="C3797" s="14" t="str">
        <f>IF(ISBLANK(A3797),"",_xlfn.XLOOKUP(A3797,'DISPATCH SHEET'!C$3:C$121,'DISPATCH SHEET'!#REF!,""))</f>
        <v/>
      </c>
    </row>
    <row r="3798" spans="2:3" x14ac:dyDescent="0.2">
      <c r="B3798" s="14" t="str">
        <f>IF(A3798="","",_xlfn.XLOOKUP(A3798,'DISPATCH SHEET'!B$3:B$121,'DISPATCH SHEET'!C$3:C$121,""))</f>
        <v/>
      </c>
      <c r="C3798" s="14" t="str">
        <f>IF(ISBLANK(A3798),"",_xlfn.XLOOKUP(A3798,'DISPATCH SHEET'!C$3:C$121,'DISPATCH SHEET'!#REF!,""))</f>
        <v/>
      </c>
    </row>
    <row r="3799" spans="2:3" x14ac:dyDescent="0.2">
      <c r="B3799" s="14" t="str">
        <f>IF(A3799="","",_xlfn.XLOOKUP(A3799,'DISPATCH SHEET'!B$3:B$121,'DISPATCH SHEET'!C$3:C$121,""))</f>
        <v/>
      </c>
      <c r="C3799" s="14" t="str">
        <f>IF(ISBLANK(A3799),"",_xlfn.XLOOKUP(A3799,'DISPATCH SHEET'!C$3:C$121,'DISPATCH SHEET'!#REF!,""))</f>
        <v/>
      </c>
    </row>
    <row r="3800" spans="2:3" x14ac:dyDescent="0.2">
      <c r="B3800" s="14" t="str">
        <f>IF(A3800="","",_xlfn.XLOOKUP(A3800,'DISPATCH SHEET'!B$3:B$121,'DISPATCH SHEET'!C$3:C$121,""))</f>
        <v/>
      </c>
      <c r="C3800" s="14" t="str">
        <f>IF(ISBLANK(A3800),"",_xlfn.XLOOKUP(A3800,'DISPATCH SHEET'!C$3:C$121,'DISPATCH SHEET'!#REF!,""))</f>
        <v/>
      </c>
    </row>
    <row r="3801" spans="2:3" x14ac:dyDescent="0.2">
      <c r="B3801" s="14" t="str">
        <f>IF(A3801="","",_xlfn.XLOOKUP(A3801,'DISPATCH SHEET'!B$3:B$121,'DISPATCH SHEET'!C$3:C$121,""))</f>
        <v/>
      </c>
      <c r="C3801" s="14" t="str">
        <f>IF(ISBLANK(A3801),"",_xlfn.XLOOKUP(A3801,'DISPATCH SHEET'!C$3:C$121,'DISPATCH SHEET'!#REF!,""))</f>
        <v/>
      </c>
    </row>
    <row r="3802" spans="2:3" x14ac:dyDescent="0.2">
      <c r="B3802" s="14" t="str">
        <f>IF(A3802="","",_xlfn.XLOOKUP(A3802,'DISPATCH SHEET'!B$3:B$121,'DISPATCH SHEET'!C$3:C$121,""))</f>
        <v/>
      </c>
      <c r="C3802" s="14" t="str">
        <f>IF(ISBLANK(A3802),"",_xlfn.XLOOKUP(A3802,'DISPATCH SHEET'!C$3:C$121,'DISPATCH SHEET'!#REF!,""))</f>
        <v/>
      </c>
    </row>
    <row r="3803" spans="2:3" x14ac:dyDescent="0.2">
      <c r="B3803" s="14" t="str">
        <f>IF(A3803="","",_xlfn.XLOOKUP(A3803,'DISPATCH SHEET'!B$3:B$121,'DISPATCH SHEET'!C$3:C$121,""))</f>
        <v/>
      </c>
      <c r="C3803" s="14" t="str">
        <f>IF(ISBLANK(A3803),"",_xlfn.XLOOKUP(A3803,'DISPATCH SHEET'!C$3:C$121,'DISPATCH SHEET'!#REF!,""))</f>
        <v/>
      </c>
    </row>
    <row r="3804" spans="2:3" x14ac:dyDescent="0.2">
      <c r="B3804" s="14" t="str">
        <f>IF(A3804="","",_xlfn.XLOOKUP(A3804,'DISPATCH SHEET'!B$3:B$121,'DISPATCH SHEET'!C$3:C$121,""))</f>
        <v/>
      </c>
      <c r="C3804" s="14" t="str">
        <f>IF(ISBLANK(A3804),"",_xlfn.XLOOKUP(A3804,'DISPATCH SHEET'!C$3:C$121,'DISPATCH SHEET'!#REF!,""))</f>
        <v/>
      </c>
    </row>
    <row r="3805" spans="2:3" x14ac:dyDescent="0.2">
      <c r="B3805" s="14" t="str">
        <f>IF(A3805="","",_xlfn.XLOOKUP(A3805,'DISPATCH SHEET'!B$3:B$121,'DISPATCH SHEET'!C$3:C$121,""))</f>
        <v/>
      </c>
      <c r="C3805" s="14" t="str">
        <f>IF(ISBLANK(A3805),"",_xlfn.XLOOKUP(A3805,'DISPATCH SHEET'!C$3:C$121,'DISPATCH SHEET'!#REF!,""))</f>
        <v/>
      </c>
    </row>
    <row r="3806" spans="2:3" x14ac:dyDescent="0.2">
      <c r="B3806" s="14" t="str">
        <f>IF(A3806="","",_xlfn.XLOOKUP(A3806,'DISPATCH SHEET'!B$3:B$121,'DISPATCH SHEET'!C$3:C$121,""))</f>
        <v/>
      </c>
      <c r="C3806" s="14" t="str">
        <f>IF(ISBLANK(A3806),"",_xlfn.XLOOKUP(A3806,'DISPATCH SHEET'!C$3:C$121,'DISPATCH SHEET'!#REF!,""))</f>
        <v/>
      </c>
    </row>
    <row r="3807" spans="2:3" x14ac:dyDescent="0.2">
      <c r="B3807" s="14" t="str">
        <f>IF(A3807="","",_xlfn.XLOOKUP(A3807,'DISPATCH SHEET'!B$3:B$121,'DISPATCH SHEET'!C$3:C$121,""))</f>
        <v/>
      </c>
      <c r="C3807" s="14" t="str">
        <f>IF(ISBLANK(A3807),"",_xlfn.XLOOKUP(A3807,'DISPATCH SHEET'!C$3:C$121,'DISPATCH SHEET'!#REF!,""))</f>
        <v/>
      </c>
    </row>
    <row r="3808" spans="2:3" x14ac:dyDescent="0.2">
      <c r="B3808" s="14" t="str">
        <f>IF(A3808="","",_xlfn.XLOOKUP(A3808,'DISPATCH SHEET'!B$3:B$121,'DISPATCH SHEET'!C$3:C$121,""))</f>
        <v/>
      </c>
      <c r="C3808" s="14" t="str">
        <f>IF(ISBLANK(A3808),"",_xlfn.XLOOKUP(A3808,'DISPATCH SHEET'!C$3:C$121,'DISPATCH SHEET'!#REF!,""))</f>
        <v/>
      </c>
    </row>
    <row r="3809" spans="2:3" x14ac:dyDescent="0.2">
      <c r="B3809" s="14" t="str">
        <f>IF(A3809="","",_xlfn.XLOOKUP(A3809,'DISPATCH SHEET'!B$3:B$121,'DISPATCH SHEET'!C$3:C$121,""))</f>
        <v/>
      </c>
      <c r="C3809" s="14" t="str">
        <f>IF(ISBLANK(A3809),"",_xlfn.XLOOKUP(A3809,'DISPATCH SHEET'!C$3:C$121,'DISPATCH SHEET'!#REF!,""))</f>
        <v/>
      </c>
    </row>
    <row r="3810" spans="2:3" x14ac:dyDescent="0.2">
      <c r="B3810" s="14" t="str">
        <f>IF(A3810="","",_xlfn.XLOOKUP(A3810,'DISPATCH SHEET'!B$3:B$121,'DISPATCH SHEET'!C$3:C$121,""))</f>
        <v/>
      </c>
      <c r="C3810" s="14" t="str">
        <f>IF(ISBLANK(A3810),"",_xlfn.XLOOKUP(A3810,'DISPATCH SHEET'!C$3:C$121,'DISPATCH SHEET'!#REF!,""))</f>
        <v/>
      </c>
    </row>
    <row r="3811" spans="2:3" x14ac:dyDescent="0.2">
      <c r="B3811" s="14" t="str">
        <f>IF(A3811="","",_xlfn.XLOOKUP(A3811,'DISPATCH SHEET'!B$3:B$121,'DISPATCH SHEET'!C$3:C$121,""))</f>
        <v/>
      </c>
      <c r="C3811" s="14" t="str">
        <f>IF(ISBLANK(A3811),"",_xlfn.XLOOKUP(A3811,'DISPATCH SHEET'!C$3:C$121,'DISPATCH SHEET'!#REF!,""))</f>
        <v/>
      </c>
    </row>
    <row r="3812" spans="2:3" x14ac:dyDescent="0.2">
      <c r="B3812" s="14" t="str">
        <f>IF(A3812="","",_xlfn.XLOOKUP(A3812,'DISPATCH SHEET'!B$3:B$121,'DISPATCH SHEET'!C$3:C$121,""))</f>
        <v/>
      </c>
      <c r="C3812" s="14" t="str">
        <f>IF(ISBLANK(A3812),"",_xlfn.XLOOKUP(A3812,'DISPATCH SHEET'!C$3:C$121,'DISPATCH SHEET'!#REF!,""))</f>
        <v/>
      </c>
    </row>
    <row r="3813" spans="2:3" x14ac:dyDescent="0.2">
      <c r="B3813" s="14" t="str">
        <f>IF(A3813="","",_xlfn.XLOOKUP(A3813,'DISPATCH SHEET'!B$3:B$121,'DISPATCH SHEET'!C$3:C$121,""))</f>
        <v/>
      </c>
      <c r="C3813" s="14" t="str">
        <f>IF(ISBLANK(A3813),"",_xlfn.XLOOKUP(A3813,'DISPATCH SHEET'!C$3:C$121,'DISPATCH SHEET'!#REF!,""))</f>
        <v/>
      </c>
    </row>
    <row r="3814" spans="2:3" x14ac:dyDescent="0.2">
      <c r="B3814" s="14" t="str">
        <f>IF(A3814="","",_xlfn.XLOOKUP(A3814,'DISPATCH SHEET'!B$3:B$121,'DISPATCH SHEET'!C$3:C$121,""))</f>
        <v/>
      </c>
      <c r="C3814" s="14" t="str">
        <f>IF(ISBLANK(A3814),"",_xlfn.XLOOKUP(A3814,'DISPATCH SHEET'!C$3:C$121,'DISPATCH SHEET'!#REF!,""))</f>
        <v/>
      </c>
    </row>
    <row r="3815" spans="2:3" x14ac:dyDescent="0.2">
      <c r="B3815" s="14" t="str">
        <f>IF(A3815="","",_xlfn.XLOOKUP(A3815,'DISPATCH SHEET'!B$3:B$121,'DISPATCH SHEET'!C$3:C$121,""))</f>
        <v/>
      </c>
      <c r="C3815" s="14" t="str">
        <f>IF(ISBLANK(A3815),"",_xlfn.XLOOKUP(A3815,'DISPATCH SHEET'!C$3:C$121,'DISPATCH SHEET'!#REF!,""))</f>
        <v/>
      </c>
    </row>
    <row r="3816" spans="2:3" x14ac:dyDescent="0.2">
      <c r="B3816" s="14" t="str">
        <f>IF(A3816="","",_xlfn.XLOOKUP(A3816,'DISPATCH SHEET'!B$3:B$121,'DISPATCH SHEET'!C$3:C$121,""))</f>
        <v/>
      </c>
      <c r="C3816" s="14" t="str">
        <f>IF(ISBLANK(A3816),"",_xlfn.XLOOKUP(A3816,'DISPATCH SHEET'!C$3:C$121,'DISPATCH SHEET'!#REF!,""))</f>
        <v/>
      </c>
    </row>
    <row r="3817" spans="2:3" x14ac:dyDescent="0.2">
      <c r="B3817" s="14" t="str">
        <f>IF(A3817="","",_xlfn.XLOOKUP(A3817,'DISPATCH SHEET'!B$3:B$121,'DISPATCH SHEET'!C$3:C$121,""))</f>
        <v/>
      </c>
      <c r="C3817" s="14" t="str">
        <f>IF(ISBLANK(A3817),"",_xlfn.XLOOKUP(A3817,'DISPATCH SHEET'!C$3:C$121,'DISPATCH SHEET'!#REF!,""))</f>
        <v/>
      </c>
    </row>
    <row r="3818" spans="2:3" x14ac:dyDescent="0.2">
      <c r="B3818" s="14" t="str">
        <f>IF(A3818="","",_xlfn.XLOOKUP(A3818,'DISPATCH SHEET'!B$3:B$121,'DISPATCH SHEET'!C$3:C$121,""))</f>
        <v/>
      </c>
      <c r="C3818" s="14" t="str">
        <f>IF(ISBLANK(A3818),"",_xlfn.XLOOKUP(A3818,'DISPATCH SHEET'!C$3:C$121,'DISPATCH SHEET'!#REF!,""))</f>
        <v/>
      </c>
    </row>
    <row r="3819" spans="2:3" x14ac:dyDescent="0.2">
      <c r="B3819" s="14" t="str">
        <f>IF(A3819="","",_xlfn.XLOOKUP(A3819,'DISPATCH SHEET'!B$3:B$121,'DISPATCH SHEET'!C$3:C$121,""))</f>
        <v/>
      </c>
      <c r="C3819" s="14" t="str">
        <f>IF(ISBLANK(A3819),"",_xlfn.XLOOKUP(A3819,'DISPATCH SHEET'!C$3:C$121,'DISPATCH SHEET'!#REF!,""))</f>
        <v/>
      </c>
    </row>
    <row r="3820" spans="2:3" x14ac:dyDescent="0.2">
      <c r="B3820" s="14" t="str">
        <f>IF(A3820="","",_xlfn.XLOOKUP(A3820,'DISPATCH SHEET'!B$3:B$121,'DISPATCH SHEET'!C$3:C$121,""))</f>
        <v/>
      </c>
      <c r="C3820" s="14" t="str">
        <f>IF(ISBLANK(A3820),"",_xlfn.XLOOKUP(A3820,'DISPATCH SHEET'!C$3:C$121,'DISPATCH SHEET'!#REF!,""))</f>
        <v/>
      </c>
    </row>
    <row r="3821" spans="2:3" x14ac:dyDescent="0.2">
      <c r="B3821" s="14" t="str">
        <f>IF(A3821="","",_xlfn.XLOOKUP(A3821,'DISPATCH SHEET'!B$3:B$121,'DISPATCH SHEET'!C$3:C$121,""))</f>
        <v/>
      </c>
      <c r="C3821" s="14" t="str">
        <f>IF(ISBLANK(A3821),"",_xlfn.XLOOKUP(A3821,'DISPATCH SHEET'!C$3:C$121,'DISPATCH SHEET'!#REF!,""))</f>
        <v/>
      </c>
    </row>
    <row r="3822" spans="2:3" x14ac:dyDescent="0.2">
      <c r="B3822" s="14" t="str">
        <f>IF(A3822="","",_xlfn.XLOOKUP(A3822,'DISPATCH SHEET'!B$3:B$121,'DISPATCH SHEET'!C$3:C$121,""))</f>
        <v/>
      </c>
      <c r="C3822" s="14" t="str">
        <f>IF(ISBLANK(A3822),"",_xlfn.XLOOKUP(A3822,'DISPATCH SHEET'!C$3:C$121,'DISPATCH SHEET'!#REF!,""))</f>
        <v/>
      </c>
    </row>
    <row r="3823" spans="2:3" x14ac:dyDescent="0.2">
      <c r="B3823" s="14" t="str">
        <f>IF(A3823="","",_xlfn.XLOOKUP(A3823,'DISPATCH SHEET'!B$3:B$121,'DISPATCH SHEET'!C$3:C$121,""))</f>
        <v/>
      </c>
      <c r="C3823" s="14" t="str">
        <f>IF(ISBLANK(A3823),"",_xlfn.XLOOKUP(A3823,'DISPATCH SHEET'!C$3:C$121,'DISPATCH SHEET'!#REF!,""))</f>
        <v/>
      </c>
    </row>
    <row r="3824" spans="2:3" x14ac:dyDescent="0.2">
      <c r="B3824" s="14" t="str">
        <f>IF(A3824="","",_xlfn.XLOOKUP(A3824,'DISPATCH SHEET'!B$3:B$121,'DISPATCH SHEET'!C$3:C$121,""))</f>
        <v/>
      </c>
      <c r="C3824" s="14" t="str">
        <f>IF(ISBLANK(A3824),"",_xlfn.XLOOKUP(A3824,'DISPATCH SHEET'!C$3:C$121,'DISPATCH SHEET'!#REF!,""))</f>
        <v/>
      </c>
    </row>
    <row r="3825" spans="2:3" x14ac:dyDescent="0.2">
      <c r="B3825" s="14" t="str">
        <f>IF(A3825="","",_xlfn.XLOOKUP(A3825,'DISPATCH SHEET'!B$3:B$121,'DISPATCH SHEET'!C$3:C$121,""))</f>
        <v/>
      </c>
      <c r="C3825" s="14" t="str">
        <f>IF(ISBLANK(A3825),"",_xlfn.XLOOKUP(A3825,'DISPATCH SHEET'!C$3:C$121,'DISPATCH SHEET'!#REF!,""))</f>
        <v/>
      </c>
    </row>
    <row r="3826" spans="2:3" x14ac:dyDescent="0.2">
      <c r="B3826" s="14" t="str">
        <f>IF(A3826="","",_xlfn.XLOOKUP(A3826,'DISPATCH SHEET'!B$3:B$121,'DISPATCH SHEET'!C$3:C$121,""))</f>
        <v/>
      </c>
      <c r="C3826" s="14" t="str">
        <f>IF(ISBLANK(A3826),"",_xlfn.XLOOKUP(A3826,'DISPATCH SHEET'!C$3:C$121,'DISPATCH SHEET'!#REF!,""))</f>
        <v/>
      </c>
    </row>
    <row r="3827" spans="2:3" x14ac:dyDescent="0.2">
      <c r="B3827" s="14" t="str">
        <f>IF(A3827="","",_xlfn.XLOOKUP(A3827,'DISPATCH SHEET'!B$3:B$121,'DISPATCH SHEET'!C$3:C$121,""))</f>
        <v/>
      </c>
      <c r="C3827" s="14" t="str">
        <f>IF(ISBLANK(A3827),"",_xlfn.XLOOKUP(A3827,'DISPATCH SHEET'!C$3:C$121,'DISPATCH SHEET'!#REF!,""))</f>
        <v/>
      </c>
    </row>
    <row r="3828" spans="2:3" x14ac:dyDescent="0.2">
      <c r="B3828" s="14" t="str">
        <f>IF(A3828="","",_xlfn.XLOOKUP(A3828,'DISPATCH SHEET'!B$3:B$121,'DISPATCH SHEET'!C$3:C$121,""))</f>
        <v/>
      </c>
      <c r="C3828" s="14" t="str">
        <f>IF(ISBLANK(A3828),"",_xlfn.XLOOKUP(A3828,'DISPATCH SHEET'!C$3:C$121,'DISPATCH SHEET'!#REF!,""))</f>
        <v/>
      </c>
    </row>
    <row r="3829" spans="2:3" x14ac:dyDescent="0.2">
      <c r="B3829" s="14" t="str">
        <f>IF(A3829="","",_xlfn.XLOOKUP(A3829,'DISPATCH SHEET'!B$3:B$121,'DISPATCH SHEET'!C$3:C$121,""))</f>
        <v/>
      </c>
      <c r="C3829" s="14" t="str">
        <f>IF(ISBLANK(A3829),"",_xlfn.XLOOKUP(A3829,'DISPATCH SHEET'!C$3:C$121,'DISPATCH SHEET'!#REF!,""))</f>
        <v/>
      </c>
    </row>
    <row r="3830" spans="2:3" x14ac:dyDescent="0.2">
      <c r="B3830" s="14" t="str">
        <f>IF(A3830="","",_xlfn.XLOOKUP(A3830,'DISPATCH SHEET'!B$3:B$121,'DISPATCH SHEET'!C$3:C$121,""))</f>
        <v/>
      </c>
      <c r="C3830" s="14" t="str">
        <f>IF(ISBLANK(A3830),"",_xlfn.XLOOKUP(A3830,'DISPATCH SHEET'!C$3:C$121,'DISPATCH SHEET'!#REF!,""))</f>
        <v/>
      </c>
    </row>
    <row r="3831" spans="2:3" x14ac:dyDescent="0.2">
      <c r="B3831" s="14" t="str">
        <f>IF(A3831="","",_xlfn.XLOOKUP(A3831,'DISPATCH SHEET'!B$3:B$121,'DISPATCH SHEET'!C$3:C$121,""))</f>
        <v/>
      </c>
      <c r="C3831" s="14" t="str">
        <f>IF(ISBLANK(A3831),"",_xlfn.XLOOKUP(A3831,'DISPATCH SHEET'!C$3:C$121,'DISPATCH SHEET'!#REF!,""))</f>
        <v/>
      </c>
    </row>
    <row r="3832" spans="2:3" x14ac:dyDescent="0.2">
      <c r="B3832" s="14" t="str">
        <f>IF(A3832="","",_xlfn.XLOOKUP(A3832,'DISPATCH SHEET'!B$3:B$121,'DISPATCH SHEET'!C$3:C$121,""))</f>
        <v/>
      </c>
      <c r="C3832" s="14" t="str">
        <f>IF(ISBLANK(A3832),"",_xlfn.XLOOKUP(A3832,'DISPATCH SHEET'!C$3:C$121,'DISPATCH SHEET'!#REF!,""))</f>
        <v/>
      </c>
    </row>
    <row r="3833" spans="2:3" x14ac:dyDescent="0.2">
      <c r="B3833" s="14" t="str">
        <f>IF(A3833="","",_xlfn.XLOOKUP(A3833,'DISPATCH SHEET'!B$3:B$121,'DISPATCH SHEET'!C$3:C$121,""))</f>
        <v/>
      </c>
      <c r="C3833" s="14" t="str">
        <f>IF(ISBLANK(A3833),"",_xlfn.XLOOKUP(A3833,'DISPATCH SHEET'!C$3:C$121,'DISPATCH SHEET'!#REF!,""))</f>
        <v/>
      </c>
    </row>
    <row r="3834" spans="2:3" x14ac:dyDescent="0.2">
      <c r="B3834" s="14" t="str">
        <f>IF(A3834="","",_xlfn.XLOOKUP(A3834,'DISPATCH SHEET'!B$3:B$121,'DISPATCH SHEET'!C$3:C$121,""))</f>
        <v/>
      </c>
      <c r="C3834" s="14" t="str">
        <f>IF(ISBLANK(A3834),"",_xlfn.XLOOKUP(A3834,'DISPATCH SHEET'!C$3:C$121,'DISPATCH SHEET'!#REF!,""))</f>
        <v/>
      </c>
    </row>
    <row r="3835" spans="2:3" x14ac:dyDescent="0.2">
      <c r="B3835" s="14" t="str">
        <f>IF(A3835="","",_xlfn.XLOOKUP(A3835,'DISPATCH SHEET'!B$3:B$121,'DISPATCH SHEET'!C$3:C$121,""))</f>
        <v/>
      </c>
      <c r="C3835" s="14" t="str">
        <f>IF(ISBLANK(A3835),"",_xlfn.XLOOKUP(A3835,'DISPATCH SHEET'!C$3:C$121,'DISPATCH SHEET'!#REF!,""))</f>
        <v/>
      </c>
    </row>
    <row r="3836" spans="2:3" x14ac:dyDescent="0.2">
      <c r="B3836" s="14" t="str">
        <f>IF(A3836="","",_xlfn.XLOOKUP(A3836,'DISPATCH SHEET'!B$3:B$121,'DISPATCH SHEET'!C$3:C$121,""))</f>
        <v/>
      </c>
      <c r="C3836" s="14" t="str">
        <f>IF(ISBLANK(A3836),"",_xlfn.XLOOKUP(A3836,'DISPATCH SHEET'!C$3:C$121,'DISPATCH SHEET'!#REF!,""))</f>
        <v/>
      </c>
    </row>
    <row r="3837" spans="2:3" x14ac:dyDescent="0.2">
      <c r="B3837" s="14" t="str">
        <f>IF(A3837="","",_xlfn.XLOOKUP(A3837,'DISPATCH SHEET'!B$3:B$121,'DISPATCH SHEET'!C$3:C$121,""))</f>
        <v/>
      </c>
      <c r="C3837" s="14" t="str">
        <f>IF(ISBLANK(A3837),"",_xlfn.XLOOKUP(A3837,'DISPATCH SHEET'!C$3:C$121,'DISPATCH SHEET'!#REF!,""))</f>
        <v/>
      </c>
    </row>
    <row r="3838" spans="2:3" x14ac:dyDescent="0.2">
      <c r="B3838" s="14" t="str">
        <f>IF(A3838="","",_xlfn.XLOOKUP(A3838,'DISPATCH SHEET'!B$3:B$121,'DISPATCH SHEET'!C$3:C$121,""))</f>
        <v/>
      </c>
      <c r="C3838" s="14" t="str">
        <f>IF(ISBLANK(A3838),"",_xlfn.XLOOKUP(A3838,'DISPATCH SHEET'!C$3:C$121,'DISPATCH SHEET'!#REF!,""))</f>
        <v/>
      </c>
    </row>
    <row r="3839" spans="2:3" x14ac:dyDescent="0.2">
      <c r="B3839" s="14" t="str">
        <f>IF(A3839="","",_xlfn.XLOOKUP(A3839,'DISPATCH SHEET'!B$3:B$121,'DISPATCH SHEET'!C$3:C$121,""))</f>
        <v/>
      </c>
      <c r="C3839" s="14" t="str">
        <f>IF(ISBLANK(A3839),"",_xlfn.XLOOKUP(A3839,'DISPATCH SHEET'!C$3:C$121,'DISPATCH SHEET'!#REF!,""))</f>
        <v/>
      </c>
    </row>
    <row r="3840" spans="2:3" x14ac:dyDescent="0.2">
      <c r="B3840" s="14" t="str">
        <f>IF(A3840="","",_xlfn.XLOOKUP(A3840,'DISPATCH SHEET'!B$3:B$121,'DISPATCH SHEET'!C$3:C$121,""))</f>
        <v/>
      </c>
      <c r="C3840" s="14" t="str">
        <f>IF(ISBLANK(A3840),"",_xlfn.XLOOKUP(A3840,'DISPATCH SHEET'!C$3:C$121,'DISPATCH SHEET'!#REF!,""))</f>
        <v/>
      </c>
    </row>
    <row r="3841" spans="2:3" x14ac:dyDescent="0.2">
      <c r="B3841" s="14" t="str">
        <f>IF(A3841="","",_xlfn.XLOOKUP(A3841,'DISPATCH SHEET'!B$3:B$121,'DISPATCH SHEET'!C$3:C$121,""))</f>
        <v/>
      </c>
      <c r="C3841" s="14" t="str">
        <f>IF(ISBLANK(A3841),"",_xlfn.XLOOKUP(A3841,'DISPATCH SHEET'!C$3:C$121,'DISPATCH SHEET'!#REF!,""))</f>
        <v/>
      </c>
    </row>
    <row r="3842" spans="2:3" x14ac:dyDescent="0.2">
      <c r="B3842" s="14" t="str">
        <f>IF(A3842="","",_xlfn.XLOOKUP(A3842,'DISPATCH SHEET'!B$3:B$121,'DISPATCH SHEET'!C$3:C$121,""))</f>
        <v/>
      </c>
      <c r="C3842" s="14" t="str">
        <f>IF(ISBLANK(A3842),"",_xlfn.XLOOKUP(A3842,'DISPATCH SHEET'!C$3:C$121,'DISPATCH SHEET'!#REF!,""))</f>
        <v/>
      </c>
    </row>
    <row r="3843" spans="2:3" x14ac:dyDescent="0.2">
      <c r="B3843" s="14" t="str">
        <f>IF(A3843="","",_xlfn.XLOOKUP(A3843,'DISPATCH SHEET'!B$3:B$121,'DISPATCH SHEET'!C$3:C$121,""))</f>
        <v/>
      </c>
      <c r="C3843" s="14" t="str">
        <f>IF(ISBLANK(A3843),"",_xlfn.XLOOKUP(A3843,'DISPATCH SHEET'!C$3:C$121,'DISPATCH SHEET'!#REF!,""))</f>
        <v/>
      </c>
    </row>
    <row r="3844" spans="2:3" x14ac:dyDescent="0.2">
      <c r="B3844" s="14" t="str">
        <f>IF(A3844="","",_xlfn.XLOOKUP(A3844,'DISPATCH SHEET'!B$3:B$121,'DISPATCH SHEET'!C$3:C$121,""))</f>
        <v/>
      </c>
      <c r="C3844" s="14" t="str">
        <f>IF(ISBLANK(A3844),"",_xlfn.XLOOKUP(A3844,'DISPATCH SHEET'!C$3:C$121,'DISPATCH SHEET'!#REF!,""))</f>
        <v/>
      </c>
    </row>
    <row r="3845" spans="2:3" x14ac:dyDescent="0.2">
      <c r="B3845" s="14" t="str">
        <f>IF(A3845="","",_xlfn.XLOOKUP(A3845,'DISPATCH SHEET'!B$3:B$121,'DISPATCH SHEET'!C$3:C$121,""))</f>
        <v/>
      </c>
      <c r="C3845" s="14" t="str">
        <f>IF(ISBLANK(A3845),"",_xlfn.XLOOKUP(A3845,'DISPATCH SHEET'!C$3:C$121,'DISPATCH SHEET'!#REF!,""))</f>
        <v/>
      </c>
    </row>
    <row r="3846" spans="2:3" x14ac:dyDescent="0.2">
      <c r="B3846" s="14" t="str">
        <f>IF(A3846="","",_xlfn.XLOOKUP(A3846,'DISPATCH SHEET'!B$3:B$121,'DISPATCH SHEET'!C$3:C$121,""))</f>
        <v/>
      </c>
      <c r="C3846" s="14" t="str">
        <f>IF(ISBLANK(A3846),"",_xlfn.XLOOKUP(A3846,'DISPATCH SHEET'!C$3:C$121,'DISPATCH SHEET'!#REF!,""))</f>
        <v/>
      </c>
    </row>
    <row r="3847" spans="2:3" x14ac:dyDescent="0.2">
      <c r="B3847" s="14" t="str">
        <f>IF(A3847="","",_xlfn.XLOOKUP(A3847,'DISPATCH SHEET'!B$3:B$121,'DISPATCH SHEET'!C$3:C$121,""))</f>
        <v/>
      </c>
      <c r="C3847" s="14" t="str">
        <f>IF(ISBLANK(A3847),"",_xlfn.XLOOKUP(A3847,'DISPATCH SHEET'!C$3:C$121,'DISPATCH SHEET'!#REF!,""))</f>
        <v/>
      </c>
    </row>
    <row r="3848" spans="2:3" x14ac:dyDescent="0.2">
      <c r="B3848" s="14" t="str">
        <f>IF(A3848="","",_xlfn.XLOOKUP(A3848,'DISPATCH SHEET'!B$3:B$121,'DISPATCH SHEET'!C$3:C$121,""))</f>
        <v/>
      </c>
      <c r="C3848" s="14" t="str">
        <f>IF(ISBLANK(A3848),"",_xlfn.XLOOKUP(A3848,'DISPATCH SHEET'!C$3:C$121,'DISPATCH SHEET'!#REF!,""))</f>
        <v/>
      </c>
    </row>
    <row r="3849" spans="2:3" x14ac:dyDescent="0.2">
      <c r="B3849" s="14" t="str">
        <f>IF(A3849="","",_xlfn.XLOOKUP(A3849,'DISPATCH SHEET'!B$3:B$121,'DISPATCH SHEET'!C$3:C$121,""))</f>
        <v/>
      </c>
      <c r="C3849" s="14" t="str">
        <f>IF(ISBLANK(A3849),"",_xlfn.XLOOKUP(A3849,'DISPATCH SHEET'!C$3:C$121,'DISPATCH SHEET'!#REF!,""))</f>
        <v/>
      </c>
    </row>
    <row r="3850" spans="2:3" x14ac:dyDescent="0.2">
      <c r="B3850" s="14" t="str">
        <f>IF(A3850="","",_xlfn.XLOOKUP(A3850,'DISPATCH SHEET'!B$3:B$121,'DISPATCH SHEET'!C$3:C$121,""))</f>
        <v/>
      </c>
      <c r="C3850" s="14" t="str">
        <f>IF(ISBLANK(A3850),"",_xlfn.XLOOKUP(A3850,'DISPATCH SHEET'!C$3:C$121,'DISPATCH SHEET'!#REF!,""))</f>
        <v/>
      </c>
    </row>
    <row r="3851" spans="2:3" x14ac:dyDescent="0.2">
      <c r="B3851" s="14" t="str">
        <f>IF(A3851="","",_xlfn.XLOOKUP(A3851,'DISPATCH SHEET'!B$3:B$121,'DISPATCH SHEET'!C$3:C$121,""))</f>
        <v/>
      </c>
      <c r="C3851" s="14" t="str">
        <f>IF(ISBLANK(A3851),"",_xlfn.XLOOKUP(A3851,'DISPATCH SHEET'!C$3:C$121,'DISPATCH SHEET'!#REF!,""))</f>
        <v/>
      </c>
    </row>
    <row r="3852" spans="2:3" x14ac:dyDescent="0.2">
      <c r="B3852" s="14" t="str">
        <f>IF(A3852="","",_xlfn.XLOOKUP(A3852,'DISPATCH SHEET'!B$3:B$121,'DISPATCH SHEET'!C$3:C$121,""))</f>
        <v/>
      </c>
      <c r="C3852" s="14" t="str">
        <f>IF(ISBLANK(A3852),"",_xlfn.XLOOKUP(A3852,'DISPATCH SHEET'!C$3:C$121,'DISPATCH SHEET'!#REF!,""))</f>
        <v/>
      </c>
    </row>
    <row r="3853" spans="2:3" x14ac:dyDescent="0.2">
      <c r="B3853" s="14" t="str">
        <f>IF(A3853="","",_xlfn.XLOOKUP(A3853,'DISPATCH SHEET'!B$3:B$121,'DISPATCH SHEET'!C$3:C$121,""))</f>
        <v/>
      </c>
      <c r="C3853" s="14" t="str">
        <f>IF(ISBLANK(A3853),"",_xlfn.XLOOKUP(A3853,'DISPATCH SHEET'!C$3:C$121,'DISPATCH SHEET'!#REF!,""))</f>
        <v/>
      </c>
    </row>
    <row r="3854" spans="2:3" x14ac:dyDescent="0.2">
      <c r="B3854" s="14" t="str">
        <f>IF(A3854="","",_xlfn.XLOOKUP(A3854,'DISPATCH SHEET'!B$3:B$121,'DISPATCH SHEET'!C$3:C$121,""))</f>
        <v/>
      </c>
      <c r="C3854" s="14" t="str">
        <f>IF(ISBLANK(A3854),"",_xlfn.XLOOKUP(A3854,'DISPATCH SHEET'!C$3:C$121,'DISPATCH SHEET'!#REF!,""))</f>
        <v/>
      </c>
    </row>
    <row r="3855" spans="2:3" x14ac:dyDescent="0.2">
      <c r="B3855" s="14" t="str">
        <f>IF(A3855="","",_xlfn.XLOOKUP(A3855,'DISPATCH SHEET'!B$3:B$121,'DISPATCH SHEET'!C$3:C$121,""))</f>
        <v/>
      </c>
      <c r="C3855" s="14" t="str">
        <f>IF(ISBLANK(A3855),"",_xlfn.XLOOKUP(A3855,'DISPATCH SHEET'!C$3:C$121,'DISPATCH SHEET'!#REF!,""))</f>
        <v/>
      </c>
    </row>
    <row r="3856" spans="2:3" x14ac:dyDescent="0.2">
      <c r="B3856" s="14" t="str">
        <f>IF(A3856="","",_xlfn.XLOOKUP(A3856,'DISPATCH SHEET'!B$3:B$121,'DISPATCH SHEET'!C$3:C$121,""))</f>
        <v/>
      </c>
      <c r="C3856" s="14" t="str">
        <f>IF(ISBLANK(A3856),"",_xlfn.XLOOKUP(A3856,'DISPATCH SHEET'!C$3:C$121,'DISPATCH SHEET'!#REF!,""))</f>
        <v/>
      </c>
    </row>
    <row r="3857" spans="2:3" x14ac:dyDescent="0.2">
      <c r="B3857" s="14" t="str">
        <f>IF(A3857="","",_xlfn.XLOOKUP(A3857,'DISPATCH SHEET'!B$3:B$121,'DISPATCH SHEET'!C$3:C$121,""))</f>
        <v/>
      </c>
      <c r="C3857" s="14" t="str">
        <f>IF(ISBLANK(A3857),"",_xlfn.XLOOKUP(A3857,'DISPATCH SHEET'!C$3:C$121,'DISPATCH SHEET'!#REF!,""))</f>
        <v/>
      </c>
    </row>
    <row r="3858" spans="2:3" x14ac:dyDescent="0.2">
      <c r="B3858" s="14" t="str">
        <f>IF(A3858="","",_xlfn.XLOOKUP(A3858,'DISPATCH SHEET'!B$3:B$121,'DISPATCH SHEET'!C$3:C$121,""))</f>
        <v/>
      </c>
      <c r="C3858" s="14" t="str">
        <f>IF(ISBLANK(A3858),"",_xlfn.XLOOKUP(A3858,'DISPATCH SHEET'!C$3:C$121,'DISPATCH SHEET'!#REF!,""))</f>
        <v/>
      </c>
    </row>
    <row r="3859" spans="2:3" x14ac:dyDescent="0.2">
      <c r="B3859" s="14" t="str">
        <f>IF(A3859="","",_xlfn.XLOOKUP(A3859,'DISPATCH SHEET'!B$3:B$121,'DISPATCH SHEET'!C$3:C$121,""))</f>
        <v/>
      </c>
      <c r="C3859" s="14" t="str">
        <f>IF(ISBLANK(A3859),"",_xlfn.XLOOKUP(A3859,'DISPATCH SHEET'!C$3:C$121,'DISPATCH SHEET'!#REF!,""))</f>
        <v/>
      </c>
    </row>
    <row r="3860" spans="2:3" x14ac:dyDescent="0.2">
      <c r="B3860" s="14" t="str">
        <f>IF(A3860="","",_xlfn.XLOOKUP(A3860,'DISPATCH SHEET'!B$3:B$121,'DISPATCH SHEET'!C$3:C$121,""))</f>
        <v/>
      </c>
      <c r="C3860" s="14" t="str">
        <f>IF(ISBLANK(A3860),"",_xlfn.XLOOKUP(A3860,'DISPATCH SHEET'!C$3:C$121,'DISPATCH SHEET'!#REF!,""))</f>
        <v/>
      </c>
    </row>
    <row r="3861" spans="2:3" x14ac:dyDescent="0.2">
      <c r="B3861" s="14" t="str">
        <f>IF(A3861="","",_xlfn.XLOOKUP(A3861,'DISPATCH SHEET'!B$3:B$121,'DISPATCH SHEET'!C$3:C$121,""))</f>
        <v/>
      </c>
      <c r="C3861" s="14" t="str">
        <f>IF(ISBLANK(A3861),"",_xlfn.XLOOKUP(A3861,'DISPATCH SHEET'!C$3:C$121,'DISPATCH SHEET'!#REF!,""))</f>
        <v/>
      </c>
    </row>
    <row r="3862" spans="2:3" x14ac:dyDescent="0.2">
      <c r="B3862" s="14" t="str">
        <f>IF(A3862="","",_xlfn.XLOOKUP(A3862,'DISPATCH SHEET'!B$3:B$121,'DISPATCH SHEET'!C$3:C$121,""))</f>
        <v/>
      </c>
      <c r="C3862" s="14" t="str">
        <f>IF(ISBLANK(A3862),"",_xlfn.XLOOKUP(A3862,'DISPATCH SHEET'!C$3:C$121,'DISPATCH SHEET'!#REF!,""))</f>
        <v/>
      </c>
    </row>
    <row r="3863" spans="2:3" x14ac:dyDescent="0.2">
      <c r="B3863" s="14" t="str">
        <f>IF(A3863="","",_xlfn.XLOOKUP(A3863,'DISPATCH SHEET'!B$3:B$121,'DISPATCH SHEET'!C$3:C$121,""))</f>
        <v/>
      </c>
      <c r="C3863" s="14" t="str">
        <f>IF(ISBLANK(A3863),"",_xlfn.XLOOKUP(A3863,'DISPATCH SHEET'!C$3:C$121,'DISPATCH SHEET'!#REF!,""))</f>
        <v/>
      </c>
    </row>
    <row r="3864" spans="2:3" x14ac:dyDescent="0.2">
      <c r="B3864" s="14" t="str">
        <f>IF(A3864="","",_xlfn.XLOOKUP(A3864,'DISPATCH SHEET'!B$3:B$121,'DISPATCH SHEET'!C$3:C$121,""))</f>
        <v/>
      </c>
      <c r="C3864" s="14" t="str">
        <f>IF(ISBLANK(A3864),"",_xlfn.XLOOKUP(A3864,'DISPATCH SHEET'!C$3:C$121,'DISPATCH SHEET'!#REF!,""))</f>
        <v/>
      </c>
    </row>
    <row r="3865" spans="2:3" x14ac:dyDescent="0.2">
      <c r="B3865" s="14" t="str">
        <f>IF(A3865="","",_xlfn.XLOOKUP(A3865,'DISPATCH SHEET'!B$3:B$121,'DISPATCH SHEET'!C$3:C$121,""))</f>
        <v/>
      </c>
      <c r="C3865" s="14" t="str">
        <f>IF(ISBLANK(A3865),"",_xlfn.XLOOKUP(A3865,'DISPATCH SHEET'!C$3:C$121,'DISPATCH SHEET'!#REF!,""))</f>
        <v/>
      </c>
    </row>
    <row r="3866" spans="2:3" x14ac:dyDescent="0.2">
      <c r="B3866" s="14" t="str">
        <f>IF(A3866="","",_xlfn.XLOOKUP(A3866,'DISPATCH SHEET'!B$3:B$121,'DISPATCH SHEET'!C$3:C$121,""))</f>
        <v/>
      </c>
      <c r="C3866" s="14" t="str">
        <f>IF(ISBLANK(A3866),"",_xlfn.XLOOKUP(A3866,'DISPATCH SHEET'!C$3:C$121,'DISPATCH SHEET'!#REF!,""))</f>
        <v/>
      </c>
    </row>
    <row r="3867" spans="2:3" x14ac:dyDescent="0.2">
      <c r="B3867" s="14" t="str">
        <f>IF(A3867="","",_xlfn.XLOOKUP(A3867,'DISPATCH SHEET'!B$3:B$121,'DISPATCH SHEET'!C$3:C$121,""))</f>
        <v/>
      </c>
      <c r="C3867" s="14" t="str">
        <f>IF(ISBLANK(A3867),"",_xlfn.XLOOKUP(A3867,'DISPATCH SHEET'!C$3:C$121,'DISPATCH SHEET'!#REF!,""))</f>
        <v/>
      </c>
    </row>
    <row r="3868" spans="2:3" x14ac:dyDescent="0.2">
      <c r="B3868" s="14" t="str">
        <f>IF(A3868="","",_xlfn.XLOOKUP(A3868,'DISPATCH SHEET'!B$3:B$121,'DISPATCH SHEET'!C$3:C$121,""))</f>
        <v/>
      </c>
      <c r="C3868" s="14" t="str">
        <f>IF(ISBLANK(A3868),"",_xlfn.XLOOKUP(A3868,'DISPATCH SHEET'!C$3:C$121,'DISPATCH SHEET'!#REF!,""))</f>
        <v/>
      </c>
    </row>
    <row r="3869" spans="2:3" x14ac:dyDescent="0.2">
      <c r="B3869" s="14" t="str">
        <f>IF(A3869="","",_xlfn.XLOOKUP(A3869,'DISPATCH SHEET'!B$3:B$121,'DISPATCH SHEET'!C$3:C$121,""))</f>
        <v/>
      </c>
      <c r="C3869" s="14" t="str">
        <f>IF(ISBLANK(A3869),"",_xlfn.XLOOKUP(A3869,'DISPATCH SHEET'!C$3:C$121,'DISPATCH SHEET'!#REF!,""))</f>
        <v/>
      </c>
    </row>
    <row r="3870" spans="2:3" x14ac:dyDescent="0.2">
      <c r="B3870" s="14" t="str">
        <f>IF(A3870="","",_xlfn.XLOOKUP(A3870,'DISPATCH SHEET'!B$3:B$121,'DISPATCH SHEET'!C$3:C$121,""))</f>
        <v/>
      </c>
      <c r="C3870" s="14" t="str">
        <f>IF(ISBLANK(A3870),"",_xlfn.XLOOKUP(A3870,'DISPATCH SHEET'!C$3:C$121,'DISPATCH SHEET'!#REF!,""))</f>
        <v/>
      </c>
    </row>
    <row r="3871" spans="2:3" x14ac:dyDescent="0.2">
      <c r="B3871" s="14" t="str">
        <f>IF(A3871="","",_xlfn.XLOOKUP(A3871,'DISPATCH SHEET'!B$3:B$121,'DISPATCH SHEET'!C$3:C$121,""))</f>
        <v/>
      </c>
      <c r="C3871" s="14" t="str">
        <f>IF(ISBLANK(A3871),"",_xlfn.XLOOKUP(A3871,'DISPATCH SHEET'!C$3:C$121,'DISPATCH SHEET'!#REF!,""))</f>
        <v/>
      </c>
    </row>
    <row r="3872" spans="2:3" x14ac:dyDescent="0.2">
      <c r="B3872" s="14" t="str">
        <f>IF(A3872="","",_xlfn.XLOOKUP(A3872,'DISPATCH SHEET'!B$3:B$121,'DISPATCH SHEET'!C$3:C$121,""))</f>
        <v/>
      </c>
      <c r="C3872" s="14" t="str">
        <f>IF(ISBLANK(A3872),"",_xlfn.XLOOKUP(A3872,'DISPATCH SHEET'!C$3:C$121,'DISPATCH SHEET'!#REF!,""))</f>
        <v/>
      </c>
    </row>
    <row r="3873" spans="2:3" x14ac:dyDescent="0.2">
      <c r="B3873" s="14" t="str">
        <f>IF(A3873="","",_xlfn.XLOOKUP(A3873,'DISPATCH SHEET'!B$3:B$121,'DISPATCH SHEET'!C$3:C$121,""))</f>
        <v/>
      </c>
      <c r="C3873" s="14" t="str">
        <f>IF(ISBLANK(A3873),"",_xlfn.XLOOKUP(A3873,'DISPATCH SHEET'!C$3:C$121,'DISPATCH SHEET'!#REF!,""))</f>
        <v/>
      </c>
    </row>
    <row r="3874" spans="2:3" x14ac:dyDescent="0.2">
      <c r="B3874" s="14" t="str">
        <f>IF(A3874="","",_xlfn.XLOOKUP(A3874,'DISPATCH SHEET'!B$3:B$121,'DISPATCH SHEET'!C$3:C$121,""))</f>
        <v/>
      </c>
      <c r="C3874" s="14" t="str">
        <f>IF(ISBLANK(A3874),"",_xlfn.XLOOKUP(A3874,'DISPATCH SHEET'!C$3:C$121,'DISPATCH SHEET'!#REF!,""))</f>
        <v/>
      </c>
    </row>
    <row r="3875" spans="2:3" x14ac:dyDescent="0.2">
      <c r="B3875" s="14" t="str">
        <f>IF(A3875="","",_xlfn.XLOOKUP(A3875,'DISPATCH SHEET'!B$3:B$121,'DISPATCH SHEET'!C$3:C$121,""))</f>
        <v/>
      </c>
      <c r="C3875" s="14" t="str">
        <f>IF(ISBLANK(A3875),"",_xlfn.XLOOKUP(A3875,'DISPATCH SHEET'!C$3:C$121,'DISPATCH SHEET'!#REF!,""))</f>
        <v/>
      </c>
    </row>
    <row r="3876" spans="2:3" x14ac:dyDescent="0.2">
      <c r="B3876" s="14" t="str">
        <f>IF(A3876="","",_xlfn.XLOOKUP(A3876,'DISPATCH SHEET'!B$3:B$121,'DISPATCH SHEET'!C$3:C$121,""))</f>
        <v/>
      </c>
      <c r="C3876" s="14" t="str">
        <f>IF(ISBLANK(A3876),"",_xlfn.XLOOKUP(A3876,'DISPATCH SHEET'!C$3:C$121,'DISPATCH SHEET'!#REF!,""))</f>
        <v/>
      </c>
    </row>
    <row r="3877" spans="2:3" x14ac:dyDescent="0.2">
      <c r="B3877" s="14" t="str">
        <f>IF(A3877="","",_xlfn.XLOOKUP(A3877,'DISPATCH SHEET'!B$3:B$121,'DISPATCH SHEET'!C$3:C$121,""))</f>
        <v/>
      </c>
      <c r="C3877" s="14" t="str">
        <f>IF(ISBLANK(A3877),"",_xlfn.XLOOKUP(A3877,'DISPATCH SHEET'!C$3:C$121,'DISPATCH SHEET'!#REF!,""))</f>
        <v/>
      </c>
    </row>
    <row r="3878" spans="2:3" x14ac:dyDescent="0.2">
      <c r="B3878" s="14" t="str">
        <f>IF(A3878="","",_xlfn.XLOOKUP(A3878,'DISPATCH SHEET'!B$3:B$121,'DISPATCH SHEET'!C$3:C$121,""))</f>
        <v/>
      </c>
      <c r="C3878" s="14" t="str">
        <f>IF(ISBLANK(A3878),"",_xlfn.XLOOKUP(A3878,'DISPATCH SHEET'!C$3:C$121,'DISPATCH SHEET'!#REF!,""))</f>
        <v/>
      </c>
    </row>
    <row r="3879" spans="2:3" x14ac:dyDescent="0.2">
      <c r="B3879" s="14" t="str">
        <f>IF(A3879="","",_xlfn.XLOOKUP(A3879,'DISPATCH SHEET'!B$3:B$121,'DISPATCH SHEET'!C$3:C$121,""))</f>
        <v/>
      </c>
      <c r="C3879" s="14" t="str">
        <f>IF(ISBLANK(A3879),"",_xlfn.XLOOKUP(A3879,'DISPATCH SHEET'!C$3:C$121,'DISPATCH SHEET'!#REF!,""))</f>
        <v/>
      </c>
    </row>
    <row r="3880" spans="2:3" x14ac:dyDescent="0.2">
      <c r="B3880" s="14" t="str">
        <f>IF(A3880="","",_xlfn.XLOOKUP(A3880,'DISPATCH SHEET'!B$3:B$121,'DISPATCH SHEET'!C$3:C$121,""))</f>
        <v/>
      </c>
      <c r="C3880" s="14" t="str">
        <f>IF(ISBLANK(A3880),"",_xlfn.XLOOKUP(A3880,'DISPATCH SHEET'!C$3:C$121,'DISPATCH SHEET'!#REF!,""))</f>
        <v/>
      </c>
    </row>
    <row r="3881" spans="2:3" x14ac:dyDescent="0.2">
      <c r="B3881" s="14" t="str">
        <f>IF(A3881="","",_xlfn.XLOOKUP(A3881,'DISPATCH SHEET'!B$3:B$121,'DISPATCH SHEET'!C$3:C$121,""))</f>
        <v/>
      </c>
      <c r="C3881" s="14" t="str">
        <f>IF(ISBLANK(A3881),"",_xlfn.XLOOKUP(A3881,'DISPATCH SHEET'!C$3:C$121,'DISPATCH SHEET'!#REF!,""))</f>
        <v/>
      </c>
    </row>
    <row r="3882" spans="2:3" x14ac:dyDescent="0.2">
      <c r="B3882" s="14" t="str">
        <f>IF(A3882="","",_xlfn.XLOOKUP(A3882,'DISPATCH SHEET'!B$3:B$121,'DISPATCH SHEET'!C$3:C$121,""))</f>
        <v/>
      </c>
      <c r="C3882" s="14" t="str">
        <f>IF(ISBLANK(A3882),"",_xlfn.XLOOKUP(A3882,'DISPATCH SHEET'!C$3:C$121,'DISPATCH SHEET'!#REF!,""))</f>
        <v/>
      </c>
    </row>
    <row r="3883" spans="2:3" x14ac:dyDescent="0.2">
      <c r="B3883" s="14" t="str">
        <f>IF(A3883="","",_xlfn.XLOOKUP(A3883,'DISPATCH SHEET'!B$3:B$121,'DISPATCH SHEET'!C$3:C$121,""))</f>
        <v/>
      </c>
      <c r="C3883" s="14" t="str">
        <f>IF(ISBLANK(A3883),"",_xlfn.XLOOKUP(A3883,'DISPATCH SHEET'!C$3:C$121,'DISPATCH SHEET'!#REF!,""))</f>
        <v/>
      </c>
    </row>
    <row r="3884" spans="2:3" x14ac:dyDescent="0.2">
      <c r="B3884" s="14" t="str">
        <f>IF(A3884="","",_xlfn.XLOOKUP(A3884,'DISPATCH SHEET'!B$3:B$121,'DISPATCH SHEET'!C$3:C$121,""))</f>
        <v/>
      </c>
      <c r="C3884" s="14" t="str">
        <f>IF(ISBLANK(A3884),"",_xlfn.XLOOKUP(A3884,'DISPATCH SHEET'!C$3:C$121,'DISPATCH SHEET'!#REF!,""))</f>
        <v/>
      </c>
    </row>
    <row r="3885" spans="2:3" x14ac:dyDescent="0.2">
      <c r="B3885" s="14" t="str">
        <f>IF(A3885="","",_xlfn.XLOOKUP(A3885,'DISPATCH SHEET'!B$3:B$121,'DISPATCH SHEET'!C$3:C$121,""))</f>
        <v/>
      </c>
      <c r="C3885" s="14" t="str">
        <f>IF(ISBLANK(A3885),"",_xlfn.XLOOKUP(A3885,'DISPATCH SHEET'!C$3:C$121,'DISPATCH SHEET'!#REF!,""))</f>
        <v/>
      </c>
    </row>
    <row r="3886" spans="2:3" x14ac:dyDescent="0.2">
      <c r="B3886" s="14" t="str">
        <f>IF(A3886="","",_xlfn.XLOOKUP(A3886,'DISPATCH SHEET'!B$3:B$121,'DISPATCH SHEET'!C$3:C$121,""))</f>
        <v/>
      </c>
      <c r="C3886" s="14" t="str">
        <f>IF(ISBLANK(A3886),"",_xlfn.XLOOKUP(A3886,'DISPATCH SHEET'!C$3:C$121,'DISPATCH SHEET'!#REF!,""))</f>
        <v/>
      </c>
    </row>
    <row r="3887" spans="2:3" x14ac:dyDescent="0.2">
      <c r="B3887" s="14" t="str">
        <f>IF(A3887="","",_xlfn.XLOOKUP(A3887,'DISPATCH SHEET'!B$3:B$121,'DISPATCH SHEET'!C$3:C$121,""))</f>
        <v/>
      </c>
      <c r="C3887" s="14" t="str">
        <f>IF(ISBLANK(A3887),"",_xlfn.XLOOKUP(A3887,'DISPATCH SHEET'!C$3:C$121,'DISPATCH SHEET'!#REF!,""))</f>
        <v/>
      </c>
    </row>
    <row r="3888" spans="2:3" x14ac:dyDescent="0.2">
      <c r="B3888" s="14" t="str">
        <f>IF(A3888="","",_xlfn.XLOOKUP(A3888,'DISPATCH SHEET'!B$3:B$121,'DISPATCH SHEET'!C$3:C$121,""))</f>
        <v/>
      </c>
      <c r="C3888" s="14" t="str">
        <f>IF(ISBLANK(A3888),"",_xlfn.XLOOKUP(A3888,'DISPATCH SHEET'!C$3:C$121,'DISPATCH SHEET'!#REF!,""))</f>
        <v/>
      </c>
    </row>
    <row r="3889" spans="2:3" x14ac:dyDescent="0.2">
      <c r="B3889" s="14" t="str">
        <f>IF(A3889="","",_xlfn.XLOOKUP(A3889,'DISPATCH SHEET'!B$3:B$121,'DISPATCH SHEET'!C$3:C$121,""))</f>
        <v/>
      </c>
      <c r="C3889" s="14" t="str">
        <f>IF(ISBLANK(A3889),"",_xlfn.XLOOKUP(A3889,'DISPATCH SHEET'!C$3:C$121,'DISPATCH SHEET'!#REF!,""))</f>
        <v/>
      </c>
    </row>
    <row r="3890" spans="2:3" x14ac:dyDescent="0.2">
      <c r="B3890" s="14" t="str">
        <f>IF(A3890="","",_xlfn.XLOOKUP(A3890,'DISPATCH SHEET'!B$3:B$121,'DISPATCH SHEET'!C$3:C$121,""))</f>
        <v/>
      </c>
      <c r="C3890" s="14" t="str">
        <f>IF(ISBLANK(A3890),"",_xlfn.XLOOKUP(A3890,'DISPATCH SHEET'!C$3:C$121,'DISPATCH SHEET'!#REF!,""))</f>
        <v/>
      </c>
    </row>
    <row r="3891" spans="2:3" x14ac:dyDescent="0.2">
      <c r="B3891" s="14" t="str">
        <f>IF(A3891="","",_xlfn.XLOOKUP(A3891,'DISPATCH SHEET'!B$3:B$121,'DISPATCH SHEET'!C$3:C$121,""))</f>
        <v/>
      </c>
      <c r="C3891" s="14" t="str">
        <f>IF(ISBLANK(A3891),"",_xlfn.XLOOKUP(A3891,'DISPATCH SHEET'!C$3:C$121,'DISPATCH SHEET'!#REF!,""))</f>
        <v/>
      </c>
    </row>
    <row r="3892" spans="2:3" x14ac:dyDescent="0.2">
      <c r="B3892" s="14" t="str">
        <f>IF(A3892="","",_xlfn.XLOOKUP(A3892,'DISPATCH SHEET'!B$3:B$121,'DISPATCH SHEET'!C$3:C$121,""))</f>
        <v/>
      </c>
      <c r="C3892" s="14" t="str">
        <f>IF(ISBLANK(A3892),"",_xlfn.XLOOKUP(A3892,'DISPATCH SHEET'!C$3:C$121,'DISPATCH SHEET'!#REF!,""))</f>
        <v/>
      </c>
    </row>
    <row r="3893" spans="2:3" x14ac:dyDescent="0.2">
      <c r="B3893" s="14" t="str">
        <f>IF(A3893="","",_xlfn.XLOOKUP(A3893,'DISPATCH SHEET'!B$3:B$121,'DISPATCH SHEET'!C$3:C$121,""))</f>
        <v/>
      </c>
      <c r="C3893" s="14" t="str">
        <f>IF(ISBLANK(A3893),"",_xlfn.XLOOKUP(A3893,'DISPATCH SHEET'!C$3:C$121,'DISPATCH SHEET'!#REF!,""))</f>
        <v/>
      </c>
    </row>
    <row r="3894" spans="2:3" x14ac:dyDescent="0.2">
      <c r="B3894" s="14" t="str">
        <f>IF(A3894="","",_xlfn.XLOOKUP(A3894,'DISPATCH SHEET'!B$3:B$121,'DISPATCH SHEET'!C$3:C$121,""))</f>
        <v/>
      </c>
      <c r="C3894" s="14" t="str">
        <f>IF(ISBLANK(A3894),"",_xlfn.XLOOKUP(A3894,'DISPATCH SHEET'!C$3:C$121,'DISPATCH SHEET'!#REF!,""))</f>
        <v/>
      </c>
    </row>
    <row r="3895" spans="2:3" x14ac:dyDescent="0.2">
      <c r="B3895" s="14" t="str">
        <f>IF(A3895="","",_xlfn.XLOOKUP(A3895,'DISPATCH SHEET'!B$3:B$121,'DISPATCH SHEET'!C$3:C$121,""))</f>
        <v/>
      </c>
      <c r="C3895" s="14" t="str">
        <f>IF(ISBLANK(A3895),"",_xlfn.XLOOKUP(A3895,'DISPATCH SHEET'!C$3:C$121,'DISPATCH SHEET'!#REF!,""))</f>
        <v/>
      </c>
    </row>
    <row r="3896" spans="2:3" x14ac:dyDescent="0.2">
      <c r="B3896" s="14" t="str">
        <f>IF(A3896="","",_xlfn.XLOOKUP(A3896,'DISPATCH SHEET'!B$3:B$121,'DISPATCH SHEET'!C$3:C$121,""))</f>
        <v/>
      </c>
      <c r="C3896" s="14" t="str">
        <f>IF(ISBLANK(A3896),"",_xlfn.XLOOKUP(A3896,'DISPATCH SHEET'!C$3:C$121,'DISPATCH SHEET'!#REF!,""))</f>
        <v/>
      </c>
    </row>
    <row r="3897" spans="2:3" x14ac:dyDescent="0.2">
      <c r="B3897" s="14" t="str">
        <f>IF(A3897="","",_xlfn.XLOOKUP(A3897,'DISPATCH SHEET'!B$3:B$121,'DISPATCH SHEET'!C$3:C$121,""))</f>
        <v/>
      </c>
      <c r="C3897" s="14" t="str">
        <f>IF(ISBLANK(A3897),"",_xlfn.XLOOKUP(A3897,'DISPATCH SHEET'!C$3:C$121,'DISPATCH SHEET'!#REF!,""))</f>
        <v/>
      </c>
    </row>
    <row r="3898" spans="2:3" x14ac:dyDescent="0.2">
      <c r="B3898" s="14" t="str">
        <f>IF(A3898="","",_xlfn.XLOOKUP(A3898,'DISPATCH SHEET'!B$3:B$121,'DISPATCH SHEET'!C$3:C$121,""))</f>
        <v/>
      </c>
      <c r="C3898" s="14" t="str">
        <f>IF(ISBLANK(A3898),"",_xlfn.XLOOKUP(A3898,'DISPATCH SHEET'!C$3:C$121,'DISPATCH SHEET'!#REF!,""))</f>
        <v/>
      </c>
    </row>
    <row r="3899" spans="2:3" x14ac:dyDescent="0.2">
      <c r="B3899" s="14" t="str">
        <f>IF(A3899="","",_xlfn.XLOOKUP(A3899,'DISPATCH SHEET'!B$3:B$121,'DISPATCH SHEET'!C$3:C$121,""))</f>
        <v/>
      </c>
      <c r="C3899" s="14" t="str">
        <f>IF(ISBLANK(A3899),"",_xlfn.XLOOKUP(A3899,'DISPATCH SHEET'!C$3:C$121,'DISPATCH SHEET'!#REF!,""))</f>
        <v/>
      </c>
    </row>
    <row r="3900" spans="2:3" x14ac:dyDescent="0.2">
      <c r="B3900" s="14" t="str">
        <f>IF(A3900="","",_xlfn.XLOOKUP(A3900,'DISPATCH SHEET'!B$3:B$121,'DISPATCH SHEET'!C$3:C$121,""))</f>
        <v/>
      </c>
      <c r="C3900" s="14" t="str">
        <f>IF(ISBLANK(A3900),"",_xlfn.XLOOKUP(A3900,'DISPATCH SHEET'!C$3:C$121,'DISPATCH SHEET'!#REF!,""))</f>
        <v/>
      </c>
    </row>
    <row r="3901" spans="2:3" x14ac:dyDescent="0.2">
      <c r="B3901" s="14" t="str">
        <f>IF(A3901="","",_xlfn.XLOOKUP(A3901,'DISPATCH SHEET'!B$3:B$121,'DISPATCH SHEET'!C$3:C$121,""))</f>
        <v/>
      </c>
      <c r="C3901" s="14" t="str">
        <f>IF(ISBLANK(A3901),"",_xlfn.XLOOKUP(A3901,'DISPATCH SHEET'!C$3:C$121,'DISPATCH SHEET'!#REF!,""))</f>
        <v/>
      </c>
    </row>
    <row r="3902" spans="2:3" x14ac:dyDescent="0.2">
      <c r="B3902" s="14" t="str">
        <f>IF(A3902="","",_xlfn.XLOOKUP(A3902,'DISPATCH SHEET'!B$3:B$121,'DISPATCH SHEET'!C$3:C$121,""))</f>
        <v/>
      </c>
      <c r="C3902" s="14" t="str">
        <f>IF(ISBLANK(A3902),"",_xlfn.XLOOKUP(A3902,'DISPATCH SHEET'!C$3:C$121,'DISPATCH SHEET'!#REF!,""))</f>
        <v/>
      </c>
    </row>
    <row r="3903" spans="2:3" x14ac:dyDescent="0.2">
      <c r="B3903" s="14" t="str">
        <f>IF(A3903="","",_xlfn.XLOOKUP(A3903,'DISPATCH SHEET'!B$3:B$121,'DISPATCH SHEET'!C$3:C$121,""))</f>
        <v/>
      </c>
      <c r="C3903" s="14" t="str">
        <f>IF(ISBLANK(A3903),"",_xlfn.XLOOKUP(A3903,'DISPATCH SHEET'!C$3:C$121,'DISPATCH SHEET'!#REF!,""))</f>
        <v/>
      </c>
    </row>
    <row r="3904" spans="2:3" x14ac:dyDescent="0.2">
      <c r="B3904" s="14" t="str">
        <f>IF(A3904="","",_xlfn.XLOOKUP(A3904,'DISPATCH SHEET'!B$3:B$121,'DISPATCH SHEET'!C$3:C$121,""))</f>
        <v/>
      </c>
      <c r="C3904" s="14" t="str">
        <f>IF(ISBLANK(A3904),"",_xlfn.XLOOKUP(A3904,'DISPATCH SHEET'!C$3:C$121,'DISPATCH SHEET'!#REF!,""))</f>
        <v/>
      </c>
    </row>
    <row r="3905" spans="2:2" x14ac:dyDescent="0.2">
      <c r="B3905" s="14" t="str">
        <f>IF(A3905="","",_xlfn.XLOOKUP(A3905,'DISPATCH SHEET'!B$3:B$121,'DISPATCH SHEET'!C$3:C$121,""))</f>
        <v/>
      </c>
    </row>
    <row r="3906" spans="2:2" x14ac:dyDescent="0.2">
      <c r="B3906" s="14" t="str">
        <f>IF(A3906="","",_xlfn.XLOOKUP(A3906,'DISPATCH SHEET'!B$3:B$121,'DISPATCH SHEET'!C$3:C$121,""))</f>
        <v/>
      </c>
    </row>
    <row r="3907" spans="2:2" x14ac:dyDescent="0.2">
      <c r="B3907" s="14" t="str">
        <f>IF(A3907="","",_xlfn.XLOOKUP(A3907,'DISPATCH SHEET'!B$3:B$121,'DISPATCH SHEET'!C$3:C$121,""))</f>
        <v/>
      </c>
    </row>
    <row r="3908" spans="2:2" x14ac:dyDescent="0.2">
      <c r="B3908" s="14" t="str">
        <f>IF(A3908="","",_xlfn.XLOOKUP(A3908,'DISPATCH SHEET'!B$3:B$121,'DISPATCH SHEET'!C$3:C$121,""))</f>
        <v/>
      </c>
    </row>
    <row r="3909" spans="2:2" x14ac:dyDescent="0.2">
      <c r="B3909" s="14" t="str">
        <f>IF(A3909="","",_xlfn.XLOOKUP(A3909,'DISPATCH SHEET'!B$3:B$121,'DISPATCH SHEET'!C$3:C$121,""))</f>
        <v/>
      </c>
    </row>
    <row r="3910" spans="2:2" x14ac:dyDescent="0.2">
      <c r="B3910" s="14" t="str">
        <f>IF(A3910="","",_xlfn.XLOOKUP(A3910,'DISPATCH SHEET'!B$3:B$121,'DISPATCH SHEET'!C$3:C$121,""))</f>
        <v/>
      </c>
    </row>
    <row r="3911" spans="2:2" x14ac:dyDescent="0.2">
      <c r="B3911" s="14" t="str">
        <f>IF(A3911="","",_xlfn.XLOOKUP(A3911,'DISPATCH SHEET'!B$3:B$121,'DISPATCH SHEET'!C$3:C$121,""))</f>
        <v/>
      </c>
    </row>
    <row r="3912" spans="2:2" x14ac:dyDescent="0.2">
      <c r="B3912" s="14" t="str">
        <f>IF(A3912="","",_xlfn.XLOOKUP(A3912,'DISPATCH SHEET'!B$3:B$121,'DISPATCH SHEET'!C$3:C$121,""))</f>
        <v/>
      </c>
    </row>
    <row r="3913" spans="2:2" x14ac:dyDescent="0.2">
      <c r="B3913" s="14" t="str">
        <f>IF(A3913="","",_xlfn.XLOOKUP(A3913,'DISPATCH SHEET'!B$3:B$121,'DISPATCH SHEET'!C$3:C$121,""))</f>
        <v/>
      </c>
    </row>
    <row r="3914" spans="2:2" x14ac:dyDescent="0.2">
      <c r="B3914" s="14" t="str">
        <f>IF(A3914="","",_xlfn.XLOOKUP(A3914,'DISPATCH SHEET'!B$3:B$121,'DISPATCH SHEET'!C$3:C$121,""))</f>
        <v/>
      </c>
    </row>
    <row r="3915" spans="2:2" x14ac:dyDescent="0.2">
      <c r="B3915" s="14" t="str">
        <f>IF(A3915="","",_xlfn.XLOOKUP(A3915,'DISPATCH SHEET'!B$3:B$121,'DISPATCH SHEET'!C$3:C$121,""))</f>
        <v/>
      </c>
    </row>
    <row r="3916" spans="2:2" x14ac:dyDescent="0.2">
      <c r="B3916" s="14" t="str">
        <f>IF(A3916="","",_xlfn.XLOOKUP(A3916,'DISPATCH SHEET'!B$3:B$121,'DISPATCH SHEET'!C$3:C$121,""))</f>
        <v/>
      </c>
    </row>
    <row r="3917" spans="2:2" x14ac:dyDescent="0.2">
      <c r="B3917" s="14" t="str">
        <f>IF(A3917="","",_xlfn.XLOOKUP(A3917,'DISPATCH SHEET'!B$3:B$121,'DISPATCH SHEET'!C$3:C$121,""))</f>
        <v/>
      </c>
    </row>
    <row r="3918" spans="2:2" x14ac:dyDescent="0.2">
      <c r="B3918" s="14" t="str">
        <f>IF(A3918="","",_xlfn.XLOOKUP(A3918,'DISPATCH SHEET'!B$3:B$121,'DISPATCH SHEET'!C$3:C$121,""))</f>
        <v/>
      </c>
    </row>
    <row r="3919" spans="2:2" x14ac:dyDescent="0.2">
      <c r="B3919" s="14" t="str">
        <f>IF(A3919="","",_xlfn.XLOOKUP(A3919,'DISPATCH SHEET'!B$3:B$121,'DISPATCH SHEET'!C$3:C$121,""))</f>
        <v/>
      </c>
    </row>
    <row r="3920" spans="2:2" x14ac:dyDescent="0.2">
      <c r="B3920" s="14" t="str">
        <f>IF(A3920="","",_xlfn.XLOOKUP(A3920,'DISPATCH SHEET'!B$3:B$121,'DISPATCH SHEET'!C$3:C$121,""))</f>
        <v/>
      </c>
    </row>
    <row r="3921" spans="2:2" x14ac:dyDescent="0.2">
      <c r="B3921" s="14" t="str">
        <f>IF(A3921="","",_xlfn.XLOOKUP(A3921,'DISPATCH SHEET'!B$3:B$121,'DISPATCH SHEET'!C$3:C$121,""))</f>
        <v/>
      </c>
    </row>
    <row r="3922" spans="2:2" x14ac:dyDescent="0.2">
      <c r="B3922" s="14" t="str">
        <f>IF(A3922="","",_xlfn.XLOOKUP(A3922,'DISPATCH SHEET'!B$3:B$121,'DISPATCH SHEET'!C$3:C$121,""))</f>
        <v/>
      </c>
    </row>
    <row r="3923" spans="2:2" x14ac:dyDescent="0.2">
      <c r="B3923" s="14" t="str">
        <f>IF(A3923="","",_xlfn.XLOOKUP(A3923,'DISPATCH SHEET'!B$3:B$121,'DISPATCH SHEET'!C$3:C$121,""))</f>
        <v/>
      </c>
    </row>
    <row r="3924" spans="2:2" x14ac:dyDescent="0.2">
      <c r="B3924" s="14" t="str">
        <f>IF(A3924="","",_xlfn.XLOOKUP(A3924,'DISPATCH SHEET'!B$3:B$121,'DISPATCH SHEET'!C$3:C$121,""))</f>
        <v/>
      </c>
    </row>
    <row r="3925" spans="2:2" x14ac:dyDescent="0.2">
      <c r="B3925" s="14" t="str">
        <f>IF(A3925="","",_xlfn.XLOOKUP(A3925,'DISPATCH SHEET'!B$3:B$121,'DISPATCH SHEET'!C$3:C$121,""))</f>
        <v/>
      </c>
    </row>
    <row r="3926" spans="2:2" x14ac:dyDescent="0.2">
      <c r="B3926" s="14" t="str">
        <f>IF(A3926="","",_xlfn.XLOOKUP(A3926,'DISPATCH SHEET'!B$3:B$121,'DISPATCH SHEET'!C$3:C$121,""))</f>
        <v/>
      </c>
    </row>
    <row r="3927" spans="2:2" x14ac:dyDescent="0.2">
      <c r="B3927" s="14" t="str">
        <f>IF(A3927="","",_xlfn.XLOOKUP(A3927,'DISPATCH SHEET'!B$3:B$121,'DISPATCH SHEET'!C$3:C$121,""))</f>
        <v/>
      </c>
    </row>
    <row r="3928" spans="2:2" x14ac:dyDescent="0.2">
      <c r="B3928" s="14" t="str">
        <f>IF(A3928="","",_xlfn.XLOOKUP(A3928,'DISPATCH SHEET'!B$3:B$121,'DISPATCH SHEET'!C$3:C$121,""))</f>
        <v/>
      </c>
    </row>
    <row r="3929" spans="2:2" x14ac:dyDescent="0.2">
      <c r="B3929" s="14" t="str">
        <f>IF(A3929="","",_xlfn.XLOOKUP(A3929,'DISPATCH SHEET'!B$3:B$121,'DISPATCH SHEET'!C$3:C$121,""))</f>
        <v/>
      </c>
    </row>
    <row r="3930" spans="2:2" x14ac:dyDescent="0.2">
      <c r="B3930" s="14" t="str">
        <f>IF(A3930="","",_xlfn.XLOOKUP(A3930,'DISPATCH SHEET'!B$3:B$121,'DISPATCH SHEET'!C$3:C$121,""))</f>
        <v/>
      </c>
    </row>
    <row r="3931" spans="2:2" x14ac:dyDescent="0.2">
      <c r="B3931" s="14" t="str">
        <f>IF(A3931="","",_xlfn.XLOOKUP(A3931,'DISPATCH SHEET'!B$3:B$121,'DISPATCH SHEET'!C$3:C$121,""))</f>
        <v/>
      </c>
    </row>
    <row r="3932" spans="2:2" x14ac:dyDescent="0.2">
      <c r="B3932" s="14" t="str">
        <f>IF(A3932="","",_xlfn.XLOOKUP(A3932,'DISPATCH SHEET'!B$3:B$121,'DISPATCH SHEET'!C$3:C$121,""))</f>
        <v/>
      </c>
    </row>
    <row r="3933" spans="2:2" x14ac:dyDescent="0.2">
      <c r="B3933" s="14" t="str">
        <f>IF(A3933="","",_xlfn.XLOOKUP(A3933,'DISPATCH SHEET'!B$3:B$121,'DISPATCH SHEET'!C$3:C$121,""))</f>
        <v/>
      </c>
    </row>
    <row r="3934" spans="2:2" x14ac:dyDescent="0.2">
      <c r="B3934" s="14" t="str">
        <f>IF(A3934="","",_xlfn.XLOOKUP(A3934,'DISPATCH SHEET'!B$3:B$121,'DISPATCH SHEET'!C$3:C$121,""))</f>
        <v/>
      </c>
    </row>
    <row r="3935" spans="2:2" x14ac:dyDescent="0.2">
      <c r="B3935" s="14" t="str">
        <f>IF(A3935="","",_xlfn.XLOOKUP(A3935,'DISPATCH SHEET'!B$3:B$121,'DISPATCH SHEET'!C$3:C$121,""))</f>
        <v/>
      </c>
    </row>
    <row r="3936" spans="2:2" x14ac:dyDescent="0.2">
      <c r="B3936" s="14" t="str">
        <f>IF(A3936="","",_xlfn.XLOOKUP(A3936,'DISPATCH SHEET'!B$3:B$121,'DISPATCH SHEET'!C$3:C$121,""))</f>
        <v/>
      </c>
    </row>
    <row r="3937" spans="2:2" x14ac:dyDescent="0.2">
      <c r="B3937" s="14" t="str">
        <f>IF(A3937="","",_xlfn.XLOOKUP(A3937,'DISPATCH SHEET'!B$3:B$121,'DISPATCH SHEET'!C$3:C$121,""))</f>
        <v/>
      </c>
    </row>
    <row r="3938" spans="2:2" x14ac:dyDescent="0.2">
      <c r="B3938" s="14" t="str">
        <f>IF(A3938="","",_xlfn.XLOOKUP(A3938,'DISPATCH SHEET'!B$3:B$121,'DISPATCH SHEET'!C$3:C$121,""))</f>
        <v/>
      </c>
    </row>
  </sheetData>
  <sheetProtection formatCells="0" insertRows="0" deleteRows="0" selectLockedCells="1"/>
  <autoFilter ref="A4:K4" xr:uid="{76FB130D-8B32-4B1D-AA61-36D4C8DCDDAE}"/>
  <mergeCells count="3">
    <mergeCell ref="F1:G1"/>
    <mergeCell ref="H1:I1"/>
    <mergeCell ref="G2:I2"/>
  </mergeCells>
  <printOptions gridLines="1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A9AC-3C99-4DBC-92B6-4E097270DBB4}">
  <sheetPr>
    <pageSetUpPr fitToPage="1"/>
  </sheetPr>
  <dimension ref="A1:O240"/>
  <sheetViews>
    <sheetView tabSelected="1" zoomScale="73" zoomScaleNormal="73" zoomScaleSheetLayoutView="40" workbookViewId="0">
      <pane ySplit="2" topLeftCell="A3" activePane="bottomLeft" state="frozen"/>
      <selection pane="bottomLeft" activeCell="M11" sqref="M11"/>
    </sheetView>
  </sheetViews>
  <sheetFormatPr defaultRowHeight="15.75" x14ac:dyDescent="0.25"/>
  <cols>
    <col min="1" max="1" width="7.140625" style="27" customWidth="1"/>
    <col min="2" max="2" width="20.140625" style="27" customWidth="1"/>
    <col min="3" max="3" width="57.28515625" style="30" customWidth="1"/>
    <col min="4" max="4" width="20.140625" style="27" customWidth="1"/>
    <col min="5" max="5" width="24.42578125" style="27" customWidth="1"/>
    <col min="6" max="6" width="20.140625" style="27" customWidth="1"/>
    <col min="7" max="7" width="20" style="27" hidden="1" customWidth="1"/>
    <col min="8" max="8" width="20" style="27" customWidth="1"/>
    <col min="9" max="9" width="20" style="29" hidden="1" customWidth="1"/>
    <col min="10" max="10" width="20" style="27" hidden="1" customWidth="1"/>
    <col min="11" max="12" width="20" style="29" customWidth="1"/>
    <col min="13" max="13" width="38.140625" style="28" bestFit="1" customWidth="1"/>
    <col min="14" max="14" width="59.28515625" style="27" hidden="1" customWidth="1"/>
    <col min="15" max="16384" width="9.140625" style="27"/>
  </cols>
  <sheetData>
    <row r="1" spans="1:14" s="31" customFormat="1" ht="29.25" thickBot="1" x14ac:dyDescent="0.25">
      <c r="A1" s="61" t="s">
        <v>0</v>
      </c>
      <c r="B1" s="60" t="s">
        <v>24</v>
      </c>
      <c r="C1" s="80"/>
      <c r="D1" s="80"/>
      <c r="E1" s="86" t="s">
        <v>23</v>
      </c>
      <c r="F1" s="86"/>
      <c r="H1" s="81" t="s">
        <v>212</v>
      </c>
      <c r="J1" s="56" t="s">
        <v>21</v>
      </c>
      <c r="K1" s="59">
        <f>COUNT(B3:B124)</f>
        <v>0</v>
      </c>
      <c r="L1" s="58" t="s">
        <v>22</v>
      </c>
      <c r="M1" s="57">
        <f>SUM(J3:J124)</f>
        <v>0</v>
      </c>
    </row>
    <row r="2" spans="1:14" s="48" customFormat="1" ht="24" thickBot="1" x14ac:dyDescent="0.35">
      <c r="A2" s="55"/>
      <c r="B2" s="54" t="s">
        <v>215</v>
      </c>
      <c r="C2" s="50" t="s">
        <v>214</v>
      </c>
      <c r="D2" s="53" t="s">
        <v>19</v>
      </c>
      <c r="E2" s="53" t="s">
        <v>213</v>
      </c>
      <c r="F2" s="54" t="s">
        <v>216</v>
      </c>
      <c r="H2" s="52" t="s">
        <v>18</v>
      </c>
      <c r="I2" s="51" t="s">
        <v>17</v>
      </c>
      <c r="J2" s="50" t="s">
        <v>12</v>
      </c>
      <c r="K2" s="78" t="s">
        <v>210</v>
      </c>
      <c r="L2" s="78" t="s">
        <v>211</v>
      </c>
      <c r="M2" s="49" t="s">
        <v>16</v>
      </c>
      <c r="N2" s="54" t="s">
        <v>20</v>
      </c>
    </row>
    <row r="3" spans="1:14" s="31" customFormat="1" ht="21.75" thickBot="1" x14ac:dyDescent="0.25">
      <c r="A3" s="41">
        <v>1</v>
      </c>
      <c r="B3" s="46"/>
      <c r="C3" s="40" t="e">
        <v>#N/A</v>
      </c>
      <c r="D3" s="39" t="e">
        <v>#N/A</v>
      </c>
      <c r="E3" s="39" t="e">
        <f t="shared" ref="E3:E34" si="0">TRIM(SUBSTITUTE(D3, "trailer", ""))</f>
        <v>#N/A</v>
      </c>
      <c r="F3" s="82"/>
      <c r="H3" s="38" t="str">
        <f>IF(OR(ISNUMBER(SEARCH("albertson",C3)), ISNUMBER(SEARCH("jewel",C3)), ISNUMBER(SEARCH("safeway",C3)), ISNUMBER(SEARCH("sysco",C3)), ISNUMBER(SEARCH("united supermarkets",C3))),"X","")</f>
        <v/>
      </c>
      <c r="I3" s="37">
        <v>0</v>
      </c>
      <c r="J3" s="36">
        <v>0</v>
      </c>
      <c r="K3" s="79">
        <f>IF(J3&gt;75,ROUND((J3*0.63)/75,0),0)</f>
        <v>0</v>
      </c>
      <c r="L3" s="79">
        <f>IF(J3&gt;75,ROUND(J3*0.37,0),J3)</f>
        <v>0</v>
      </c>
      <c r="M3" s="47"/>
      <c r="N3" s="45"/>
    </row>
    <row r="4" spans="1:14" s="31" customFormat="1" ht="21.75" thickBot="1" x14ac:dyDescent="0.25">
      <c r="A4" s="41">
        <v>2</v>
      </c>
      <c r="B4" s="46"/>
      <c r="C4" s="40" t="e">
        <v>#N/A</v>
      </c>
      <c r="D4" s="39" t="e">
        <v>#N/A</v>
      </c>
      <c r="E4" s="39" t="e">
        <f t="shared" si="0"/>
        <v>#N/A</v>
      </c>
      <c r="F4" s="82"/>
      <c r="H4" s="38" t="str">
        <f>IF(OR(ISNUMBER(SEARCH("albertson",C4)), ISNUMBER(SEARCH("jewel",C4)), ISNUMBER(SEARCH("safeway",C4)), ISNUMBER(SEARCH("sysco",C4)), ISNUMBER(SEARCH("united supermarkets",C4))),"X","")</f>
        <v/>
      </c>
      <c r="I4" s="37">
        <v>0</v>
      </c>
      <c r="J4" s="36">
        <v>0</v>
      </c>
      <c r="K4" s="79">
        <f t="shared" ref="K4:K67" si="1">IF(J4&gt;75,ROUND((J4*0.63)/75,0),0)</f>
        <v>0</v>
      </c>
      <c r="L4" s="79">
        <f t="shared" ref="L4:L67" si="2">IF(J4&gt;75,ROUND(J4*0.37,0),J4)</f>
        <v>0</v>
      </c>
      <c r="M4" s="47"/>
      <c r="N4" s="45"/>
    </row>
    <row r="5" spans="1:14" s="31" customFormat="1" ht="21.75" thickBot="1" x14ac:dyDescent="0.25">
      <c r="A5" s="41">
        <v>3</v>
      </c>
      <c r="B5" s="46"/>
      <c r="C5" s="40" t="e">
        <v>#N/A</v>
      </c>
      <c r="D5" s="39" t="e">
        <v>#N/A</v>
      </c>
      <c r="E5" s="39" t="e">
        <f t="shared" si="0"/>
        <v>#N/A</v>
      </c>
      <c r="F5" s="82"/>
      <c r="H5" s="38" t="str">
        <f>IF(OR(ISNUMBER(SEARCH("albertson",C5)), ISNUMBER(SEARCH("jewel",C5)), ISNUMBER(SEARCH("safeway",C5)), ISNUMBER(SEARCH("sysco",C5)), ISNUMBER(SEARCH("united supermarkets",C5))),"X","")</f>
        <v/>
      </c>
      <c r="I5" s="37">
        <v>0</v>
      </c>
      <c r="J5" s="36">
        <v>0</v>
      </c>
      <c r="K5" s="79">
        <f t="shared" si="1"/>
        <v>0</v>
      </c>
      <c r="L5" s="79">
        <f t="shared" si="2"/>
        <v>0</v>
      </c>
      <c r="M5" s="35"/>
      <c r="N5" s="45"/>
    </row>
    <row r="6" spans="1:14" s="31" customFormat="1" ht="21.75" thickBot="1" x14ac:dyDescent="0.25">
      <c r="A6" s="41">
        <v>4</v>
      </c>
      <c r="B6" s="46"/>
      <c r="C6" s="40" t="e">
        <v>#N/A</v>
      </c>
      <c r="D6" s="39" t="e">
        <v>#N/A</v>
      </c>
      <c r="E6" s="39" t="e">
        <f t="shared" si="0"/>
        <v>#N/A</v>
      </c>
      <c r="F6" s="82"/>
      <c r="H6" s="38" t="str">
        <f>IF(OR(ISNUMBER(SEARCH("albertson",C6)), ISNUMBER(SEARCH("jewel",C6)), ISNUMBER(SEARCH("safeway",C6)), ISNUMBER(SEARCH("sysco",C6)), ISNUMBER(SEARCH("united supermarkets",C6))),"X","")</f>
        <v/>
      </c>
      <c r="I6" s="37">
        <v>0</v>
      </c>
      <c r="J6" s="36">
        <v>0</v>
      </c>
      <c r="K6" s="79">
        <f t="shared" si="1"/>
        <v>0</v>
      </c>
      <c r="L6" s="79">
        <f t="shared" si="2"/>
        <v>0</v>
      </c>
      <c r="M6" s="35"/>
      <c r="N6" s="45"/>
    </row>
    <row r="7" spans="1:14" s="31" customFormat="1" ht="21.75" thickBot="1" x14ac:dyDescent="0.25">
      <c r="A7" s="41">
        <v>5</v>
      </c>
      <c r="B7" s="46"/>
      <c r="C7" s="40" t="e">
        <v>#N/A</v>
      </c>
      <c r="D7" s="39" t="e">
        <v>#N/A</v>
      </c>
      <c r="E7" s="39" t="e">
        <f t="shared" si="0"/>
        <v>#N/A</v>
      </c>
      <c r="F7" s="82"/>
      <c r="H7" s="38" t="str">
        <f>IF(OR(ISNUMBER(SEARCH("albertson",C7)), ISNUMBER(SEARCH("jewel",C7)), ISNUMBER(SEARCH("safeway",C7)), ISNUMBER(SEARCH("sysco",C7)), ISNUMBER(SEARCH("united supermarkets",C7))),"X","")</f>
        <v/>
      </c>
      <c r="I7" s="37">
        <v>0</v>
      </c>
      <c r="J7" s="36">
        <v>0</v>
      </c>
      <c r="K7" s="79">
        <f t="shared" si="1"/>
        <v>0</v>
      </c>
      <c r="L7" s="79">
        <f t="shared" si="2"/>
        <v>0</v>
      </c>
      <c r="M7" s="35"/>
      <c r="N7" s="45"/>
    </row>
    <row r="8" spans="1:14" s="31" customFormat="1" ht="21.75" thickBot="1" x14ac:dyDescent="0.25">
      <c r="A8" s="41">
        <v>6</v>
      </c>
      <c r="B8" s="46"/>
      <c r="C8" s="40" t="e">
        <v>#N/A</v>
      </c>
      <c r="D8" s="39" t="e">
        <v>#N/A</v>
      </c>
      <c r="E8" s="39" t="e">
        <f t="shared" si="0"/>
        <v>#N/A</v>
      </c>
      <c r="F8" s="82"/>
      <c r="H8" s="38" t="str">
        <f>IF(OR(ISNUMBER(SEARCH("albertson",C8)), ISNUMBER(SEARCH("jewel",C8)), ISNUMBER(SEARCH("safeway",C8)), ISNUMBER(SEARCH("sysco",C8)), ISNUMBER(SEARCH("united supermarkets",C8))),"X","")</f>
        <v/>
      </c>
      <c r="I8" s="37">
        <v>0</v>
      </c>
      <c r="J8" s="36">
        <v>0</v>
      </c>
      <c r="K8" s="79">
        <f t="shared" si="1"/>
        <v>0</v>
      </c>
      <c r="L8" s="79">
        <f t="shared" si="2"/>
        <v>0</v>
      </c>
      <c r="M8" s="35"/>
      <c r="N8" s="45"/>
    </row>
    <row r="9" spans="1:14" s="31" customFormat="1" ht="21.75" thickBot="1" x14ac:dyDescent="0.25">
      <c r="A9" s="41">
        <v>7</v>
      </c>
      <c r="B9" s="46"/>
      <c r="C9" s="40" t="e">
        <v>#N/A</v>
      </c>
      <c r="D9" s="39" t="e">
        <v>#N/A</v>
      </c>
      <c r="E9" s="39" t="e">
        <f t="shared" si="0"/>
        <v>#N/A</v>
      </c>
      <c r="F9" s="82"/>
      <c r="H9" s="38" t="str">
        <f>IF(OR(ISNUMBER(SEARCH("albertson",C9)), ISNUMBER(SEARCH("jewel",C9)), ISNUMBER(SEARCH("safeway",C9)), ISNUMBER(SEARCH("sysco",C9)), ISNUMBER(SEARCH("united supermarkets",C9))),"X","")</f>
        <v/>
      </c>
      <c r="I9" s="37">
        <v>0</v>
      </c>
      <c r="J9" s="36">
        <v>0</v>
      </c>
      <c r="K9" s="79">
        <f t="shared" si="1"/>
        <v>0</v>
      </c>
      <c r="L9" s="79">
        <f t="shared" si="2"/>
        <v>0</v>
      </c>
      <c r="M9" s="35"/>
      <c r="N9" s="45"/>
    </row>
    <row r="10" spans="1:14" s="31" customFormat="1" ht="21.75" thickBot="1" x14ac:dyDescent="0.25">
      <c r="A10" s="41">
        <v>8</v>
      </c>
      <c r="B10" s="46"/>
      <c r="C10" s="40" t="e">
        <v>#N/A</v>
      </c>
      <c r="D10" s="39" t="e">
        <v>#N/A</v>
      </c>
      <c r="E10" s="39" t="e">
        <f t="shared" si="0"/>
        <v>#N/A</v>
      </c>
      <c r="F10" s="82"/>
      <c r="H10" s="38" t="str">
        <f>IF(OR(ISNUMBER(SEARCH("albertson",C10)), ISNUMBER(SEARCH("jewel",C10)), ISNUMBER(SEARCH("safeway",C10)), ISNUMBER(SEARCH("sysco",C10)), ISNUMBER(SEARCH("united supermarkets",C10))),"X","")</f>
        <v/>
      </c>
      <c r="I10" s="37">
        <v>0</v>
      </c>
      <c r="J10" s="36">
        <v>0</v>
      </c>
      <c r="K10" s="79">
        <f t="shared" si="1"/>
        <v>0</v>
      </c>
      <c r="L10" s="79">
        <f t="shared" si="2"/>
        <v>0</v>
      </c>
      <c r="M10" s="35"/>
      <c r="N10" s="45"/>
    </row>
    <row r="11" spans="1:14" s="31" customFormat="1" ht="21.75" thickBot="1" x14ac:dyDescent="0.25">
      <c r="A11" s="41">
        <v>9</v>
      </c>
      <c r="B11" s="46"/>
      <c r="C11" s="40" t="e">
        <v>#N/A</v>
      </c>
      <c r="D11" s="39" t="e">
        <v>#N/A</v>
      </c>
      <c r="E11" s="39" t="e">
        <f t="shared" si="0"/>
        <v>#N/A</v>
      </c>
      <c r="F11" s="82"/>
      <c r="H11" s="38" t="str">
        <f>IF(OR(ISNUMBER(SEARCH("albertson",C11)), ISNUMBER(SEARCH("jewel",C11)), ISNUMBER(SEARCH("safeway",C11)), ISNUMBER(SEARCH("sysco",C11)), ISNUMBER(SEARCH("united supermarkets",C11))),"X","")</f>
        <v/>
      </c>
      <c r="I11" s="37">
        <v>0</v>
      </c>
      <c r="J11" s="36">
        <v>0</v>
      </c>
      <c r="K11" s="79">
        <f t="shared" si="1"/>
        <v>0</v>
      </c>
      <c r="L11" s="79">
        <f t="shared" si="2"/>
        <v>0</v>
      </c>
      <c r="M11" s="35"/>
      <c r="N11" s="45"/>
    </row>
    <row r="12" spans="1:14" s="31" customFormat="1" ht="21.75" thickBot="1" x14ac:dyDescent="0.25">
      <c r="A12" s="41">
        <v>10</v>
      </c>
      <c r="B12" s="46"/>
      <c r="C12" s="40" t="e">
        <v>#N/A</v>
      </c>
      <c r="D12" s="39" t="e">
        <v>#N/A</v>
      </c>
      <c r="E12" s="39" t="e">
        <f t="shared" si="0"/>
        <v>#N/A</v>
      </c>
      <c r="F12" s="82"/>
      <c r="H12" s="38" t="str">
        <f>IF(OR(ISNUMBER(SEARCH("albertson",C12)), ISNUMBER(SEARCH("jewel",C12)), ISNUMBER(SEARCH("safeway",C12)), ISNUMBER(SEARCH("sysco",C12)), ISNUMBER(SEARCH("united supermarkets",C12))),"X","")</f>
        <v/>
      </c>
      <c r="I12" s="37">
        <v>0</v>
      </c>
      <c r="J12" s="36">
        <v>0</v>
      </c>
      <c r="K12" s="79">
        <f t="shared" si="1"/>
        <v>0</v>
      </c>
      <c r="L12" s="79">
        <f t="shared" si="2"/>
        <v>0</v>
      </c>
      <c r="M12" s="35"/>
      <c r="N12" s="45"/>
    </row>
    <row r="13" spans="1:14" s="31" customFormat="1" ht="21.75" thickBot="1" x14ac:dyDescent="0.25">
      <c r="A13" s="41">
        <v>12</v>
      </c>
      <c r="B13" s="46"/>
      <c r="C13" s="40" t="e">
        <v>#N/A</v>
      </c>
      <c r="D13" s="39" t="e">
        <v>#N/A</v>
      </c>
      <c r="E13" s="39" t="e">
        <f t="shared" si="0"/>
        <v>#N/A</v>
      </c>
      <c r="F13" s="82"/>
      <c r="H13" s="38" t="str">
        <f>IF(OR(ISNUMBER(SEARCH("albertson",C13)), ISNUMBER(SEARCH("jewel",C13)), ISNUMBER(SEARCH("safeway",C13)), ISNUMBER(SEARCH("sysco",C13)), ISNUMBER(SEARCH("united supermarkets",C13))),"X","")</f>
        <v/>
      </c>
      <c r="I13" s="37">
        <v>0</v>
      </c>
      <c r="J13" s="36">
        <v>0</v>
      </c>
      <c r="K13" s="79">
        <f t="shared" si="1"/>
        <v>0</v>
      </c>
      <c r="L13" s="79">
        <f t="shared" si="2"/>
        <v>0</v>
      </c>
      <c r="M13" s="35"/>
      <c r="N13" s="45"/>
    </row>
    <row r="14" spans="1:14" s="31" customFormat="1" ht="21.75" thickBot="1" x14ac:dyDescent="0.25">
      <c r="A14" s="41">
        <v>13</v>
      </c>
      <c r="B14" s="46"/>
      <c r="C14" s="40" t="e">
        <v>#N/A</v>
      </c>
      <c r="D14" s="39" t="e">
        <v>#N/A</v>
      </c>
      <c r="E14" s="39" t="e">
        <f t="shared" si="0"/>
        <v>#N/A</v>
      </c>
      <c r="F14" s="82"/>
      <c r="H14" s="38" t="str">
        <f>IF(OR(ISNUMBER(SEARCH("albertson",C14)), ISNUMBER(SEARCH("jewel",C14)), ISNUMBER(SEARCH("safeway",C14)), ISNUMBER(SEARCH("sysco",C14)), ISNUMBER(SEARCH("united supermarkets",C14))),"X","")</f>
        <v/>
      </c>
      <c r="I14" s="37">
        <v>0</v>
      </c>
      <c r="J14" s="36">
        <v>0</v>
      </c>
      <c r="K14" s="79">
        <f t="shared" si="1"/>
        <v>0</v>
      </c>
      <c r="L14" s="79">
        <f t="shared" si="2"/>
        <v>0</v>
      </c>
      <c r="M14" s="35"/>
      <c r="N14" s="45"/>
    </row>
    <row r="15" spans="1:14" s="31" customFormat="1" ht="21.75" thickBot="1" x14ac:dyDescent="0.25">
      <c r="A15" s="41">
        <v>14</v>
      </c>
      <c r="B15" s="46"/>
      <c r="C15" s="40" t="e">
        <v>#N/A</v>
      </c>
      <c r="D15" s="39" t="e">
        <v>#N/A</v>
      </c>
      <c r="E15" s="39" t="e">
        <f t="shared" si="0"/>
        <v>#N/A</v>
      </c>
      <c r="F15" s="82"/>
      <c r="H15" s="38" t="str">
        <f>IF(OR(ISNUMBER(SEARCH("albertson",C15)), ISNUMBER(SEARCH("jewel",C15)), ISNUMBER(SEARCH("safeway",C15)), ISNUMBER(SEARCH("sysco",C15)), ISNUMBER(SEARCH("united supermarkets",C15))),"X","")</f>
        <v/>
      </c>
      <c r="I15" s="37">
        <v>0</v>
      </c>
      <c r="J15" s="36">
        <v>0</v>
      </c>
      <c r="K15" s="79">
        <f t="shared" si="1"/>
        <v>0</v>
      </c>
      <c r="L15" s="79">
        <f t="shared" si="2"/>
        <v>0</v>
      </c>
      <c r="M15" s="35"/>
      <c r="N15" s="45"/>
    </row>
    <row r="16" spans="1:14" s="31" customFormat="1" ht="21.75" thickBot="1" x14ac:dyDescent="0.25">
      <c r="A16" s="41">
        <v>15</v>
      </c>
      <c r="B16" s="46"/>
      <c r="C16" s="40" t="e">
        <v>#N/A</v>
      </c>
      <c r="D16" s="39" t="e">
        <v>#N/A</v>
      </c>
      <c r="E16" s="39" t="e">
        <f t="shared" si="0"/>
        <v>#N/A</v>
      </c>
      <c r="F16" s="82"/>
      <c r="H16" s="38" t="str">
        <f>IF(OR(ISNUMBER(SEARCH("albertson",C16)), ISNUMBER(SEARCH("jewel",C16)), ISNUMBER(SEARCH("safeway",C16)), ISNUMBER(SEARCH("sysco",C16)), ISNUMBER(SEARCH("united supermarkets",C16))),"X","")</f>
        <v/>
      </c>
      <c r="I16" s="37">
        <v>0</v>
      </c>
      <c r="J16" s="36">
        <v>0</v>
      </c>
      <c r="K16" s="79">
        <f t="shared" si="1"/>
        <v>0</v>
      </c>
      <c r="L16" s="79">
        <f t="shared" si="2"/>
        <v>0</v>
      </c>
      <c r="M16" s="35"/>
      <c r="N16" s="45"/>
    </row>
    <row r="17" spans="1:14" s="31" customFormat="1" ht="21.75" thickBot="1" x14ac:dyDescent="0.25">
      <c r="A17" s="41">
        <v>16</v>
      </c>
      <c r="B17" s="46"/>
      <c r="C17" s="40" t="e">
        <v>#N/A</v>
      </c>
      <c r="D17" s="39" t="e">
        <v>#N/A</v>
      </c>
      <c r="E17" s="39" t="e">
        <f t="shared" si="0"/>
        <v>#N/A</v>
      </c>
      <c r="F17" s="82"/>
      <c r="H17" s="38" t="str">
        <f>IF(OR(ISNUMBER(SEARCH("albertson",C17)), ISNUMBER(SEARCH("jewel",C17)), ISNUMBER(SEARCH("safeway",C17)), ISNUMBER(SEARCH("sysco",C17)), ISNUMBER(SEARCH("united supermarkets",C17))),"X","")</f>
        <v/>
      </c>
      <c r="I17" s="37">
        <v>0</v>
      </c>
      <c r="J17" s="36">
        <v>0</v>
      </c>
      <c r="K17" s="79">
        <f t="shared" si="1"/>
        <v>0</v>
      </c>
      <c r="L17" s="79">
        <f t="shared" si="2"/>
        <v>0</v>
      </c>
      <c r="M17" s="35"/>
      <c r="N17" s="45"/>
    </row>
    <row r="18" spans="1:14" s="31" customFormat="1" ht="21.75" thickBot="1" x14ac:dyDescent="0.25">
      <c r="A18" s="41">
        <v>17</v>
      </c>
      <c r="B18" s="46"/>
      <c r="C18" s="40" t="e">
        <v>#N/A</v>
      </c>
      <c r="D18" s="39" t="e">
        <v>#N/A</v>
      </c>
      <c r="E18" s="39" t="e">
        <f t="shared" si="0"/>
        <v>#N/A</v>
      </c>
      <c r="F18" s="82"/>
      <c r="H18" s="38" t="str">
        <f>IF(OR(ISNUMBER(SEARCH("albertson",C18)), ISNUMBER(SEARCH("jewel",C18)), ISNUMBER(SEARCH("safeway",C18)), ISNUMBER(SEARCH("sysco",C18)), ISNUMBER(SEARCH("united supermarkets",C18))),"X","")</f>
        <v/>
      </c>
      <c r="I18" s="37">
        <v>0</v>
      </c>
      <c r="J18" s="36">
        <v>0</v>
      </c>
      <c r="K18" s="79">
        <f t="shared" si="1"/>
        <v>0</v>
      </c>
      <c r="L18" s="79">
        <f t="shared" si="2"/>
        <v>0</v>
      </c>
      <c r="M18" s="35"/>
      <c r="N18" s="45"/>
    </row>
    <row r="19" spans="1:14" s="31" customFormat="1" ht="21.75" thickBot="1" x14ac:dyDescent="0.25">
      <c r="A19" s="41">
        <v>18</v>
      </c>
      <c r="B19" s="46"/>
      <c r="C19" s="40" t="e">
        <v>#N/A</v>
      </c>
      <c r="D19" s="39" t="e">
        <v>#N/A</v>
      </c>
      <c r="E19" s="39" t="e">
        <f t="shared" si="0"/>
        <v>#N/A</v>
      </c>
      <c r="F19" s="82"/>
      <c r="H19" s="38" t="str">
        <f>IF(OR(ISNUMBER(SEARCH("albertson",C19)), ISNUMBER(SEARCH("jewel",C19)), ISNUMBER(SEARCH("safeway",C19)), ISNUMBER(SEARCH("sysco",C19)), ISNUMBER(SEARCH("united supermarkets",C19))),"X","")</f>
        <v/>
      </c>
      <c r="I19" s="37">
        <v>0</v>
      </c>
      <c r="J19" s="36">
        <v>0</v>
      </c>
      <c r="K19" s="79">
        <f t="shared" si="1"/>
        <v>0</v>
      </c>
      <c r="L19" s="79">
        <f t="shared" si="2"/>
        <v>0</v>
      </c>
      <c r="M19" s="35"/>
      <c r="N19" s="45"/>
    </row>
    <row r="20" spans="1:14" s="31" customFormat="1" ht="21.75" thickBot="1" x14ac:dyDescent="0.25">
      <c r="A20" s="41">
        <v>19</v>
      </c>
      <c r="B20" s="46"/>
      <c r="C20" s="40" t="e">
        <v>#N/A</v>
      </c>
      <c r="D20" s="39" t="e">
        <v>#N/A</v>
      </c>
      <c r="E20" s="39" t="e">
        <f t="shared" si="0"/>
        <v>#N/A</v>
      </c>
      <c r="F20" s="82"/>
      <c r="H20" s="38" t="str">
        <f>IF(OR(ISNUMBER(SEARCH("albertson",C20)), ISNUMBER(SEARCH("jewel",C20)), ISNUMBER(SEARCH("safeway",C20)), ISNUMBER(SEARCH("sysco",C20)), ISNUMBER(SEARCH("united supermarkets",C20))),"X","")</f>
        <v/>
      </c>
      <c r="I20" s="37">
        <v>0</v>
      </c>
      <c r="J20" s="36">
        <v>0</v>
      </c>
      <c r="K20" s="79">
        <f t="shared" si="1"/>
        <v>0</v>
      </c>
      <c r="L20" s="79">
        <f t="shared" si="2"/>
        <v>0</v>
      </c>
      <c r="M20" s="35"/>
      <c r="N20" s="45"/>
    </row>
    <row r="21" spans="1:14" s="31" customFormat="1" ht="21.75" thickBot="1" x14ac:dyDescent="0.25">
      <c r="A21" s="41">
        <v>20</v>
      </c>
      <c r="B21" s="46"/>
      <c r="C21" s="40" t="e">
        <v>#N/A</v>
      </c>
      <c r="D21" s="39" t="e">
        <v>#N/A</v>
      </c>
      <c r="E21" s="39" t="e">
        <f t="shared" si="0"/>
        <v>#N/A</v>
      </c>
      <c r="F21" s="82"/>
      <c r="H21" s="38" t="str">
        <f>IF(OR(ISNUMBER(SEARCH("albertson",C21)), ISNUMBER(SEARCH("jewel",C21)), ISNUMBER(SEARCH("safeway",C21)), ISNUMBER(SEARCH("sysco",C21)), ISNUMBER(SEARCH("united supermarkets",C21))),"X","")</f>
        <v/>
      </c>
      <c r="I21" s="37">
        <v>0</v>
      </c>
      <c r="J21" s="36">
        <v>0</v>
      </c>
      <c r="K21" s="79">
        <f t="shared" si="1"/>
        <v>0</v>
      </c>
      <c r="L21" s="79">
        <f t="shared" si="2"/>
        <v>0</v>
      </c>
      <c r="M21" s="35"/>
      <c r="N21" s="45"/>
    </row>
    <row r="22" spans="1:14" s="31" customFormat="1" ht="21.75" thickBot="1" x14ac:dyDescent="0.25">
      <c r="A22" s="41">
        <v>21</v>
      </c>
      <c r="B22" s="46"/>
      <c r="C22" s="40" t="e">
        <v>#N/A</v>
      </c>
      <c r="D22" s="39" t="e">
        <v>#N/A</v>
      </c>
      <c r="E22" s="39" t="e">
        <f t="shared" si="0"/>
        <v>#N/A</v>
      </c>
      <c r="F22" s="82"/>
      <c r="H22" s="38" t="str">
        <f>IF(OR(ISNUMBER(SEARCH("albertson",C22)), ISNUMBER(SEARCH("jewel",C22)), ISNUMBER(SEARCH("safeway",C22)), ISNUMBER(SEARCH("sysco",C22)), ISNUMBER(SEARCH("united supermarkets",C22))),"X","")</f>
        <v/>
      </c>
      <c r="I22" s="37">
        <v>0</v>
      </c>
      <c r="J22" s="36">
        <v>0</v>
      </c>
      <c r="K22" s="79">
        <f t="shared" si="1"/>
        <v>0</v>
      </c>
      <c r="L22" s="79">
        <f t="shared" si="2"/>
        <v>0</v>
      </c>
      <c r="M22" s="35"/>
      <c r="N22" s="45"/>
    </row>
    <row r="23" spans="1:14" s="31" customFormat="1" ht="21.75" thickBot="1" x14ac:dyDescent="0.25">
      <c r="A23" s="41">
        <v>22</v>
      </c>
      <c r="B23" s="46"/>
      <c r="C23" s="40" t="e">
        <v>#N/A</v>
      </c>
      <c r="D23" s="39" t="e">
        <v>#N/A</v>
      </c>
      <c r="E23" s="39" t="e">
        <f t="shared" si="0"/>
        <v>#N/A</v>
      </c>
      <c r="F23" s="82"/>
      <c r="H23" s="38" t="str">
        <f>IF(OR(ISNUMBER(SEARCH("albertson",C23)), ISNUMBER(SEARCH("jewel",C23)), ISNUMBER(SEARCH("safeway",C23)), ISNUMBER(SEARCH("sysco",C23)), ISNUMBER(SEARCH("united supermarkets",C23))),"X","")</f>
        <v/>
      </c>
      <c r="I23" s="37">
        <v>0</v>
      </c>
      <c r="J23" s="36">
        <v>0</v>
      </c>
      <c r="K23" s="79">
        <f t="shared" si="1"/>
        <v>0</v>
      </c>
      <c r="L23" s="79">
        <f t="shared" si="2"/>
        <v>0</v>
      </c>
      <c r="M23" s="35"/>
      <c r="N23" s="45"/>
    </row>
    <row r="24" spans="1:14" s="31" customFormat="1" ht="21.75" thickBot="1" x14ac:dyDescent="0.25">
      <c r="A24" s="41">
        <v>23</v>
      </c>
      <c r="B24" s="46"/>
      <c r="C24" s="40" t="e">
        <v>#N/A</v>
      </c>
      <c r="D24" s="39" t="e">
        <v>#N/A</v>
      </c>
      <c r="E24" s="39" t="e">
        <f t="shared" si="0"/>
        <v>#N/A</v>
      </c>
      <c r="F24" s="82"/>
      <c r="H24" s="38" t="str">
        <f>IF(OR(ISNUMBER(SEARCH("albertson",C24)), ISNUMBER(SEARCH("jewel",C24)), ISNUMBER(SEARCH("safeway",C24)), ISNUMBER(SEARCH("sysco",C24)), ISNUMBER(SEARCH("united supermarkets",C24))),"X","")</f>
        <v/>
      </c>
      <c r="I24" s="37">
        <v>0</v>
      </c>
      <c r="J24" s="36">
        <v>0</v>
      </c>
      <c r="K24" s="79">
        <f t="shared" si="1"/>
        <v>0</v>
      </c>
      <c r="L24" s="79">
        <f t="shared" si="2"/>
        <v>0</v>
      </c>
      <c r="M24" s="35"/>
      <c r="N24" s="45"/>
    </row>
    <row r="25" spans="1:14" s="31" customFormat="1" ht="21.75" thickBot="1" x14ac:dyDescent="0.25">
      <c r="A25" s="41">
        <v>24</v>
      </c>
      <c r="B25" s="46"/>
      <c r="C25" s="40" t="e">
        <v>#N/A</v>
      </c>
      <c r="D25" s="39" t="e">
        <v>#N/A</v>
      </c>
      <c r="E25" s="39" t="e">
        <f t="shared" si="0"/>
        <v>#N/A</v>
      </c>
      <c r="F25" s="82"/>
      <c r="H25" s="38" t="str">
        <f>IF(OR(ISNUMBER(SEARCH("albertson",C25)), ISNUMBER(SEARCH("jewel",C25)), ISNUMBER(SEARCH("safeway",C25)), ISNUMBER(SEARCH("sysco",C25)), ISNUMBER(SEARCH("united supermarkets",C25))),"X","")</f>
        <v/>
      </c>
      <c r="I25" s="37">
        <v>0</v>
      </c>
      <c r="J25" s="36">
        <v>0</v>
      </c>
      <c r="K25" s="79">
        <f t="shared" si="1"/>
        <v>0</v>
      </c>
      <c r="L25" s="79">
        <f t="shared" si="2"/>
        <v>0</v>
      </c>
      <c r="M25" s="35"/>
      <c r="N25" s="45"/>
    </row>
    <row r="26" spans="1:14" s="31" customFormat="1" ht="21.75" thickBot="1" x14ac:dyDescent="0.25">
      <c r="A26" s="41">
        <v>25</v>
      </c>
      <c r="B26" s="46"/>
      <c r="C26" s="40" t="e">
        <v>#N/A</v>
      </c>
      <c r="D26" s="39" t="e">
        <v>#N/A</v>
      </c>
      <c r="E26" s="39" t="e">
        <f t="shared" si="0"/>
        <v>#N/A</v>
      </c>
      <c r="F26" s="82"/>
      <c r="H26" s="38" t="str">
        <f>IF(OR(ISNUMBER(SEARCH("albertson",C26)), ISNUMBER(SEARCH("jewel",C26)), ISNUMBER(SEARCH("safeway",C26)), ISNUMBER(SEARCH("sysco",C26)), ISNUMBER(SEARCH("united supermarkets",C26))),"X","")</f>
        <v/>
      </c>
      <c r="I26" s="37">
        <v>0</v>
      </c>
      <c r="J26" s="36">
        <v>0</v>
      </c>
      <c r="K26" s="79">
        <f t="shared" si="1"/>
        <v>0</v>
      </c>
      <c r="L26" s="79">
        <f t="shared" si="2"/>
        <v>0</v>
      </c>
      <c r="M26" s="35"/>
      <c r="N26" s="45"/>
    </row>
    <row r="27" spans="1:14" s="31" customFormat="1" ht="21.75" thickBot="1" x14ac:dyDescent="0.25">
      <c r="A27" s="41">
        <v>26</v>
      </c>
      <c r="B27" s="46"/>
      <c r="C27" s="40" t="e">
        <v>#N/A</v>
      </c>
      <c r="D27" s="39" t="e">
        <v>#N/A</v>
      </c>
      <c r="E27" s="39" t="e">
        <f t="shared" si="0"/>
        <v>#N/A</v>
      </c>
      <c r="F27" s="82"/>
      <c r="H27" s="38" t="str">
        <f>IF(OR(ISNUMBER(SEARCH("albertson",C27)), ISNUMBER(SEARCH("jewel",C27)), ISNUMBER(SEARCH("safeway",C27)), ISNUMBER(SEARCH("sysco",C27)), ISNUMBER(SEARCH("united supermarkets",C27))),"X","")</f>
        <v/>
      </c>
      <c r="I27" s="37">
        <v>0</v>
      </c>
      <c r="J27" s="36">
        <v>0</v>
      </c>
      <c r="K27" s="79">
        <f t="shared" si="1"/>
        <v>0</v>
      </c>
      <c r="L27" s="79">
        <f t="shared" si="2"/>
        <v>0</v>
      </c>
      <c r="M27" s="35"/>
      <c r="N27" s="45"/>
    </row>
    <row r="28" spans="1:14" s="31" customFormat="1" ht="21.75" thickBot="1" x14ac:dyDescent="0.25">
      <c r="A28" s="41">
        <v>27</v>
      </c>
      <c r="B28" s="46"/>
      <c r="C28" s="40" t="e">
        <v>#N/A</v>
      </c>
      <c r="D28" s="39" t="e">
        <v>#N/A</v>
      </c>
      <c r="E28" s="39" t="e">
        <f t="shared" si="0"/>
        <v>#N/A</v>
      </c>
      <c r="F28" s="82"/>
      <c r="H28" s="38" t="str">
        <f>IF(OR(ISNUMBER(SEARCH("albertson",C28)), ISNUMBER(SEARCH("jewel",C28)), ISNUMBER(SEARCH("safeway",C28)), ISNUMBER(SEARCH("sysco",C28)), ISNUMBER(SEARCH("united supermarkets",C28))),"X","")</f>
        <v/>
      </c>
      <c r="I28" s="37">
        <v>0</v>
      </c>
      <c r="J28" s="36">
        <v>0</v>
      </c>
      <c r="K28" s="79">
        <f t="shared" si="1"/>
        <v>0</v>
      </c>
      <c r="L28" s="79">
        <f t="shared" si="2"/>
        <v>0</v>
      </c>
      <c r="M28" s="35"/>
      <c r="N28" s="45"/>
    </row>
    <row r="29" spans="1:14" s="31" customFormat="1" ht="21.75" thickBot="1" x14ac:dyDescent="0.25">
      <c r="A29" s="41">
        <v>28</v>
      </c>
      <c r="B29" s="46"/>
      <c r="C29" s="40" t="e">
        <v>#N/A</v>
      </c>
      <c r="D29" s="39" t="e">
        <v>#N/A</v>
      </c>
      <c r="E29" s="39" t="e">
        <f t="shared" si="0"/>
        <v>#N/A</v>
      </c>
      <c r="F29" s="82"/>
      <c r="H29" s="38" t="str">
        <f>IF(OR(ISNUMBER(SEARCH("albertson",C29)), ISNUMBER(SEARCH("jewel",C29)), ISNUMBER(SEARCH("safeway",C29)), ISNUMBER(SEARCH("sysco",C29)), ISNUMBER(SEARCH("united supermarkets",C29))),"X","")</f>
        <v/>
      </c>
      <c r="I29" s="37">
        <v>0</v>
      </c>
      <c r="J29" s="36">
        <v>0</v>
      </c>
      <c r="K29" s="79">
        <f t="shared" si="1"/>
        <v>0</v>
      </c>
      <c r="L29" s="79">
        <f t="shared" si="2"/>
        <v>0</v>
      </c>
      <c r="M29" s="35"/>
      <c r="N29" s="45"/>
    </row>
    <row r="30" spans="1:14" s="31" customFormat="1" ht="21.75" thickBot="1" x14ac:dyDescent="0.25">
      <c r="A30" s="41">
        <v>29</v>
      </c>
      <c r="B30" s="46"/>
      <c r="C30" s="40" t="e">
        <v>#N/A</v>
      </c>
      <c r="D30" s="39" t="e">
        <v>#N/A</v>
      </c>
      <c r="E30" s="39" t="e">
        <f t="shared" si="0"/>
        <v>#N/A</v>
      </c>
      <c r="F30" s="82"/>
      <c r="H30" s="38" t="str">
        <f>IF(OR(ISNUMBER(SEARCH("albertson",C30)), ISNUMBER(SEARCH("jewel",C30)), ISNUMBER(SEARCH("safeway",C30)), ISNUMBER(SEARCH("sysco",C30)), ISNUMBER(SEARCH("united supermarkets",C30))),"X","")</f>
        <v/>
      </c>
      <c r="I30" s="37">
        <v>0</v>
      </c>
      <c r="J30" s="36">
        <v>0</v>
      </c>
      <c r="K30" s="79">
        <f t="shared" si="1"/>
        <v>0</v>
      </c>
      <c r="L30" s="79">
        <f t="shared" si="2"/>
        <v>0</v>
      </c>
      <c r="M30" s="35"/>
      <c r="N30" s="45"/>
    </row>
    <row r="31" spans="1:14" s="31" customFormat="1" ht="21.75" thickBot="1" x14ac:dyDescent="0.25">
      <c r="A31" s="41">
        <v>30</v>
      </c>
      <c r="B31" s="46"/>
      <c r="C31" s="40" t="e">
        <v>#N/A</v>
      </c>
      <c r="D31" s="39" t="e">
        <v>#N/A</v>
      </c>
      <c r="E31" s="39" t="e">
        <f t="shared" si="0"/>
        <v>#N/A</v>
      </c>
      <c r="F31" s="82"/>
      <c r="H31" s="38" t="str">
        <f>IF(OR(ISNUMBER(SEARCH("albertson",C31)), ISNUMBER(SEARCH("jewel",C31)), ISNUMBER(SEARCH("safeway",C31)), ISNUMBER(SEARCH("sysco",C31)), ISNUMBER(SEARCH("united supermarkets",C31))),"X","")</f>
        <v/>
      </c>
      <c r="I31" s="37">
        <v>0</v>
      </c>
      <c r="J31" s="36">
        <v>0</v>
      </c>
      <c r="K31" s="79">
        <f t="shared" si="1"/>
        <v>0</v>
      </c>
      <c r="L31" s="79">
        <f t="shared" si="2"/>
        <v>0</v>
      </c>
      <c r="M31" s="35"/>
      <c r="N31" s="45"/>
    </row>
    <row r="32" spans="1:14" s="31" customFormat="1" ht="21.75" thickBot="1" x14ac:dyDescent="0.25">
      <c r="A32" s="41">
        <v>31</v>
      </c>
      <c r="B32" s="46"/>
      <c r="C32" s="40" t="e">
        <v>#N/A</v>
      </c>
      <c r="D32" s="39" t="e">
        <v>#N/A</v>
      </c>
      <c r="E32" s="39" t="e">
        <f t="shared" si="0"/>
        <v>#N/A</v>
      </c>
      <c r="F32" s="82"/>
      <c r="H32" s="38" t="str">
        <f>IF(OR(ISNUMBER(SEARCH("albertson",C32)), ISNUMBER(SEARCH("jewel",C32)), ISNUMBER(SEARCH("safeway",C32)), ISNUMBER(SEARCH("sysco",C32)), ISNUMBER(SEARCH("united supermarkets",C32))),"X","")</f>
        <v/>
      </c>
      <c r="I32" s="37">
        <v>0</v>
      </c>
      <c r="J32" s="36">
        <v>0</v>
      </c>
      <c r="K32" s="79">
        <f t="shared" si="1"/>
        <v>0</v>
      </c>
      <c r="L32" s="79">
        <f t="shared" si="2"/>
        <v>0</v>
      </c>
      <c r="M32" s="35"/>
      <c r="N32" s="45"/>
    </row>
    <row r="33" spans="1:14" s="31" customFormat="1" ht="21.75" thickBot="1" x14ac:dyDescent="0.25">
      <c r="A33" s="41">
        <v>32</v>
      </c>
      <c r="B33" s="46"/>
      <c r="C33" s="40" t="e">
        <v>#N/A</v>
      </c>
      <c r="D33" s="39" t="e">
        <v>#N/A</v>
      </c>
      <c r="E33" s="39" t="e">
        <f t="shared" si="0"/>
        <v>#N/A</v>
      </c>
      <c r="F33" s="82"/>
      <c r="H33" s="38" t="str">
        <f>IF(OR(ISNUMBER(SEARCH("albertson",C33)), ISNUMBER(SEARCH("jewel",C33)), ISNUMBER(SEARCH("safeway",C33)), ISNUMBER(SEARCH("sysco",C33)), ISNUMBER(SEARCH("united supermarkets",C33))),"X","")</f>
        <v/>
      </c>
      <c r="I33" s="37">
        <v>0</v>
      </c>
      <c r="J33" s="36">
        <v>0</v>
      </c>
      <c r="K33" s="79">
        <f t="shared" si="1"/>
        <v>0</v>
      </c>
      <c r="L33" s="79">
        <f t="shared" si="2"/>
        <v>0</v>
      </c>
      <c r="M33" s="35"/>
      <c r="N33" s="45"/>
    </row>
    <row r="34" spans="1:14" s="31" customFormat="1" ht="21.75" thickBot="1" x14ac:dyDescent="0.25">
      <c r="A34" s="41">
        <v>33</v>
      </c>
      <c r="B34" s="46"/>
      <c r="C34" s="40" t="e">
        <v>#N/A</v>
      </c>
      <c r="D34" s="39" t="e">
        <v>#N/A</v>
      </c>
      <c r="E34" s="39" t="e">
        <f t="shared" si="0"/>
        <v>#N/A</v>
      </c>
      <c r="F34" s="82"/>
      <c r="H34" s="38" t="str">
        <f>IF(OR(ISNUMBER(SEARCH("albertson",C34)), ISNUMBER(SEARCH("jewel",C34)), ISNUMBER(SEARCH("safeway",C34)), ISNUMBER(SEARCH("sysco",C34)), ISNUMBER(SEARCH("united supermarkets",C34))),"X","")</f>
        <v/>
      </c>
      <c r="I34" s="37">
        <v>0</v>
      </c>
      <c r="J34" s="36">
        <v>0</v>
      </c>
      <c r="K34" s="79">
        <f t="shared" si="1"/>
        <v>0</v>
      </c>
      <c r="L34" s="79">
        <f t="shared" si="2"/>
        <v>0</v>
      </c>
      <c r="M34" s="35"/>
      <c r="N34" s="45"/>
    </row>
    <row r="35" spans="1:14" s="31" customFormat="1" ht="21.75" thickBot="1" x14ac:dyDescent="0.25">
      <c r="A35" s="41">
        <v>34</v>
      </c>
      <c r="B35" s="46"/>
      <c r="C35" s="40" t="e">
        <v>#N/A</v>
      </c>
      <c r="D35" s="39" t="e">
        <v>#N/A</v>
      </c>
      <c r="E35" s="39" t="e">
        <f t="shared" ref="E35:E66" si="3">TRIM(SUBSTITUTE(D35, "trailer", ""))</f>
        <v>#N/A</v>
      </c>
      <c r="F35" s="82"/>
      <c r="H35" s="38" t="str">
        <f>IF(OR(ISNUMBER(SEARCH("albertson",C35)), ISNUMBER(SEARCH("jewel",C35)), ISNUMBER(SEARCH("safeway",C35)), ISNUMBER(SEARCH("sysco",C35)), ISNUMBER(SEARCH("united supermarkets",C35))),"X","")</f>
        <v/>
      </c>
      <c r="I35" s="37">
        <v>0</v>
      </c>
      <c r="J35" s="36">
        <v>0</v>
      </c>
      <c r="K35" s="79">
        <f t="shared" si="1"/>
        <v>0</v>
      </c>
      <c r="L35" s="79">
        <f t="shared" si="2"/>
        <v>0</v>
      </c>
      <c r="M35" s="35"/>
      <c r="N35" s="45"/>
    </row>
    <row r="36" spans="1:14" s="31" customFormat="1" ht="21.75" thickBot="1" x14ac:dyDescent="0.25">
      <c r="A36" s="41">
        <v>35</v>
      </c>
      <c r="B36" s="46"/>
      <c r="C36" s="40" t="e">
        <v>#N/A</v>
      </c>
      <c r="D36" s="39" t="e">
        <v>#N/A</v>
      </c>
      <c r="E36" s="39" t="e">
        <f t="shared" si="3"/>
        <v>#N/A</v>
      </c>
      <c r="F36" s="82"/>
      <c r="H36" s="38" t="str">
        <f>IF(OR(ISNUMBER(SEARCH("albertson",C36)), ISNUMBER(SEARCH("jewel",C36)), ISNUMBER(SEARCH("safeway",C36)), ISNUMBER(SEARCH("sysco",C36)), ISNUMBER(SEARCH("united supermarkets",C36))),"X","")</f>
        <v/>
      </c>
      <c r="I36" s="37">
        <v>0</v>
      </c>
      <c r="J36" s="36">
        <v>0</v>
      </c>
      <c r="K36" s="79">
        <f t="shared" si="1"/>
        <v>0</v>
      </c>
      <c r="L36" s="79">
        <f t="shared" si="2"/>
        <v>0</v>
      </c>
      <c r="M36" s="35"/>
      <c r="N36" s="45"/>
    </row>
    <row r="37" spans="1:14" s="31" customFormat="1" ht="21.75" thickBot="1" x14ac:dyDescent="0.25">
      <c r="A37" s="41">
        <v>36</v>
      </c>
      <c r="B37" s="46"/>
      <c r="C37" s="40" t="e">
        <v>#N/A</v>
      </c>
      <c r="D37" s="39" t="e">
        <v>#N/A</v>
      </c>
      <c r="E37" s="39" t="e">
        <f t="shared" si="3"/>
        <v>#N/A</v>
      </c>
      <c r="F37" s="82"/>
      <c r="H37" s="38" t="str">
        <f>IF(OR(ISNUMBER(SEARCH("albertson",C37)), ISNUMBER(SEARCH("jewel",C37)), ISNUMBER(SEARCH("safeway",C37)), ISNUMBER(SEARCH("sysco",C37)), ISNUMBER(SEARCH("united supermarkets",C37))),"X","")</f>
        <v/>
      </c>
      <c r="I37" s="37">
        <v>0</v>
      </c>
      <c r="J37" s="36">
        <v>0</v>
      </c>
      <c r="K37" s="79">
        <f t="shared" si="1"/>
        <v>0</v>
      </c>
      <c r="L37" s="79">
        <f t="shared" si="2"/>
        <v>0</v>
      </c>
      <c r="M37" s="35"/>
      <c r="N37" s="45"/>
    </row>
    <row r="38" spans="1:14" s="31" customFormat="1" ht="21.75" thickBot="1" x14ac:dyDescent="0.25">
      <c r="A38" s="41">
        <v>11</v>
      </c>
      <c r="B38" s="46"/>
      <c r="C38" s="40" t="e">
        <v>#N/A</v>
      </c>
      <c r="D38" s="39" t="e">
        <v>#N/A</v>
      </c>
      <c r="E38" s="39" t="e">
        <f t="shared" si="3"/>
        <v>#N/A</v>
      </c>
      <c r="F38" s="82"/>
      <c r="H38" s="38" t="str">
        <f>IF(OR(ISNUMBER(SEARCH("albertson",C38)), ISNUMBER(SEARCH("jewel",C38)), ISNUMBER(SEARCH("safeway",C38)), ISNUMBER(SEARCH("sysco",C38)), ISNUMBER(SEARCH("united supermarkets",C38))),"X","")</f>
        <v/>
      </c>
      <c r="I38" s="37">
        <v>0</v>
      </c>
      <c r="J38" s="36">
        <v>0</v>
      </c>
      <c r="K38" s="79">
        <f t="shared" si="1"/>
        <v>0</v>
      </c>
      <c r="L38" s="79">
        <f t="shared" si="2"/>
        <v>0</v>
      </c>
      <c r="M38" s="35"/>
      <c r="N38" s="45"/>
    </row>
    <row r="39" spans="1:14" s="31" customFormat="1" ht="21.75" thickBot="1" x14ac:dyDescent="0.25">
      <c r="A39" s="41">
        <v>39</v>
      </c>
      <c r="B39" s="46"/>
      <c r="C39" s="40" t="e">
        <v>#N/A</v>
      </c>
      <c r="D39" s="39" t="e">
        <v>#N/A</v>
      </c>
      <c r="E39" s="39" t="e">
        <f t="shared" si="3"/>
        <v>#N/A</v>
      </c>
      <c r="F39" s="82"/>
      <c r="H39" s="38" t="str">
        <f>IF(OR(ISNUMBER(SEARCH("albertson",C39)), ISNUMBER(SEARCH("jewel",C39)), ISNUMBER(SEARCH("safeway",C39)), ISNUMBER(SEARCH("sysco",C39)), ISNUMBER(SEARCH("united supermarkets",C39))),"X","")</f>
        <v/>
      </c>
      <c r="I39" s="37">
        <v>0</v>
      </c>
      <c r="J39" s="36">
        <v>0</v>
      </c>
      <c r="K39" s="79">
        <f t="shared" si="1"/>
        <v>0</v>
      </c>
      <c r="L39" s="79">
        <f t="shared" si="2"/>
        <v>0</v>
      </c>
      <c r="M39" s="35"/>
      <c r="N39" s="45"/>
    </row>
    <row r="40" spans="1:14" s="31" customFormat="1" ht="21.75" thickBot="1" x14ac:dyDescent="0.25">
      <c r="A40" s="41">
        <v>41</v>
      </c>
      <c r="B40" s="46"/>
      <c r="C40" s="40" t="e">
        <v>#N/A</v>
      </c>
      <c r="D40" s="39" t="e">
        <v>#N/A</v>
      </c>
      <c r="E40" s="39" t="e">
        <f t="shared" si="3"/>
        <v>#N/A</v>
      </c>
      <c r="F40" s="82"/>
      <c r="H40" s="38" t="str">
        <f>IF(OR(ISNUMBER(SEARCH("albertson",C40)), ISNUMBER(SEARCH("jewel",C40)), ISNUMBER(SEARCH("safeway",C40)), ISNUMBER(SEARCH("sysco",C40)), ISNUMBER(SEARCH("united supermarkets",C40))),"X","")</f>
        <v/>
      </c>
      <c r="I40" s="37">
        <v>0</v>
      </c>
      <c r="J40" s="36">
        <v>0</v>
      </c>
      <c r="K40" s="79">
        <f t="shared" si="1"/>
        <v>0</v>
      </c>
      <c r="L40" s="79">
        <f t="shared" si="2"/>
        <v>0</v>
      </c>
      <c r="M40" s="35"/>
      <c r="N40" s="45"/>
    </row>
    <row r="41" spans="1:14" s="31" customFormat="1" ht="21.75" thickBot="1" x14ac:dyDescent="0.25">
      <c r="A41" s="41">
        <v>42</v>
      </c>
      <c r="B41" s="46"/>
      <c r="C41" s="40" t="e">
        <v>#N/A</v>
      </c>
      <c r="D41" s="39" t="e">
        <v>#N/A</v>
      </c>
      <c r="E41" s="39" t="e">
        <f t="shared" si="3"/>
        <v>#N/A</v>
      </c>
      <c r="F41" s="82"/>
      <c r="H41" s="38" t="str">
        <f>IF(OR(ISNUMBER(SEARCH("albertson",C41)), ISNUMBER(SEARCH("jewel",C41)), ISNUMBER(SEARCH("safeway",C41)), ISNUMBER(SEARCH("sysco",C41)), ISNUMBER(SEARCH("united supermarkets",C41))),"X","")</f>
        <v/>
      </c>
      <c r="I41" s="37">
        <v>0</v>
      </c>
      <c r="J41" s="36">
        <v>0</v>
      </c>
      <c r="K41" s="79">
        <f t="shared" si="1"/>
        <v>0</v>
      </c>
      <c r="L41" s="79">
        <f t="shared" si="2"/>
        <v>0</v>
      </c>
      <c r="M41" s="35"/>
      <c r="N41" s="45"/>
    </row>
    <row r="42" spans="1:14" s="31" customFormat="1" ht="21.75" thickBot="1" x14ac:dyDescent="0.25">
      <c r="A42" s="41">
        <v>43</v>
      </c>
      <c r="B42" s="46"/>
      <c r="C42" s="40" t="e">
        <v>#N/A</v>
      </c>
      <c r="D42" s="39" t="e">
        <v>#N/A</v>
      </c>
      <c r="E42" s="39" t="e">
        <f t="shared" si="3"/>
        <v>#N/A</v>
      </c>
      <c r="F42" s="82"/>
      <c r="H42" s="38" t="str">
        <f>IF(OR(ISNUMBER(SEARCH("albertson",C42)), ISNUMBER(SEARCH("jewel",C42)), ISNUMBER(SEARCH("safeway",C42)), ISNUMBER(SEARCH("sysco",C42)), ISNUMBER(SEARCH("united supermarkets",C42))),"X","")</f>
        <v/>
      </c>
      <c r="I42" s="37">
        <v>0</v>
      </c>
      <c r="J42" s="36">
        <v>0</v>
      </c>
      <c r="K42" s="79">
        <f t="shared" si="1"/>
        <v>0</v>
      </c>
      <c r="L42" s="79">
        <f t="shared" si="2"/>
        <v>0</v>
      </c>
      <c r="M42" s="35"/>
      <c r="N42" s="45"/>
    </row>
    <row r="43" spans="1:14" s="31" customFormat="1" ht="21.75" thickBot="1" x14ac:dyDescent="0.25">
      <c r="A43" s="41">
        <v>44</v>
      </c>
      <c r="B43" s="46"/>
      <c r="C43" s="40" t="e">
        <v>#N/A</v>
      </c>
      <c r="D43" s="39" t="e">
        <v>#N/A</v>
      </c>
      <c r="E43" s="39" t="e">
        <f t="shared" si="3"/>
        <v>#N/A</v>
      </c>
      <c r="F43" s="82"/>
      <c r="H43" s="38" t="str">
        <f>IF(OR(ISNUMBER(SEARCH("albertson",C43)), ISNUMBER(SEARCH("jewel",C43)), ISNUMBER(SEARCH("safeway",C43)), ISNUMBER(SEARCH("sysco",C43)), ISNUMBER(SEARCH("united supermarkets",C43))),"X","")</f>
        <v/>
      </c>
      <c r="I43" s="37">
        <v>0</v>
      </c>
      <c r="J43" s="36">
        <v>0</v>
      </c>
      <c r="K43" s="79">
        <f t="shared" si="1"/>
        <v>0</v>
      </c>
      <c r="L43" s="79">
        <f t="shared" si="2"/>
        <v>0</v>
      </c>
      <c r="M43" s="35"/>
      <c r="N43" s="45"/>
    </row>
    <row r="44" spans="1:14" s="31" customFormat="1" ht="21.75" thickBot="1" x14ac:dyDescent="0.25">
      <c r="A44" s="41">
        <v>45</v>
      </c>
      <c r="B44" s="46"/>
      <c r="C44" s="40" t="e">
        <v>#N/A</v>
      </c>
      <c r="D44" s="39" t="e">
        <v>#N/A</v>
      </c>
      <c r="E44" s="39" t="e">
        <f t="shared" si="3"/>
        <v>#N/A</v>
      </c>
      <c r="F44" s="82"/>
      <c r="H44" s="38" t="str">
        <f>IF(OR(ISNUMBER(SEARCH("albertson",C44)), ISNUMBER(SEARCH("jewel",C44)), ISNUMBER(SEARCH("safeway",C44)), ISNUMBER(SEARCH("sysco",C44)), ISNUMBER(SEARCH("united supermarkets",C44))),"X","")</f>
        <v/>
      </c>
      <c r="I44" s="37">
        <v>0</v>
      </c>
      <c r="J44" s="36">
        <v>0</v>
      </c>
      <c r="K44" s="79">
        <f t="shared" si="1"/>
        <v>0</v>
      </c>
      <c r="L44" s="79">
        <f t="shared" si="2"/>
        <v>0</v>
      </c>
      <c r="M44" s="35"/>
      <c r="N44" s="45"/>
    </row>
    <row r="45" spans="1:14" s="31" customFormat="1" ht="21.75" thickBot="1" x14ac:dyDescent="0.25">
      <c r="A45" s="41">
        <v>46</v>
      </c>
      <c r="B45" s="46"/>
      <c r="C45" s="40" t="e">
        <v>#N/A</v>
      </c>
      <c r="D45" s="39" t="e">
        <v>#N/A</v>
      </c>
      <c r="E45" s="39" t="e">
        <f t="shared" si="3"/>
        <v>#N/A</v>
      </c>
      <c r="F45" s="82"/>
      <c r="H45" s="38" t="str">
        <f>IF(OR(ISNUMBER(SEARCH("albertson",C45)), ISNUMBER(SEARCH("jewel",C45)), ISNUMBER(SEARCH("safeway",C45)), ISNUMBER(SEARCH("sysco",C45)), ISNUMBER(SEARCH("united supermarkets",C45))),"X","")</f>
        <v/>
      </c>
      <c r="I45" s="37">
        <v>0</v>
      </c>
      <c r="J45" s="36">
        <v>0</v>
      </c>
      <c r="K45" s="79">
        <f t="shared" si="1"/>
        <v>0</v>
      </c>
      <c r="L45" s="79">
        <f t="shared" si="2"/>
        <v>0</v>
      </c>
      <c r="M45" s="35"/>
      <c r="N45" s="45"/>
    </row>
    <row r="46" spans="1:14" s="31" customFormat="1" ht="21.75" thickBot="1" x14ac:dyDescent="0.25">
      <c r="A46" s="41">
        <v>47</v>
      </c>
      <c r="B46" s="46"/>
      <c r="C46" s="40" t="e">
        <v>#N/A</v>
      </c>
      <c r="D46" s="39" t="e">
        <v>#N/A</v>
      </c>
      <c r="E46" s="39" t="e">
        <f t="shared" si="3"/>
        <v>#N/A</v>
      </c>
      <c r="F46" s="82"/>
      <c r="H46" s="38" t="str">
        <f>IF(OR(ISNUMBER(SEARCH("albertson",C46)), ISNUMBER(SEARCH("jewel",C46)), ISNUMBER(SEARCH("safeway",C46)), ISNUMBER(SEARCH("sysco",C46)), ISNUMBER(SEARCH("united supermarkets",C46))),"X","")</f>
        <v/>
      </c>
      <c r="I46" s="37">
        <v>0</v>
      </c>
      <c r="J46" s="36">
        <v>0</v>
      </c>
      <c r="K46" s="79">
        <f t="shared" si="1"/>
        <v>0</v>
      </c>
      <c r="L46" s="79">
        <f t="shared" si="2"/>
        <v>0</v>
      </c>
      <c r="M46" s="35"/>
      <c r="N46" s="45"/>
    </row>
    <row r="47" spans="1:14" s="31" customFormat="1" ht="21.75" thickBot="1" x14ac:dyDescent="0.25">
      <c r="A47" s="41">
        <v>49</v>
      </c>
      <c r="B47" s="46"/>
      <c r="C47" s="40" t="e">
        <v>#N/A</v>
      </c>
      <c r="D47" s="39" t="e">
        <v>#N/A</v>
      </c>
      <c r="E47" s="39" t="e">
        <f t="shared" si="3"/>
        <v>#N/A</v>
      </c>
      <c r="F47" s="82"/>
      <c r="H47" s="38" t="str">
        <f>IF(OR(ISNUMBER(SEARCH("albertson",C47)), ISNUMBER(SEARCH("jewel",C47)), ISNUMBER(SEARCH("safeway",C47)), ISNUMBER(SEARCH("sysco",C47)), ISNUMBER(SEARCH("united supermarkets",C47))),"X","")</f>
        <v/>
      </c>
      <c r="I47" s="37">
        <v>0</v>
      </c>
      <c r="J47" s="36">
        <v>0</v>
      </c>
      <c r="K47" s="79">
        <f t="shared" si="1"/>
        <v>0</v>
      </c>
      <c r="L47" s="79">
        <f t="shared" si="2"/>
        <v>0</v>
      </c>
      <c r="M47" s="35"/>
      <c r="N47" s="45"/>
    </row>
    <row r="48" spans="1:14" s="31" customFormat="1" ht="21.75" thickBot="1" x14ac:dyDescent="0.25">
      <c r="A48" s="41">
        <v>50</v>
      </c>
      <c r="B48" s="39"/>
      <c r="C48" s="40" t="e">
        <v>#N/A</v>
      </c>
      <c r="D48" s="39" t="e">
        <v>#N/A</v>
      </c>
      <c r="E48" s="39" t="e">
        <f t="shared" si="3"/>
        <v>#N/A</v>
      </c>
      <c r="F48" s="82"/>
      <c r="H48" s="38" t="str">
        <f>IF(OR(ISNUMBER(SEARCH("albertson",C48)), ISNUMBER(SEARCH("jewel",C48)), ISNUMBER(SEARCH("safeway",C48)), ISNUMBER(SEARCH("sysco",C48)), ISNUMBER(SEARCH("united supermarkets",C48))),"X","")</f>
        <v/>
      </c>
      <c r="I48" s="37">
        <v>0</v>
      </c>
      <c r="J48" s="36">
        <v>0</v>
      </c>
      <c r="K48" s="79">
        <f t="shared" si="1"/>
        <v>0</v>
      </c>
      <c r="L48" s="79">
        <f t="shared" si="2"/>
        <v>0</v>
      </c>
      <c r="M48" s="35"/>
      <c r="N48" s="44"/>
    </row>
    <row r="49" spans="1:14" s="31" customFormat="1" ht="21.75" thickBot="1" x14ac:dyDescent="0.25">
      <c r="A49" s="41">
        <v>51</v>
      </c>
      <c r="B49" s="39"/>
      <c r="C49" s="40" t="e">
        <v>#N/A</v>
      </c>
      <c r="D49" s="39" t="e">
        <v>#N/A</v>
      </c>
      <c r="E49" s="39" t="e">
        <f t="shared" si="3"/>
        <v>#N/A</v>
      </c>
      <c r="F49" s="82"/>
      <c r="H49" s="38" t="str">
        <f>IF(OR(ISNUMBER(SEARCH("albertson",C49)), ISNUMBER(SEARCH("jewel",C49)), ISNUMBER(SEARCH("safeway",C49)), ISNUMBER(SEARCH("sysco",C49)), ISNUMBER(SEARCH("united supermarkets",C49))),"X","")</f>
        <v/>
      </c>
      <c r="I49" s="37">
        <v>0</v>
      </c>
      <c r="J49" s="36">
        <v>0</v>
      </c>
      <c r="K49" s="79">
        <f t="shared" si="1"/>
        <v>0</v>
      </c>
      <c r="L49" s="79">
        <f t="shared" si="2"/>
        <v>0</v>
      </c>
      <c r="M49" s="35"/>
      <c r="N49" s="43"/>
    </row>
    <row r="50" spans="1:14" s="31" customFormat="1" ht="21.75" thickBot="1" x14ac:dyDescent="0.25">
      <c r="A50" s="41">
        <v>52</v>
      </c>
      <c r="B50" s="39"/>
      <c r="C50" s="40" t="e">
        <v>#N/A</v>
      </c>
      <c r="D50" s="39" t="e">
        <v>#N/A</v>
      </c>
      <c r="E50" s="39" t="e">
        <f t="shared" si="3"/>
        <v>#N/A</v>
      </c>
      <c r="F50" s="82"/>
      <c r="H50" s="38" t="str">
        <f>IF(OR(ISNUMBER(SEARCH("albertson",C50)), ISNUMBER(SEARCH("jewel",C50)), ISNUMBER(SEARCH("safeway",C50)), ISNUMBER(SEARCH("sysco",C50)), ISNUMBER(SEARCH("united supermarkets",C50))),"X","")</f>
        <v/>
      </c>
      <c r="I50" s="37">
        <v>0</v>
      </c>
      <c r="J50" s="36">
        <v>0</v>
      </c>
      <c r="K50" s="79">
        <f t="shared" si="1"/>
        <v>0</v>
      </c>
      <c r="L50" s="79">
        <f t="shared" si="2"/>
        <v>0</v>
      </c>
      <c r="M50" s="35"/>
      <c r="N50" s="43"/>
    </row>
    <row r="51" spans="1:14" s="31" customFormat="1" ht="21.75" thickBot="1" x14ac:dyDescent="0.25">
      <c r="A51" s="41">
        <v>53</v>
      </c>
      <c r="B51" s="39"/>
      <c r="C51" s="40" t="e">
        <v>#N/A</v>
      </c>
      <c r="D51" s="39" t="e">
        <v>#N/A</v>
      </c>
      <c r="E51" s="39" t="e">
        <f t="shared" si="3"/>
        <v>#N/A</v>
      </c>
      <c r="F51" s="82"/>
      <c r="H51" s="38" t="str">
        <f>IF(OR(ISNUMBER(SEARCH("albertson",C51)), ISNUMBER(SEARCH("jewel",C51)), ISNUMBER(SEARCH("safeway",C51)), ISNUMBER(SEARCH("sysco",C51)), ISNUMBER(SEARCH("united supermarkets",C51))),"X","")</f>
        <v/>
      </c>
      <c r="I51" s="37">
        <v>0</v>
      </c>
      <c r="J51" s="36">
        <v>0</v>
      </c>
      <c r="K51" s="79">
        <f t="shared" si="1"/>
        <v>0</v>
      </c>
      <c r="L51" s="79">
        <f t="shared" si="2"/>
        <v>0</v>
      </c>
      <c r="M51" s="35"/>
      <c r="N51" s="43"/>
    </row>
    <row r="52" spans="1:14" s="31" customFormat="1" ht="21.75" thickBot="1" x14ac:dyDescent="0.25">
      <c r="A52" s="41">
        <v>54</v>
      </c>
      <c r="B52" s="39"/>
      <c r="C52" s="40" t="e">
        <v>#N/A</v>
      </c>
      <c r="D52" s="39" t="e">
        <v>#N/A</v>
      </c>
      <c r="E52" s="39" t="e">
        <f t="shared" si="3"/>
        <v>#N/A</v>
      </c>
      <c r="F52" s="82"/>
      <c r="H52" s="38" t="str">
        <f>IF(OR(ISNUMBER(SEARCH("albertson",C52)), ISNUMBER(SEARCH("jewel",C52)), ISNUMBER(SEARCH("safeway",C52)), ISNUMBER(SEARCH("sysco",C52)), ISNUMBER(SEARCH("united supermarkets",C52))),"X","")</f>
        <v/>
      </c>
      <c r="I52" s="37">
        <v>0</v>
      </c>
      <c r="J52" s="36">
        <v>0</v>
      </c>
      <c r="K52" s="79">
        <f t="shared" si="1"/>
        <v>0</v>
      </c>
      <c r="L52" s="79">
        <f t="shared" si="2"/>
        <v>0</v>
      </c>
      <c r="M52" s="35"/>
      <c r="N52" s="43"/>
    </row>
    <row r="53" spans="1:14" s="31" customFormat="1" ht="21.75" thickBot="1" x14ac:dyDescent="0.25">
      <c r="A53" s="41">
        <v>55</v>
      </c>
      <c r="B53" s="39"/>
      <c r="C53" s="40" t="e">
        <v>#N/A</v>
      </c>
      <c r="D53" s="39" t="e">
        <v>#N/A</v>
      </c>
      <c r="E53" s="39" t="e">
        <f t="shared" si="3"/>
        <v>#N/A</v>
      </c>
      <c r="F53" s="82"/>
      <c r="H53" s="38" t="str">
        <f>IF(OR(ISNUMBER(SEARCH("albertson",C53)), ISNUMBER(SEARCH("jewel",C53)), ISNUMBER(SEARCH("safeway",C53)), ISNUMBER(SEARCH("sysco",C53)), ISNUMBER(SEARCH("united supermarkets",C53))),"X","")</f>
        <v/>
      </c>
      <c r="I53" s="37">
        <v>0</v>
      </c>
      <c r="J53" s="36">
        <v>0</v>
      </c>
      <c r="K53" s="79">
        <f t="shared" si="1"/>
        <v>0</v>
      </c>
      <c r="L53" s="79">
        <f t="shared" si="2"/>
        <v>0</v>
      </c>
      <c r="M53" s="35"/>
      <c r="N53" s="43"/>
    </row>
    <row r="54" spans="1:14" s="31" customFormat="1" ht="21.75" thickBot="1" x14ac:dyDescent="0.25">
      <c r="A54" s="41">
        <v>56</v>
      </c>
      <c r="B54" s="39"/>
      <c r="C54" s="40" t="e">
        <v>#N/A</v>
      </c>
      <c r="D54" s="39" t="e">
        <v>#N/A</v>
      </c>
      <c r="E54" s="39" t="e">
        <f t="shared" si="3"/>
        <v>#N/A</v>
      </c>
      <c r="F54" s="82"/>
      <c r="H54" s="38" t="str">
        <f>IF(OR(ISNUMBER(SEARCH("albertson",C54)), ISNUMBER(SEARCH("jewel",C54)), ISNUMBER(SEARCH("safeway",C54)), ISNUMBER(SEARCH("sysco",C54)), ISNUMBER(SEARCH("united supermarkets",C54))),"X","")</f>
        <v/>
      </c>
      <c r="I54" s="37">
        <v>0</v>
      </c>
      <c r="J54" s="36">
        <v>0</v>
      </c>
      <c r="K54" s="79">
        <f t="shared" si="1"/>
        <v>0</v>
      </c>
      <c r="L54" s="79">
        <f t="shared" si="2"/>
        <v>0</v>
      </c>
      <c r="M54" s="35"/>
      <c r="N54" s="43"/>
    </row>
    <row r="55" spans="1:14" s="31" customFormat="1" ht="21.75" thickBot="1" x14ac:dyDescent="0.25">
      <c r="A55" s="41">
        <v>57</v>
      </c>
      <c r="B55" s="39"/>
      <c r="C55" s="40" t="e">
        <v>#N/A</v>
      </c>
      <c r="D55" s="39" t="e">
        <v>#N/A</v>
      </c>
      <c r="E55" s="39" t="e">
        <f t="shared" si="3"/>
        <v>#N/A</v>
      </c>
      <c r="F55" s="82"/>
      <c r="H55" s="38" t="str">
        <f>IF(OR(ISNUMBER(SEARCH("albertson",C55)), ISNUMBER(SEARCH("jewel",C55)), ISNUMBER(SEARCH("safeway",C55)), ISNUMBER(SEARCH("sysco",C55)), ISNUMBER(SEARCH("united supermarkets",C55))),"X","")</f>
        <v/>
      </c>
      <c r="I55" s="37">
        <v>0</v>
      </c>
      <c r="J55" s="36">
        <v>0</v>
      </c>
      <c r="K55" s="79">
        <f t="shared" si="1"/>
        <v>0</v>
      </c>
      <c r="L55" s="79">
        <f t="shared" si="2"/>
        <v>0</v>
      </c>
      <c r="M55" s="35"/>
      <c r="N55" s="43"/>
    </row>
    <row r="56" spans="1:14" s="31" customFormat="1" ht="21.75" thickBot="1" x14ac:dyDescent="0.25">
      <c r="A56" s="41">
        <v>58</v>
      </c>
      <c r="B56" s="39"/>
      <c r="C56" s="40" t="e">
        <v>#N/A</v>
      </c>
      <c r="D56" s="39" t="e">
        <v>#N/A</v>
      </c>
      <c r="E56" s="39" t="e">
        <f t="shared" si="3"/>
        <v>#N/A</v>
      </c>
      <c r="F56" s="82"/>
      <c r="H56" s="38" t="str">
        <f>IF(OR(ISNUMBER(SEARCH("albertson",C56)), ISNUMBER(SEARCH("jewel",C56)), ISNUMBER(SEARCH("safeway",C56)), ISNUMBER(SEARCH("sysco",C56)), ISNUMBER(SEARCH("united supermarkets",C56))),"X","")</f>
        <v/>
      </c>
      <c r="I56" s="37">
        <v>0</v>
      </c>
      <c r="J56" s="36">
        <v>0</v>
      </c>
      <c r="K56" s="79">
        <f t="shared" si="1"/>
        <v>0</v>
      </c>
      <c r="L56" s="79">
        <f t="shared" si="2"/>
        <v>0</v>
      </c>
      <c r="M56" s="35"/>
      <c r="N56" s="43"/>
    </row>
    <row r="57" spans="1:14" s="31" customFormat="1" ht="21.75" thickBot="1" x14ac:dyDescent="0.25">
      <c r="A57" s="41">
        <v>59</v>
      </c>
      <c r="B57" s="39"/>
      <c r="C57" s="40" t="e">
        <v>#N/A</v>
      </c>
      <c r="D57" s="39" t="e">
        <v>#N/A</v>
      </c>
      <c r="E57" s="39" t="e">
        <f t="shared" si="3"/>
        <v>#N/A</v>
      </c>
      <c r="F57" s="82"/>
      <c r="H57" s="38" t="str">
        <f>IF(OR(ISNUMBER(SEARCH("albertson",C57)), ISNUMBER(SEARCH("jewel",C57)), ISNUMBER(SEARCH("safeway",C57)), ISNUMBER(SEARCH("sysco",C57)), ISNUMBER(SEARCH("united supermarkets",C57))),"X","")</f>
        <v/>
      </c>
      <c r="I57" s="37">
        <v>0</v>
      </c>
      <c r="J57" s="36">
        <v>0</v>
      </c>
      <c r="K57" s="79">
        <f t="shared" si="1"/>
        <v>0</v>
      </c>
      <c r="L57" s="79">
        <f t="shared" si="2"/>
        <v>0</v>
      </c>
      <c r="M57" s="35"/>
      <c r="N57" s="42"/>
    </row>
    <row r="58" spans="1:14" s="31" customFormat="1" ht="21.75" thickBot="1" x14ac:dyDescent="0.25">
      <c r="A58" s="41">
        <v>60</v>
      </c>
      <c r="B58" s="39"/>
      <c r="C58" s="40" t="e">
        <v>#N/A</v>
      </c>
      <c r="D58" s="39" t="e">
        <v>#N/A</v>
      </c>
      <c r="E58" s="39" t="e">
        <f t="shared" si="3"/>
        <v>#N/A</v>
      </c>
      <c r="F58" s="82"/>
      <c r="H58" s="38" t="str">
        <f>IF(OR(ISNUMBER(SEARCH("albertson",C58)), ISNUMBER(SEARCH("jewel",C58)), ISNUMBER(SEARCH("safeway",C58)), ISNUMBER(SEARCH("sysco",C58)), ISNUMBER(SEARCH("united supermarkets",C58))),"X","")</f>
        <v/>
      </c>
      <c r="I58" s="37">
        <v>0</v>
      </c>
      <c r="J58" s="36">
        <v>0</v>
      </c>
      <c r="K58" s="79">
        <f t="shared" si="1"/>
        <v>0</v>
      </c>
      <c r="L58" s="79">
        <f t="shared" si="2"/>
        <v>0</v>
      </c>
      <c r="M58" s="35"/>
      <c r="N58" s="39"/>
    </row>
    <row r="59" spans="1:14" s="31" customFormat="1" ht="21.75" thickBot="1" x14ac:dyDescent="0.25">
      <c r="A59" s="41">
        <v>61</v>
      </c>
      <c r="B59" s="39"/>
      <c r="C59" s="40" t="e">
        <v>#N/A</v>
      </c>
      <c r="D59" s="39" t="e">
        <v>#N/A</v>
      </c>
      <c r="E59" s="39" t="e">
        <f t="shared" si="3"/>
        <v>#N/A</v>
      </c>
      <c r="F59" s="82"/>
      <c r="H59" s="38" t="str">
        <f>IF(OR(ISNUMBER(SEARCH("albertson",C59)), ISNUMBER(SEARCH("jewel",C59)), ISNUMBER(SEARCH("safeway",C59)), ISNUMBER(SEARCH("sysco",C59)), ISNUMBER(SEARCH("united supermarkets",C59))),"X","")</f>
        <v/>
      </c>
      <c r="I59" s="37">
        <v>0</v>
      </c>
      <c r="J59" s="36">
        <v>0</v>
      </c>
      <c r="K59" s="79">
        <f t="shared" si="1"/>
        <v>0</v>
      </c>
      <c r="L59" s="79">
        <f t="shared" si="2"/>
        <v>0</v>
      </c>
      <c r="M59" s="35"/>
      <c r="N59" s="39"/>
    </row>
    <row r="60" spans="1:14" s="31" customFormat="1" ht="21.75" thickBot="1" x14ac:dyDescent="0.25">
      <c r="A60" s="41">
        <v>62</v>
      </c>
      <c r="B60" s="39"/>
      <c r="C60" s="40" t="e">
        <v>#N/A</v>
      </c>
      <c r="D60" s="39" t="e">
        <v>#N/A</v>
      </c>
      <c r="E60" s="39" t="e">
        <f t="shared" si="3"/>
        <v>#N/A</v>
      </c>
      <c r="F60" s="82"/>
      <c r="H60" s="38" t="str">
        <f>IF(OR(ISNUMBER(SEARCH("albertson",C60)), ISNUMBER(SEARCH("jewel",C60)), ISNUMBER(SEARCH("safeway",C60)), ISNUMBER(SEARCH("sysco",C60)), ISNUMBER(SEARCH("united supermarkets",C60))),"X","")</f>
        <v/>
      </c>
      <c r="I60" s="37">
        <v>0</v>
      </c>
      <c r="J60" s="36">
        <v>0</v>
      </c>
      <c r="K60" s="79">
        <f t="shared" si="1"/>
        <v>0</v>
      </c>
      <c r="L60" s="79">
        <f t="shared" si="2"/>
        <v>0</v>
      </c>
      <c r="M60" s="35"/>
      <c r="N60" s="39"/>
    </row>
    <row r="61" spans="1:14" s="31" customFormat="1" ht="21.75" thickBot="1" x14ac:dyDescent="0.25">
      <c r="A61" s="41">
        <v>63</v>
      </c>
      <c r="B61" s="39"/>
      <c r="C61" s="40" t="e">
        <v>#N/A</v>
      </c>
      <c r="D61" s="39" t="e">
        <v>#N/A</v>
      </c>
      <c r="E61" s="39" t="e">
        <f t="shared" si="3"/>
        <v>#N/A</v>
      </c>
      <c r="F61" s="82"/>
      <c r="H61" s="38" t="str">
        <f>IF(OR(ISNUMBER(SEARCH("albertson",C61)), ISNUMBER(SEARCH("jewel",C61)), ISNUMBER(SEARCH("safeway",C61)), ISNUMBER(SEARCH("sysco",C61)), ISNUMBER(SEARCH("united supermarkets",C61))),"X","")</f>
        <v/>
      </c>
      <c r="I61" s="37">
        <v>0</v>
      </c>
      <c r="J61" s="36">
        <v>0</v>
      </c>
      <c r="K61" s="79">
        <f t="shared" si="1"/>
        <v>0</v>
      </c>
      <c r="L61" s="79">
        <f t="shared" si="2"/>
        <v>0</v>
      </c>
      <c r="M61" s="35"/>
      <c r="N61" s="39"/>
    </row>
    <row r="62" spans="1:14" s="31" customFormat="1" ht="21.75" thickBot="1" x14ac:dyDescent="0.25">
      <c r="A62" s="41">
        <v>64</v>
      </c>
      <c r="B62" s="39"/>
      <c r="C62" s="40" t="e">
        <v>#N/A</v>
      </c>
      <c r="D62" s="39" t="e">
        <v>#N/A</v>
      </c>
      <c r="E62" s="39" t="e">
        <f t="shared" si="3"/>
        <v>#N/A</v>
      </c>
      <c r="F62" s="82"/>
      <c r="H62" s="38" t="str">
        <f>IF(OR(ISNUMBER(SEARCH("albertson",C62)), ISNUMBER(SEARCH("jewel",C62)), ISNUMBER(SEARCH("safeway",C62)), ISNUMBER(SEARCH("sysco",C62)), ISNUMBER(SEARCH("united supermarkets",C62))),"X","")</f>
        <v/>
      </c>
      <c r="I62" s="37">
        <v>0</v>
      </c>
      <c r="J62" s="36">
        <v>0</v>
      </c>
      <c r="K62" s="79">
        <f t="shared" si="1"/>
        <v>0</v>
      </c>
      <c r="L62" s="79">
        <f t="shared" si="2"/>
        <v>0</v>
      </c>
      <c r="M62" s="35"/>
      <c r="N62" s="39"/>
    </row>
    <row r="63" spans="1:14" s="31" customFormat="1" ht="21.75" thickBot="1" x14ac:dyDescent="0.25">
      <c r="A63" s="41">
        <v>65</v>
      </c>
      <c r="B63" s="39"/>
      <c r="C63" s="40" t="e">
        <v>#N/A</v>
      </c>
      <c r="D63" s="39" t="e">
        <v>#N/A</v>
      </c>
      <c r="E63" s="39" t="e">
        <f t="shared" si="3"/>
        <v>#N/A</v>
      </c>
      <c r="F63" s="82"/>
      <c r="H63" s="38" t="str">
        <f>IF(OR(ISNUMBER(SEARCH("albertson",C63)), ISNUMBER(SEARCH("jewel",C63)), ISNUMBER(SEARCH("safeway",C63)), ISNUMBER(SEARCH("sysco",C63)), ISNUMBER(SEARCH("united supermarkets",C63))),"X","")</f>
        <v/>
      </c>
      <c r="I63" s="37">
        <v>0</v>
      </c>
      <c r="J63" s="36">
        <v>0</v>
      </c>
      <c r="K63" s="79">
        <f t="shared" si="1"/>
        <v>0</v>
      </c>
      <c r="L63" s="79">
        <f t="shared" si="2"/>
        <v>0</v>
      </c>
      <c r="M63" s="35"/>
      <c r="N63" s="39"/>
    </row>
    <row r="64" spans="1:14" s="31" customFormat="1" ht="21.75" thickBot="1" x14ac:dyDescent="0.25">
      <c r="A64" s="41">
        <v>66</v>
      </c>
      <c r="B64" s="39"/>
      <c r="C64" s="40" t="e">
        <v>#N/A</v>
      </c>
      <c r="D64" s="39" t="e">
        <v>#N/A</v>
      </c>
      <c r="E64" s="39" t="e">
        <f t="shared" si="3"/>
        <v>#N/A</v>
      </c>
      <c r="F64" s="82"/>
      <c r="H64" s="38" t="str">
        <f>IF(OR(ISNUMBER(SEARCH("albertson",C64)), ISNUMBER(SEARCH("jewel",C64)), ISNUMBER(SEARCH("safeway",C64)), ISNUMBER(SEARCH("sysco",C64)), ISNUMBER(SEARCH("united supermarkets",C64))),"X","")</f>
        <v/>
      </c>
      <c r="I64" s="37">
        <v>0</v>
      </c>
      <c r="J64" s="36">
        <v>0</v>
      </c>
      <c r="K64" s="79">
        <f t="shared" si="1"/>
        <v>0</v>
      </c>
      <c r="L64" s="79">
        <f t="shared" si="2"/>
        <v>0</v>
      </c>
      <c r="M64" s="35"/>
      <c r="N64" s="35"/>
    </row>
    <row r="65" spans="1:14" s="31" customFormat="1" ht="21.75" thickBot="1" x14ac:dyDescent="0.25">
      <c r="A65" s="41">
        <v>67</v>
      </c>
      <c r="B65" s="39"/>
      <c r="C65" s="40" t="e">
        <v>#N/A</v>
      </c>
      <c r="D65" s="39" t="e">
        <v>#N/A</v>
      </c>
      <c r="E65" s="39" t="e">
        <f t="shared" si="3"/>
        <v>#N/A</v>
      </c>
      <c r="F65" s="82"/>
      <c r="H65" s="38" t="str">
        <f>IF(OR(ISNUMBER(SEARCH("albertson",C65)), ISNUMBER(SEARCH("jewel",C65)), ISNUMBER(SEARCH("safeway",C65)), ISNUMBER(SEARCH("sysco",C65)), ISNUMBER(SEARCH("united supermarkets",C65))),"X","")</f>
        <v/>
      </c>
      <c r="I65" s="37">
        <v>0</v>
      </c>
      <c r="J65" s="36">
        <v>0</v>
      </c>
      <c r="K65" s="79">
        <f t="shared" si="1"/>
        <v>0</v>
      </c>
      <c r="L65" s="79">
        <f t="shared" si="2"/>
        <v>0</v>
      </c>
      <c r="M65" s="35"/>
      <c r="N65" s="39"/>
    </row>
    <row r="66" spans="1:14" s="31" customFormat="1" ht="21.75" thickBot="1" x14ac:dyDescent="0.25">
      <c r="A66" s="41">
        <v>68</v>
      </c>
      <c r="B66" s="39"/>
      <c r="C66" s="40" t="e">
        <v>#N/A</v>
      </c>
      <c r="D66" s="39" t="e">
        <v>#N/A</v>
      </c>
      <c r="E66" s="39" t="e">
        <f t="shared" si="3"/>
        <v>#N/A</v>
      </c>
      <c r="F66" s="82"/>
      <c r="H66" s="38" t="str">
        <f>IF(OR(ISNUMBER(SEARCH("albertson",C66)), ISNUMBER(SEARCH("jewel",C66)), ISNUMBER(SEARCH("safeway",C66)), ISNUMBER(SEARCH("sysco",C66)), ISNUMBER(SEARCH("united supermarkets",C66))),"X","")</f>
        <v/>
      </c>
      <c r="I66" s="37">
        <v>0</v>
      </c>
      <c r="J66" s="36">
        <v>0</v>
      </c>
      <c r="K66" s="79">
        <f t="shared" si="1"/>
        <v>0</v>
      </c>
      <c r="L66" s="79">
        <f t="shared" si="2"/>
        <v>0</v>
      </c>
      <c r="M66" s="35"/>
      <c r="N66" s="39"/>
    </row>
    <row r="67" spans="1:14" s="31" customFormat="1" ht="21.75" thickBot="1" x14ac:dyDescent="0.25">
      <c r="A67" s="41">
        <v>69</v>
      </c>
      <c r="B67" s="39"/>
      <c r="C67" s="40" t="e">
        <v>#N/A</v>
      </c>
      <c r="D67" s="39" t="e">
        <v>#N/A</v>
      </c>
      <c r="E67" s="39" t="e">
        <f t="shared" ref="E67:E93" si="4">TRIM(SUBSTITUTE(D67, "trailer", ""))</f>
        <v>#N/A</v>
      </c>
      <c r="F67" s="82"/>
      <c r="H67" s="38" t="str">
        <f>IF(OR(ISNUMBER(SEARCH("albertson",C67)), ISNUMBER(SEARCH("jewel",C67)), ISNUMBER(SEARCH("safeway",C67)), ISNUMBER(SEARCH("sysco",C67)), ISNUMBER(SEARCH("united supermarkets",C67))),"X","")</f>
        <v/>
      </c>
      <c r="I67" s="37">
        <v>0</v>
      </c>
      <c r="J67" s="36">
        <v>0</v>
      </c>
      <c r="K67" s="79">
        <f t="shared" si="1"/>
        <v>0</v>
      </c>
      <c r="L67" s="79">
        <f t="shared" si="2"/>
        <v>0</v>
      </c>
      <c r="M67" s="35"/>
      <c r="N67" s="39"/>
    </row>
    <row r="68" spans="1:14" s="31" customFormat="1" ht="21.75" thickBot="1" x14ac:dyDescent="0.25">
      <c r="A68" s="41">
        <v>70</v>
      </c>
      <c r="B68" s="39"/>
      <c r="C68" s="40" t="e">
        <v>#N/A</v>
      </c>
      <c r="D68" s="39" t="e">
        <v>#N/A</v>
      </c>
      <c r="E68" s="39" t="e">
        <f t="shared" si="4"/>
        <v>#N/A</v>
      </c>
      <c r="F68" s="82"/>
      <c r="H68" s="38" t="str">
        <f>IF(OR(ISNUMBER(SEARCH("albertson",C68)), ISNUMBER(SEARCH("jewel",C68)), ISNUMBER(SEARCH("safeway",C68)), ISNUMBER(SEARCH("sysco",C68)), ISNUMBER(SEARCH("united supermarkets",C68))),"X","")</f>
        <v/>
      </c>
      <c r="I68" s="37">
        <v>0</v>
      </c>
      <c r="J68" s="36">
        <v>0</v>
      </c>
      <c r="K68" s="79">
        <f t="shared" ref="K68:K123" si="5">IF(J68&gt;75,ROUND((J68*0.63)/75,0),0)</f>
        <v>0</v>
      </c>
      <c r="L68" s="79">
        <f t="shared" ref="L68:L123" si="6">IF(J68&gt;75,ROUND(J68*0.37,0),J68)</f>
        <v>0</v>
      </c>
      <c r="M68" s="35"/>
      <c r="N68" s="39"/>
    </row>
    <row r="69" spans="1:14" s="31" customFormat="1" ht="21.75" thickBot="1" x14ac:dyDescent="0.25">
      <c r="A69" s="41">
        <v>71</v>
      </c>
      <c r="B69" s="39"/>
      <c r="C69" s="40" t="e">
        <v>#N/A</v>
      </c>
      <c r="D69" s="39" t="e">
        <v>#N/A</v>
      </c>
      <c r="E69" s="39" t="e">
        <f t="shared" si="4"/>
        <v>#N/A</v>
      </c>
      <c r="F69" s="82"/>
      <c r="H69" s="38" t="str">
        <f>IF(OR(ISNUMBER(SEARCH("albertson",C69)), ISNUMBER(SEARCH("jewel",C69)), ISNUMBER(SEARCH("safeway",C69)), ISNUMBER(SEARCH("sysco",C69)), ISNUMBER(SEARCH("united supermarkets",C69))),"X","")</f>
        <v/>
      </c>
      <c r="I69" s="37">
        <v>0</v>
      </c>
      <c r="J69" s="36">
        <v>0</v>
      </c>
      <c r="K69" s="79">
        <f t="shared" si="5"/>
        <v>0</v>
      </c>
      <c r="L69" s="79">
        <f t="shared" si="6"/>
        <v>0</v>
      </c>
      <c r="M69" s="35"/>
      <c r="N69" s="39"/>
    </row>
    <row r="70" spans="1:14" s="31" customFormat="1" ht="21.75" thickBot="1" x14ac:dyDescent="0.25">
      <c r="A70" s="41">
        <v>72</v>
      </c>
      <c r="B70" s="39"/>
      <c r="C70" s="40" t="e">
        <v>#N/A</v>
      </c>
      <c r="D70" s="39" t="e">
        <v>#N/A</v>
      </c>
      <c r="E70" s="39" t="e">
        <f t="shared" si="4"/>
        <v>#N/A</v>
      </c>
      <c r="F70" s="82"/>
      <c r="H70" s="38" t="str">
        <f>IF(OR(ISNUMBER(SEARCH("albertson",C70)), ISNUMBER(SEARCH("jewel",C70)), ISNUMBER(SEARCH("safeway",C70)), ISNUMBER(SEARCH("sysco",C70)), ISNUMBER(SEARCH("united supermarkets",C70))),"X","")</f>
        <v/>
      </c>
      <c r="I70" s="37">
        <v>0</v>
      </c>
      <c r="J70" s="36">
        <v>0</v>
      </c>
      <c r="K70" s="79">
        <f t="shared" si="5"/>
        <v>0</v>
      </c>
      <c r="L70" s="79">
        <f t="shared" si="6"/>
        <v>0</v>
      </c>
      <c r="M70" s="35"/>
      <c r="N70" s="35"/>
    </row>
    <row r="71" spans="1:14" s="31" customFormat="1" ht="21.75" thickBot="1" x14ac:dyDescent="0.25">
      <c r="A71" s="41">
        <v>73</v>
      </c>
      <c r="B71" s="39"/>
      <c r="C71" s="40" t="e">
        <v>#N/A</v>
      </c>
      <c r="D71" s="39" t="e">
        <v>#N/A</v>
      </c>
      <c r="E71" s="39" t="e">
        <f t="shared" si="4"/>
        <v>#N/A</v>
      </c>
      <c r="F71" s="82"/>
      <c r="H71" s="38" t="str">
        <f>IF(OR(ISNUMBER(SEARCH("albertson",C71)), ISNUMBER(SEARCH("jewel",C71)), ISNUMBER(SEARCH("safeway",C71)), ISNUMBER(SEARCH("sysco",C71)), ISNUMBER(SEARCH("united supermarkets",C71))),"X","")</f>
        <v/>
      </c>
      <c r="I71" s="37">
        <v>0</v>
      </c>
      <c r="J71" s="36">
        <v>0</v>
      </c>
      <c r="K71" s="79">
        <f t="shared" si="5"/>
        <v>0</v>
      </c>
      <c r="L71" s="79">
        <f t="shared" si="6"/>
        <v>0</v>
      </c>
      <c r="M71" s="35"/>
      <c r="N71" s="39"/>
    </row>
    <row r="72" spans="1:14" s="31" customFormat="1" ht="21.75" thickBot="1" x14ac:dyDescent="0.25">
      <c r="A72" s="41">
        <v>74</v>
      </c>
      <c r="B72" s="39"/>
      <c r="C72" s="40" t="e">
        <v>#N/A</v>
      </c>
      <c r="D72" s="39" t="e">
        <v>#N/A</v>
      </c>
      <c r="E72" s="39" t="e">
        <f t="shared" si="4"/>
        <v>#N/A</v>
      </c>
      <c r="F72" s="82"/>
      <c r="H72" s="38" t="str">
        <f>IF(OR(ISNUMBER(SEARCH("albertson",C72)), ISNUMBER(SEARCH("jewel",C72)), ISNUMBER(SEARCH("safeway",C72)), ISNUMBER(SEARCH("sysco",C72)), ISNUMBER(SEARCH("united supermarkets",C72))),"X","")</f>
        <v/>
      </c>
      <c r="I72" s="37">
        <v>0</v>
      </c>
      <c r="J72" s="36">
        <v>0</v>
      </c>
      <c r="K72" s="79">
        <f t="shared" si="5"/>
        <v>0</v>
      </c>
      <c r="L72" s="79">
        <f t="shared" si="6"/>
        <v>0</v>
      </c>
      <c r="M72" s="35"/>
      <c r="N72" s="39"/>
    </row>
    <row r="73" spans="1:14" s="31" customFormat="1" ht="21.75" thickBot="1" x14ac:dyDescent="0.25">
      <c r="A73" s="41">
        <v>75</v>
      </c>
      <c r="B73" s="39"/>
      <c r="C73" s="40" t="e">
        <v>#N/A</v>
      </c>
      <c r="D73" s="39" t="e">
        <v>#N/A</v>
      </c>
      <c r="E73" s="39" t="e">
        <f t="shared" si="4"/>
        <v>#N/A</v>
      </c>
      <c r="F73" s="82"/>
      <c r="H73" s="38" t="str">
        <f>IF(OR(ISNUMBER(SEARCH("albertson",C73)), ISNUMBER(SEARCH("jewel",C73)), ISNUMBER(SEARCH("safeway",C73)), ISNUMBER(SEARCH("sysco",C73)), ISNUMBER(SEARCH("united supermarkets",C73))),"X","")</f>
        <v/>
      </c>
      <c r="I73" s="37">
        <v>0</v>
      </c>
      <c r="J73" s="36">
        <v>0</v>
      </c>
      <c r="K73" s="79">
        <f t="shared" si="5"/>
        <v>0</v>
      </c>
      <c r="L73" s="79">
        <f t="shared" si="6"/>
        <v>0</v>
      </c>
      <c r="M73" s="35"/>
      <c r="N73" s="39"/>
    </row>
    <row r="74" spans="1:14" s="31" customFormat="1" ht="21.75" thickBot="1" x14ac:dyDescent="0.25">
      <c r="A74" s="41">
        <v>76</v>
      </c>
      <c r="B74" s="39"/>
      <c r="C74" s="40" t="e">
        <v>#N/A</v>
      </c>
      <c r="D74" s="39" t="e">
        <v>#N/A</v>
      </c>
      <c r="E74" s="39" t="e">
        <f t="shared" si="4"/>
        <v>#N/A</v>
      </c>
      <c r="F74" s="82"/>
      <c r="H74" s="38" t="str">
        <f>IF(OR(ISNUMBER(SEARCH("albertson",C74)), ISNUMBER(SEARCH("jewel",C74)), ISNUMBER(SEARCH("safeway",C74)), ISNUMBER(SEARCH("sysco",C74)), ISNUMBER(SEARCH("united supermarkets",C74))),"X","")</f>
        <v/>
      </c>
      <c r="I74" s="37">
        <v>0</v>
      </c>
      <c r="J74" s="36">
        <v>0</v>
      </c>
      <c r="K74" s="79">
        <f t="shared" si="5"/>
        <v>0</v>
      </c>
      <c r="L74" s="79">
        <f t="shared" si="6"/>
        <v>0</v>
      </c>
      <c r="M74" s="35"/>
      <c r="N74" s="35"/>
    </row>
    <row r="75" spans="1:14" s="31" customFormat="1" ht="21.75" thickBot="1" x14ac:dyDescent="0.25">
      <c r="A75" s="41">
        <v>77</v>
      </c>
      <c r="B75" s="39"/>
      <c r="C75" s="40" t="e">
        <v>#N/A</v>
      </c>
      <c r="D75" s="39" t="e">
        <v>#N/A</v>
      </c>
      <c r="E75" s="39" t="e">
        <f t="shared" si="4"/>
        <v>#N/A</v>
      </c>
      <c r="F75" s="82"/>
      <c r="H75" s="38" t="str">
        <f>IF(OR(ISNUMBER(SEARCH("albertson",C75)), ISNUMBER(SEARCH("jewel",C75)), ISNUMBER(SEARCH("safeway",C75)), ISNUMBER(SEARCH("sysco",C75)), ISNUMBER(SEARCH("united supermarkets",C75))),"X","")</f>
        <v/>
      </c>
      <c r="I75" s="37">
        <v>0</v>
      </c>
      <c r="J75" s="36">
        <v>0</v>
      </c>
      <c r="K75" s="79">
        <f t="shared" si="5"/>
        <v>0</v>
      </c>
      <c r="L75" s="79">
        <f t="shared" si="6"/>
        <v>0</v>
      </c>
      <c r="M75" s="35"/>
      <c r="N75" s="39"/>
    </row>
    <row r="76" spans="1:14" s="31" customFormat="1" ht="21.75" thickBot="1" x14ac:dyDescent="0.25">
      <c r="A76" s="41">
        <v>78</v>
      </c>
      <c r="B76" s="39"/>
      <c r="C76" s="40" t="e">
        <v>#N/A</v>
      </c>
      <c r="D76" s="39" t="e">
        <v>#N/A</v>
      </c>
      <c r="E76" s="39" t="e">
        <f t="shared" si="4"/>
        <v>#N/A</v>
      </c>
      <c r="F76" s="82"/>
      <c r="H76" s="38" t="str">
        <f>IF(OR(ISNUMBER(SEARCH("albertson",C76)), ISNUMBER(SEARCH("jewel",C76)), ISNUMBER(SEARCH("safeway",C76)), ISNUMBER(SEARCH("sysco",C76)), ISNUMBER(SEARCH("united supermarkets",C76))),"X","")</f>
        <v/>
      </c>
      <c r="I76" s="37">
        <v>0</v>
      </c>
      <c r="J76" s="36">
        <v>0</v>
      </c>
      <c r="K76" s="79">
        <f t="shared" si="5"/>
        <v>0</v>
      </c>
      <c r="L76" s="79">
        <f t="shared" si="6"/>
        <v>0</v>
      </c>
      <c r="M76" s="35"/>
      <c r="N76" s="39"/>
    </row>
    <row r="77" spans="1:14" s="31" customFormat="1" ht="21.75" thickBot="1" x14ac:dyDescent="0.25">
      <c r="A77" s="41">
        <v>79</v>
      </c>
      <c r="B77" s="39"/>
      <c r="C77" s="40" t="e">
        <v>#N/A</v>
      </c>
      <c r="D77" s="39" t="e">
        <v>#N/A</v>
      </c>
      <c r="E77" s="39" t="e">
        <f t="shared" si="4"/>
        <v>#N/A</v>
      </c>
      <c r="F77" s="82"/>
      <c r="H77" s="38" t="str">
        <f>IF(OR(ISNUMBER(SEARCH("albertson",C77)), ISNUMBER(SEARCH("jewel",C77)), ISNUMBER(SEARCH("safeway",C77)), ISNUMBER(SEARCH("sysco",C77)), ISNUMBER(SEARCH("united supermarkets",C77))),"X","")</f>
        <v/>
      </c>
      <c r="I77" s="37">
        <v>0</v>
      </c>
      <c r="J77" s="36">
        <v>0</v>
      </c>
      <c r="K77" s="79">
        <f t="shared" si="5"/>
        <v>0</v>
      </c>
      <c r="L77" s="79">
        <f t="shared" si="6"/>
        <v>0</v>
      </c>
      <c r="M77" s="35"/>
      <c r="N77" s="39"/>
    </row>
    <row r="78" spans="1:14" s="31" customFormat="1" ht="21.75" thickBot="1" x14ac:dyDescent="0.25">
      <c r="A78" s="41">
        <v>80</v>
      </c>
      <c r="B78" s="39"/>
      <c r="C78" s="40" t="e">
        <v>#N/A</v>
      </c>
      <c r="D78" s="39" t="e">
        <v>#N/A</v>
      </c>
      <c r="E78" s="39" t="e">
        <f t="shared" si="4"/>
        <v>#N/A</v>
      </c>
      <c r="F78" s="82"/>
      <c r="H78" s="38" t="str">
        <f>IF(OR(ISNUMBER(SEARCH("albertson",C78)), ISNUMBER(SEARCH("jewel",C78)), ISNUMBER(SEARCH("safeway",C78)), ISNUMBER(SEARCH("sysco",C78)), ISNUMBER(SEARCH("united supermarkets",C78))),"X","")</f>
        <v/>
      </c>
      <c r="I78" s="37">
        <v>0</v>
      </c>
      <c r="J78" s="36">
        <v>0</v>
      </c>
      <c r="K78" s="79">
        <f t="shared" si="5"/>
        <v>0</v>
      </c>
      <c r="L78" s="79">
        <f t="shared" si="6"/>
        <v>0</v>
      </c>
      <c r="M78" s="35"/>
      <c r="N78" s="39"/>
    </row>
    <row r="79" spans="1:14" s="31" customFormat="1" ht="21.75" thickBot="1" x14ac:dyDescent="0.25">
      <c r="A79" s="41">
        <v>81</v>
      </c>
      <c r="B79" s="39"/>
      <c r="C79" s="40" t="e">
        <v>#N/A</v>
      </c>
      <c r="D79" s="39" t="e">
        <v>#N/A</v>
      </c>
      <c r="E79" s="39" t="e">
        <f t="shared" si="4"/>
        <v>#N/A</v>
      </c>
      <c r="F79" s="82"/>
      <c r="H79" s="38" t="str">
        <f>IF(OR(ISNUMBER(SEARCH("albertson",C79)), ISNUMBER(SEARCH("jewel",C79)), ISNUMBER(SEARCH("safeway",C79)), ISNUMBER(SEARCH("sysco",C79)), ISNUMBER(SEARCH("united supermarkets",C79))),"X","")</f>
        <v/>
      </c>
      <c r="I79" s="37">
        <v>0</v>
      </c>
      <c r="J79" s="36">
        <v>0</v>
      </c>
      <c r="K79" s="79">
        <f t="shared" si="5"/>
        <v>0</v>
      </c>
      <c r="L79" s="79">
        <f t="shared" si="6"/>
        <v>0</v>
      </c>
      <c r="M79" s="35"/>
      <c r="N79" s="39"/>
    </row>
    <row r="80" spans="1:14" s="31" customFormat="1" ht="21.75" thickBot="1" x14ac:dyDescent="0.25">
      <c r="A80" s="41">
        <v>82</v>
      </c>
      <c r="B80" s="39"/>
      <c r="C80" s="40" t="e">
        <v>#N/A</v>
      </c>
      <c r="D80" s="39" t="e">
        <v>#N/A</v>
      </c>
      <c r="E80" s="39" t="e">
        <f t="shared" si="4"/>
        <v>#N/A</v>
      </c>
      <c r="F80" s="82"/>
      <c r="H80" s="38" t="str">
        <f>IF(OR(ISNUMBER(SEARCH("albertson",C80)), ISNUMBER(SEARCH("jewel",C80)), ISNUMBER(SEARCH("safeway",C80)), ISNUMBER(SEARCH("sysco",C80)), ISNUMBER(SEARCH("united supermarkets",C80))),"X","")</f>
        <v/>
      </c>
      <c r="I80" s="37">
        <v>0</v>
      </c>
      <c r="J80" s="36">
        <v>0</v>
      </c>
      <c r="K80" s="79">
        <f t="shared" si="5"/>
        <v>0</v>
      </c>
      <c r="L80" s="79">
        <f t="shared" si="6"/>
        <v>0</v>
      </c>
      <c r="M80" s="35"/>
      <c r="N80" s="39"/>
    </row>
    <row r="81" spans="1:14" s="31" customFormat="1" ht="21.75" thickBot="1" x14ac:dyDescent="0.25">
      <c r="A81" s="41">
        <v>83</v>
      </c>
      <c r="B81" s="39"/>
      <c r="C81" s="40" t="e">
        <v>#N/A</v>
      </c>
      <c r="D81" s="39" t="e">
        <v>#N/A</v>
      </c>
      <c r="E81" s="39" t="e">
        <f t="shared" si="4"/>
        <v>#N/A</v>
      </c>
      <c r="F81" s="82"/>
      <c r="H81" s="38" t="str">
        <f>IF(OR(ISNUMBER(SEARCH("albertson",C81)), ISNUMBER(SEARCH("jewel",C81)), ISNUMBER(SEARCH("safeway",C81)), ISNUMBER(SEARCH("sysco",C81)), ISNUMBER(SEARCH("united supermarkets",C81))),"X","")</f>
        <v/>
      </c>
      <c r="I81" s="37">
        <v>0</v>
      </c>
      <c r="J81" s="36">
        <v>0</v>
      </c>
      <c r="K81" s="79">
        <f t="shared" si="5"/>
        <v>0</v>
      </c>
      <c r="L81" s="79">
        <f t="shared" si="6"/>
        <v>0</v>
      </c>
      <c r="M81" s="35"/>
      <c r="N81" s="39"/>
    </row>
    <row r="82" spans="1:14" s="31" customFormat="1" ht="21.75" thickBot="1" x14ac:dyDescent="0.25">
      <c r="A82" s="41">
        <v>84</v>
      </c>
      <c r="B82" s="39"/>
      <c r="C82" s="40" t="e">
        <v>#N/A</v>
      </c>
      <c r="D82" s="39" t="e">
        <v>#N/A</v>
      </c>
      <c r="E82" s="39" t="e">
        <f t="shared" si="4"/>
        <v>#N/A</v>
      </c>
      <c r="F82" s="82"/>
      <c r="H82" s="38" t="str">
        <f>IF(OR(ISNUMBER(SEARCH("albertson",C82)), ISNUMBER(SEARCH("jewel",C82)), ISNUMBER(SEARCH("safeway",C82)), ISNUMBER(SEARCH("sysco",C82)), ISNUMBER(SEARCH("united supermarkets",C82))),"X","")</f>
        <v/>
      </c>
      <c r="I82" s="37">
        <v>0</v>
      </c>
      <c r="J82" s="36">
        <v>0</v>
      </c>
      <c r="K82" s="79">
        <f t="shared" si="5"/>
        <v>0</v>
      </c>
      <c r="L82" s="79">
        <f t="shared" si="6"/>
        <v>0</v>
      </c>
      <c r="M82" s="35"/>
      <c r="N82" s="39"/>
    </row>
    <row r="83" spans="1:14" s="31" customFormat="1" ht="21.75" thickBot="1" x14ac:dyDescent="0.25">
      <c r="A83" s="41">
        <v>85</v>
      </c>
      <c r="B83" s="39"/>
      <c r="C83" s="40" t="e">
        <v>#N/A</v>
      </c>
      <c r="D83" s="39" t="e">
        <v>#N/A</v>
      </c>
      <c r="E83" s="39" t="e">
        <f t="shared" si="4"/>
        <v>#N/A</v>
      </c>
      <c r="F83" s="82"/>
      <c r="H83" s="38" t="str">
        <f>IF(OR(ISNUMBER(SEARCH("albertson",C83)), ISNUMBER(SEARCH("jewel",C83)), ISNUMBER(SEARCH("safeway",C83)), ISNUMBER(SEARCH("sysco",C83)), ISNUMBER(SEARCH("united supermarkets",C83))),"X","")</f>
        <v/>
      </c>
      <c r="I83" s="37">
        <v>0</v>
      </c>
      <c r="J83" s="36">
        <v>0</v>
      </c>
      <c r="K83" s="79">
        <f t="shared" si="5"/>
        <v>0</v>
      </c>
      <c r="L83" s="79">
        <f t="shared" si="6"/>
        <v>0</v>
      </c>
      <c r="M83" s="35"/>
      <c r="N83" s="39"/>
    </row>
    <row r="84" spans="1:14" s="31" customFormat="1" ht="21.75" thickBot="1" x14ac:dyDescent="0.25">
      <c r="A84" s="41">
        <v>86</v>
      </c>
      <c r="B84" s="39"/>
      <c r="C84" s="40" t="e">
        <v>#N/A</v>
      </c>
      <c r="D84" s="39" t="e">
        <v>#N/A</v>
      </c>
      <c r="E84" s="39" t="e">
        <f t="shared" si="4"/>
        <v>#N/A</v>
      </c>
      <c r="F84" s="82"/>
      <c r="H84" s="38" t="str">
        <f>IF(OR(ISNUMBER(SEARCH("albertson",C84)), ISNUMBER(SEARCH("jewel",C84)), ISNUMBER(SEARCH("safeway",C84)), ISNUMBER(SEARCH("sysco",C84)), ISNUMBER(SEARCH("united supermarkets",C84))),"X","")</f>
        <v/>
      </c>
      <c r="I84" s="37">
        <v>0</v>
      </c>
      <c r="J84" s="36">
        <v>0</v>
      </c>
      <c r="K84" s="79">
        <f t="shared" si="5"/>
        <v>0</v>
      </c>
      <c r="L84" s="79">
        <f t="shared" si="6"/>
        <v>0</v>
      </c>
      <c r="M84" s="35"/>
      <c r="N84" s="39"/>
    </row>
    <row r="85" spans="1:14" s="31" customFormat="1" ht="21.75" thickBot="1" x14ac:dyDescent="0.25">
      <c r="A85" s="41">
        <v>87</v>
      </c>
      <c r="B85" s="39"/>
      <c r="C85" s="40" t="e">
        <v>#N/A</v>
      </c>
      <c r="D85" s="39" t="e">
        <v>#N/A</v>
      </c>
      <c r="E85" s="39" t="e">
        <f t="shared" si="4"/>
        <v>#N/A</v>
      </c>
      <c r="F85" s="82"/>
      <c r="H85" s="38" t="str">
        <f>IF(OR(ISNUMBER(SEARCH("albertson",C85)), ISNUMBER(SEARCH("jewel",C85)), ISNUMBER(SEARCH("safeway",C85)), ISNUMBER(SEARCH("sysco",C85)), ISNUMBER(SEARCH("united supermarkets",C85))),"X","")</f>
        <v/>
      </c>
      <c r="I85" s="37">
        <v>0</v>
      </c>
      <c r="J85" s="36">
        <v>0</v>
      </c>
      <c r="K85" s="79">
        <f t="shared" si="5"/>
        <v>0</v>
      </c>
      <c r="L85" s="79">
        <f t="shared" si="6"/>
        <v>0</v>
      </c>
      <c r="M85" s="35"/>
      <c r="N85" s="39"/>
    </row>
    <row r="86" spans="1:14" s="31" customFormat="1" ht="21.75" thickBot="1" x14ac:dyDescent="0.25">
      <c r="A86" s="41">
        <v>88</v>
      </c>
      <c r="B86" s="39"/>
      <c r="C86" s="40" t="e">
        <v>#N/A</v>
      </c>
      <c r="D86" s="39" t="e">
        <v>#N/A</v>
      </c>
      <c r="E86" s="39" t="e">
        <f t="shared" si="4"/>
        <v>#N/A</v>
      </c>
      <c r="F86" s="82"/>
      <c r="H86" s="38" t="str">
        <f>IF(OR(ISNUMBER(SEARCH("albertson",C86)), ISNUMBER(SEARCH("jewel",C86)), ISNUMBER(SEARCH("safeway",C86)), ISNUMBER(SEARCH("sysco",C86)), ISNUMBER(SEARCH("united supermarkets",C86))),"X","")</f>
        <v/>
      </c>
      <c r="I86" s="37">
        <v>0</v>
      </c>
      <c r="J86" s="36">
        <v>0</v>
      </c>
      <c r="K86" s="79">
        <f t="shared" si="5"/>
        <v>0</v>
      </c>
      <c r="L86" s="79">
        <f t="shared" si="6"/>
        <v>0</v>
      </c>
      <c r="M86" s="35"/>
      <c r="N86" s="39"/>
    </row>
    <row r="87" spans="1:14" s="31" customFormat="1" ht="21.75" thickBot="1" x14ac:dyDescent="0.25">
      <c r="A87" s="41">
        <v>89</v>
      </c>
      <c r="B87" s="39"/>
      <c r="C87" s="40" t="e">
        <v>#N/A</v>
      </c>
      <c r="D87" s="39" t="e">
        <v>#N/A</v>
      </c>
      <c r="E87" s="39" t="e">
        <f t="shared" si="4"/>
        <v>#N/A</v>
      </c>
      <c r="F87" s="82"/>
      <c r="H87" s="38" t="str">
        <f>IF(OR(ISNUMBER(SEARCH("albertson",C87)), ISNUMBER(SEARCH("jewel",C87)), ISNUMBER(SEARCH("safeway",C87)), ISNUMBER(SEARCH("sysco",C87)), ISNUMBER(SEARCH("united supermarkets",C87))),"X","")</f>
        <v/>
      </c>
      <c r="I87" s="37">
        <v>0</v>
      </c>
      <c r="J87" s="36">
        <v>0</v>
      </c>
      <c r="K87" s="79">
        <f t="shared" si="5"/>
        <v>0</v>
      </c>
      <c r="L87" s="79">
        <f t="shared" si="6"/>
        <v>0</v>
      </c>
      <c r="M87" s="35"/>
      <c r="N87" s="39"/>
    </row>
    <row r="88" spans="1:14" s="31" customFormat="1" ht="21.75" thickBot="1" x14ac:dyDescent="0.25">
      <c r="A88" s="41">
        <v>90</v>
      </c>
      <c r="B88" s="39"/>
      <c r="C88" s="40" t="e">
        <v>#N/A</v>
      </c>
      <c r="D88" s="39" t="e">
        <v>#N/A</v>
      </c>
      <c r="E88" s="39" t="e">
        <f t="shared" si="4"/>
        <v>#N/A</v>
      </c>
      <c r="F88" s="82"/>
      <c r="H88" s="38" t="str">
        <f>IF(OR(ISNUMBER(SEARCH("albertson",C88)), ISNUMBER(SEARCH("jewel",C88)), ISNUMBER(SEARCH("safeway",C88)), ISNUMBER(SEARCH("sysco",C88)), ISNUMBER(SEARCH("united supermarkets",C88))),"X","")</f>
        <v/>
      </c>
      <c r="I88" s="37">
        <v>0</v>
      </c>
      <c r="J88" s="36">
        <v>0</v>
      </c>
      <c r="K88" s="79">
        <f t="shared" si="5"/>
        <v>0</v>
      </c>
      <c r="L88" s="79">
        <f t="shared" si="6"/>
        <v>0</v>
      </c>
      <c r="M88" s="35"/>
      <c r="N88" s="39"/>
    </row>
    <row r="89" spans="1:14" s="31" customFormat="1" ht="21.75" thickBot="1" x14ac:dyDescent="0.25">
      <c r="A89" s="41">
        <v>91</v>
      </c>
      <c r="B89" s="39"/>
      <c r="C89" s="40" t="e">
        <v>#N/A</v>
      </c>
      <c r="D89" s="39" t="e">
        <v>#N/A</v>
      </c>
      <c r="E89" s="39" t="e">
        <f t="shared" si="4"/>
        <v>#N/A</v>
      </c>
      <c r="F89" s="82"/>
      <c r="H89" s="38" t="str">
        <f>IF(OR(ISNUMBER(SEARCH("albertson",C89)), ISNUMBER(SEARCH("jewel",C89)), ISNUMBER(SEARCH("safeway",C89)), ISNUMBER(SEARCH("sysco",C89)), ISNUMBER(SEARCH("united supermarkets",C89))),"X","")</f>
        <v/>
      </c>
      <c r="I89" s="37">
        <v>0</v>
      </c>
      <c r="J89" s="36">
        <v>0</v>
      </c>
      <c r="K89" s="79">
        <f t="shared" si="5"/>
        <v>0</v>
      </c>
      <c r="L89" s="79">
        <f t="shared" si="6"/>
        <v>0</v>
      </c>
      <c r="M89" s="35"/>
      <c r="N89" s="39"/>
    </row>
    <row r="90" spans="1:14" s="31" customFormat="1" ht="21.75" thickBot="1" x14ac:dyDescent="0.25">
      <c r="A90" s="41">
        <v>92</v>
      </c>
      <c r="B90" s="39"/>
      <c r="C90" s="40" t="e">
        <v>#N/A</v>
      </c>
      <c r="D90" s="39" t="e">
        <v>#N/A</v>
      </c>
      <c r="E90" s="39" t="e">
        <f t="shared" si="4"/>
        <v>#N/A</v>
      </c>
      <c r="F90" s="82"/>
      <c r="H90" s="38" t="str">
        <f>IF(OR(ISNUMBER(SEARCH("albertson",C90)), ISNUMBER(SEARCH("jewel",C90)), ISNUMBER(SEARCH("safeway",C90)), ISNUMBER(SEARCH("sysco",C90)), ISNUMBER(SEARCH("united supermarkets",C90))),"X","")</f>
        <v/>
      </c>
      <c r="I90" s="37">
        <v>0</v>
      </c>
      <c r="J90" s="36">
        <v>0</v>
      </c>
      <c r="K90" s="79">
        <f t="shared" si="5"/>
        <v>0</v>
      </c>
      <c r="L90" s="79">
        <f t="shared" si="6"/>
        <v>0</v>
      </c>
      <c r="M90" s="35"/>
      <c r="N90" s="39"/>
    </row>
    <row r="91" spans="1:14" s="31" customFormat="1" ht="21.75" thickBot="1" x14ac:dyDescent="0.25">
      <c r="A91" s="41">
        <v>93</v>
      </c>
      <c r="B91" s="39"/>
      <c r="C91" s="40" t="e">
        <v>#N/A</v>
      </c>
      <c r="D91" s="39" t="e">
        <v>#N/A</v>
      </c>
      <c r="E91" s="39" t="e">
        <f t="shared" si="4"/>
        <v>#N/A</v>
      </c>
      <c r="F91" s="82"/>
      <c r="H91" s="38" t="str">
        <f>IF(OR(ISNUMBER(SEARCH("albertson",C91)), ISNUMBER(SEARCH("jewel",C91)), ISNUMBER(SEARCH("safeway",C91)), ISNUMBER(SEARCH("sysco",C91)), ISNUMBER(SEARCH("united supermarkets",C91))),"X","")</f>
        <v/>
      </c>
      <c r="I91" s="37">
        <v>0</v>
      </c>
      <c r="J91" s="36">
        <v>0</v>
      </c>
      <c r="K91" s="79">
        <f t="shared" si="5"/>
        <v>0</v>
      </c>
      <c r="L91" s="79">
        <f t="shared" si="6"/>
        <v>0</v>
      </c>
      <c r="M91" s="35"/>
      <c r="N91" s="39"/>
    </row>
    <row r="92" spans="1:14" s="31" customFormat="1" ht="21.75" thickBot="1" x14ac:dyDescent="0.25">
      <c r="A92" s="41">
        <v>94</v>
      </c>
      <c r="B92" s="39"/>
      <c r="C92" s="40" t="e">
        <v>#N/A</v>
      </c>
      <c r="D92" s="39" t="e">
        <v>#N/A</v>
      </c>
      <c r="E92" s="39" t="e">
        <f t="shared" si="4"/>
        <v>#N/A</v>
      </c>
      <c r="F92" s="82"/>
      <c r="H92" s="38" t="str">
        <f>IF(OR(ISNUMBER(SEARCH("albertson",C92)), ISNUMBER(SEARCH("jewel",C92)), ISNUMBER(SEARCH("safeway",C92)), ISNUMBER(SEARCH("sysco",C92)), ISNUMBER(SEARCH("united supermarkets",C92))),"X","")</f>
        <v/>
      </c>
      <c r="I92" s="37">
        <v>0</v>
      </c>
      <c r="J92" s="36">
        <v>0</v>
      </c>
      <c r="K92" s="79">
        <f t="shared" si="5"/>
        <v>0</v>
      </c>
      <c r="L92" s="79">
        <f t="shared" si="6"/>
        <v>0</v>
      </c>
      <c r="M92" s="35"/>
      <c r="N92" s="39"/>
    </row>
    <row r="93" spans="1:14" s="31" customFormat="1" ht="21.75" thickBot="1" x14ac:dyDescent="0.25">
      <c r="A93" s="41">
        <v>95</v>
      </c>
      <c r="B93" s="39"/>
      <c r="C93" s="40" t="e">
        <v>#N/A</v>
      </c>
      <c r="D93" s="39" t="e">
        <v>#N/A</v>
      </c>
      <c r="E93" s="39" t="e">
        <f t="shared" si="4"/>
        <v>#N/A</v>
      </c>
      <c r="F93" s="82"/>
      <c r="H93" s="38" t="str">
        <f>IF(OR(ISNUMBER(SEARCH("albertson",C93)), ISNUMBER(SEARCH("jewel",C93)), ISNUMBER(SEARCH("safeway",C93)), ISNUMBER(SEARCH("sysco",C93)), ISNUMBER(SEARCH("united supermarkets",C93))),"X","")</f>
        <v/>
      </c>
      <c r="I93" s="37">
        <v>0</v>
      </c>
      <c r="J93" s="36">
        <v>0</v>
      </c>
      <c r="K93" s="79">
        <f t="shared" si="5"/>
        <v>0</v>
      </c>
      <c r="L93" s="79">
        <f t="shared" si="6"/>
        <v>0</v>
      </c>
      <c r="M93" s="35"/>
      <c r="N93" s="39"/>
    </row>
    <row r="94" spans="1:14" s="31" customFormat="1" ht="21.75" thickBot="1" x14ac:dyDescent="0.25">
      <c r="A94" s="41">
        <v>96</v>
      </c>
      <c r="B94" s="39"/>
      <c r="C94" s="40" t="e">
        <v>#N/A</v>
      </c>
      <c r="D94" s="39" t="e">
        <v>#N/A</v>
      </c>
      <c r="E94" s="39" t="e">
        <f t="shared" ref="E94:E123" si="7">TRIM(SUBSTITUTE(SUBSTITUTE(D3, "drop", ""), "trailer", ""))</f>
        <v>#N/A</v>
      </c>
      <c r="F94" s="82"/>
      <c r="H94" s="38" t="str">
        <f>IF(OR(ISNUMBER(SEARCH("albertson",C94)), ISNUMBER(SEARCH("jewel",C94)), ISNUMBER(SEARCH("safeway",C94)), ISNUMBER(SEARCH("sysco",C94)), ISNUMBER(SEARCH("united supermarkets",C94))),"X","")</f>
        <v/>
      </c>
      <c r="I94" s="37">
        <v>0</v>
      </c>
      <c r="J94" s="36">
        <v>0</v>
      </c>
      <c r="K94" s="79">
        <f t="shared" si="5"/>
        <v>0</v>
      </c>
      <c r="L94" s="79">
        <f t="shared" si="6"/>
        <v>0</v>
      </c>
      <c r="M94" s="35"/>
      <c r="N94" s="39"/>
    </row>
    <row r="95" spans="1:14" s="31" customFormat="1" ht="21.75" thickBot="1" x14ac:dyDescent="0.25">
      <c r="A95" s="41">
        <v>97</v>
      </c>
      <c r="B95" s="39"/>
      <c r="C95" s="40" t="e">
        <v>#N/A</v>
      </c>
      <c r="D95" s="39" t="e">
        <v>#N/A</v>
      </c>
      <c r="E95" s="39" t="e">
        <f t="shared" si="7"/>
        <v>#N/A</v>
      </c>
      <c r="F95" s="82"/>
      <c r="H95" s="38" t="str">
        <f>IF(OR(ISNUMBER(SEARCH("albertson",C95)), ISNUMBER(SEARCH("jewel",C95)), ISNUMBER(SEARCH("safeway",C95)), ISNUMBER(SEARCH("sysco",C95)), ISNUMBER(SEARCH("united supermarkets",C95))),"X","")</f>
        <v/>
      </c>
      <c r="I95" s="37">
        <v>0</v>
      </c>
      <c r="J95" s="36">
        <v>0</v>
      </c>
      <c r="K95" s="79">
        <f t="shared" si="5"/>
        <v>0</v>
      </c>
      <c r="L95" s="79">
        <f t="shared" si="6"/>
        <v>0</v>
      </c>
      <c r="M95" s="35"/>
      <c r="N95" s="39"/>
    </row>
    <row r="96" spans="1:14" s="31" customFormat="1" ht="21.75" thickBot="1" x14ac:dyDescent="0.25">
      <c r="A96" s="41">
        <v>98</v>
      </c>
      <c r="B96" s="39"/>
      <c r="C96" s="40" t="e">
        <v>#N/A</v>
      </c>
      <c r="D96" s="39" t="e">
        <v>#N/A</v>
      </c>
      <c r="E96" s="39" t="e">
        <f t="shared" si="7"/>
        <v>#N/A</v>
      </c>
      <c r="F96" s="82"/>
      <c r="H96" s="38" t="str">
        <f>IF(OR(ISNUMBER(SEARCH("albertson",C96)), ISNUMBER(SEARCH("jewel",C96)), ISNUMBER(SEARCH("safeway",C96)), ISNUMBER(SEARCH("sysco",C96)), ISNUMBER(SEARCH("united supermarkets",C96))),"X","")</f>
        <v/>
      </c>
      <c r="I96" s="37">
        <v>0</v>
      </c>
      <c r="J96" s="36">
        <v>0</v>
      </c>
      <c r="K96" s="79">
        <f t="shared" si="5"/>
        <v>0</v>
      </c>
      <c r="L96" s="79">
        <f t="shared" si="6"/>
        <v>0</v>
      </c>
      <c r="M96" s="35"/>
      <c r="N96" s="39"/>
    </row>
    <row r="97" spans="1:14" s="31" customFormat="1" ht="21.75" thickBot="1" x14ac:dyDescent="0.25">
      <c r="A97" s="41">
        <v>99</v>
      </c>
      <c r="B97" s="39"/>
      <c r="C97" s="40" t="e">
        <v>#N/A</v>
      </c>
      <c r="D97" s="39" t="e">
        <v>#N/A</v>
      </c>
      <c r="E97" s="39" t="e">
        <f t="shared" si="7"/>
        <v>#N/A</v>
      </c>
      <c r="F97" s="82"/>
      <c r="H97" s="38" t="str">
        <f>IF(OR(ISNUMBER(SEARCH("albertson",C97)), ISNUMBER(SEARCH("jewel",C97)), ISNUMBER(SEARCH("safeway",C97)), ISNUMBER(SEARCH("sysco",C97)), ISNUMBER(SEARCH("united supermarkets",C97))),"X","")</f>
        <v/>
      </c>
      <c r="I97" s="37">
        <v>0</v>
      </c>
      <c r="J97" s="36">
        <v>0</v>
      </c>
      <c r="K97" s="79">
        <f t="shared" si="5"/>
        <v>0</v>
      </c>
      <c r="L97" s="79">
        <f t="shared" si="6"/>
        <v>0</v>
      </c>
      <c r="M97" s="35"/>
      <c r="N97" s="39"/>
    </row>
    <row r="98" spans="1:14" s="31" customFormat="1" ht="21.75" thickBot="1" x14ac:dyDescent="0.25">
      <c r="A98" s="41">
        <v>100</v>
      </c>
      <c r="B98" s="39"/>
      <c r="C98" s="40" t="e">
        <v>#N/A</v>
      </c>
      <c r="D98" s="39" t="e">
        <v>#N/A</v>
      </c>
      <c r="E98" s="39" t="e">
        <f t="shared" si="7"/>
        <v>#N/A</v>
      </c>
      <c r="F98" s="82"/>
      <c r="H98" s="38" t="str">
        <f>IF(OR(ISNUMBER(SEARCH("albertson",C98)), ISNUMBER(SEARCH("jewel",C98)), ISNUMBER(SEARCH("safeway",C98)), ISNUMBER(SEARCH("sysco",C98)), ISNUMBER(SEARCH("united supermarkets",C98))),"X","")</f>
        <v/>
      </c>
      <c r="I98" s="37">
        <v>0</v>
      </c>
      <c r="J98" s="36">
        <v>0</v>
      </c>
      <c r="K98" s="79">
        <f t="shared" si="5"/>
        <v>0</v>
      </c>
      <c r="L98" s="79">
        <f t="shared" si="6"/>
        <v>0</v>
      </c>
      <c r="M98" s="35"/>
      <c r="N98" s="39"/>
    </row>
    <row r="99" spans="1:14" s="31" customFormat="1" ht="21.75" thickBot="1" x14ac:dyDescent="0.25">
      <c r="A99" s="41">
        <v>101</v>
      </c>
      <c r="B99" s="39"/>
      <c r="C99" s="40" t="e">
        <v>#N/A</v>
      </c>
      <c r="D99" s="39" t="e">
        <v>#N/A</v>
      </c>
      <c r="E99" s="39" t="e">
        <f t="shared" si="7"/>
        <v>#N/A</v>
      </c>
      <c r="F99" s="82"/>
      <c r="H99" s="38" t="str">
        <f t="shared" ref="H99:H123" si="8">IF(OR(ISNUMBER(SEARCH("albertson",C99)), ISNUMBER(SEARCH("jewel",C99)), ISNUMBER(SEARCH("safeway",C99)), ISNUMBER(SEARCH("sysco",C99)), ISNUMBER(SEARCH("united supermarkets",C99))),"X","")</f>
        <v/>
      </c>
      <c r="I99" s="37">
        <v>0</v>
      </c>
      <c r="J99" s="36">
        <v>0</v>
      </c>
      <c r="K99" s="79">
        <f t="shared" si="5"/>
        <v>0</v>
      </c>
      <c r="L99" s="79">
        <f t="shared" si="6"/>
        <v>0</v>
      </c>
      <c r="M99" s="35"/>
      <c r="N99" s="39"/>
    </row>
    <row r="100" spans="1:14" s="31" customFormat="1" ht="21.75" thickBot="1" x14ac:dyDescent="0.25">
      <c r="A100" s="41">
        <v>102</v>
      </c>
      <c r="B100" s="39"/>
      <c r="C100" s="40" t="e">
        <v>#N/A</v>
      </c>
      <c r="D100" s="39" t="e">
        <v>#N/A</v>
      </c>
      <c r="E100" s="39" t="e">
        <f t="shared" si="7"/>
        <v>#N/A</v>
      </c>
      <c r="F100" s="82"/>
      <c r="H100" s="38" t="str">
        <f t="shared" si="8"/>
        <v/>
      </c>
      <c r="I100" s="37">
        <v>0</v>
      </c>
      <c r="J100" s="36">
        <v>0</v>
      </c>
      <c r="K100" s="79">
        <f t="shared" si="5"/>
        <v>0</v>
      </c>
      <c r="L100" s="79">
        <f t="shared" si="6"/>
        <v>0</v>
      </c>
      <c r="M100" s="35"/>
      <c r="N100" s="39"/>
    </row>
    <row r="101" spans="1:14" s="31" customFormat="1" ht="21.75" thickBot="1" x14ac:dyDescent="0.25">
      <c r="A101" s="41">
        <v>103</v>
      </c>
      <c r="B101" s="39"/>
      <c r="C101" s="40" t="e">
        <v>#N/A</v>
      </c>
      <c r="D101" s="39" t="e">
        <v>#N/A</v>
      </c>
      <c r="E101" s="39" t="e">
        <f t="shared" si="7"/>
        <v>#N/A</v>
      </c>
      <c r="F101" s="82"/>
      <c r="H101" s="38" t="str">
        <f t="shared" si="8"/>
        <v/>
      </c>
      <c r="I101" s="37">
        <v>0</v>
      </c>
      <c r="J101" s="36">
        <v>0</v>
      </c>
      <c r="K101" s="79">
        <f t="shared" si="5"/>
        <v>0</v>
      </c>
      <c r="L101" s="79">
        <f t="shared" si="6"/>
        <v>0</v>
      </c>
      <c r="M101" s="35"/>
      <c r="N101" s="39"/>
    </row>
    <row r="102" spans="1:14" s="31" customFormat="1" ht="21.75" thickBot="1" x14ac:dyDescent="0.25">
      <c r="A102" s="41">
        <v>104</v>
      </c>
      <c r="B102" s="39"/>
      <c r="C102" s="40" t="e">
        <v>#N/A</v>
      </c>
      <c r="D102" s="39" t="e">
        <v>#N/A</v>
      </c>
      <c r="E102" s="39" t="e">
        <f t="shared" si="7"/>
        <v>#N/A</v>
      </c>
      <c r="F102" s="82"/>
      <c r="H102" s="38" t="str">
        <f t="shared" si="8"/>
        <v/>
      </c>
      <c r="I102" s="37">
        <v>0</v>
      </c>
      <c r="J102" s="36">
        <v>0</v>
      </c>
      <c r="K102" s="79">
        <f t="shared" si="5"/>
        <v>0</v>
      </c>
      <c r="L102" s="79">
        <f t="shared" si="6"/>
        <v>0</v>
      </c>
      <c r="M102" s="35"/>
      <c r="N102" s="39"/>
    </row>
    <row r="103" spans="1:14" s="31" customFormat="1" ht="21.75" thickBot="1" x14ac:dyDescent="0.25">
      <c r="A103" s="41">
        <v>105</v>
      </c>
      <c r="B103" s="39"/>
      <c r="C103" s="40" t="e">
        <v>#N/A</v>
      </c>
      <c r="D103" s="39" t="e">
        <v>#N/A</v>
      </c>
      <c r="E103" s="39" t="e">
        <f t="shared" si="7"/>
        <v>#N/A</v>
      </c>
      <c r="F103" s="82"/>
      <c r="H103" s="38" t="str">
        <f t="shared" si="8"/>
        <v/>
      </c>
      <c r="I103" s="37">
        <v>0</v>
      </c>
      <c r="J103" s="36">
        <v>0</v>
      </c>
      <c r="K103" s="79">
        <f t="shared" si="5"/>
        <v>0</v>
      </c>
      <c r="L103" s="79">
        <f t="shared" si="6"/>
        <v>0</v>
      </c>
      <c r="M103" s="35"/>
      <c r="N103" s="39"/>
    </row>
    <row r="104" spans="1:14" s="31" customFormat="1" ht="21.75" thickBot="1" x14ac:dyDescent="0.25">
      <c r="A104" s="41">
        <v>106</v>
      </c>
      <c r="B104" s="39"/>
      <c r="C104" s="40" t="e">
        <v>#N/A</v>
      </c>
      <c r="D104" s="39" t="e">
        <v>#N/A</v>
      </c>
      <c r="E104" s="39" t="e">
        <f t="shared" si="7"/>
        <v>#N/A</v>
      </c>
      <c r="F104" s="82"/>
      <c r="H104" s="38" t="str">
        <f t="shared" si="8"/>
        <v/>
      </c>
      <c r="I104" s="37">
        <v>0</v>
      </c>
      <c r="J104" s="36">
        <v>0</v>
      </c>
      <c r="K104" s="79">
        <f t="shared" si="5"/>
        <v>0</v>
      </c>
      <c r="L104" s="79">
        <f t="shared" si="6"/>
        <v>0</v>
      </c>
      <c r="M104" s="35"/>
      <c r="N104" s="39"/>
    </row>
    <row r="105" spans="1:14" s="31" customFormat="1" ht="21.75" thickBot="1" x14ac:dyDescent="0.25">
      <c r="A105" s="41">
        <v>107</v>
      </c>
      <c r="B105" s="39"/>
      <c r="C105" s="40" t="e">
        <v>#N/A</v>
      </c>
      <c r="D105" s="39" t="e">
        <v>#N/A</v>
      </c>
      <c r="E105" s="39" t="e">
        <f t="shared" si="7"/>
        <v>#N/A</v>
      </c>
      <c r="F105" s="82"/>
      <c r="H105" s="38" t="str">
        <f t="shared" si="8"/>
        <v/>
      </c>
      <c r="I105" s="37">
        <v>0</v>
      </c>
      <c r="J105" s="36">
        <v>0</v>
      </c>
      <c r="K105" s="79">
        <f t="shared" si="5"/>
        <v>0</v>
      </c>
      <c r="L105" s="79">
        <f t="shared" si="6"/>
        <v>0</v>
      </c>
      <c r="M105" s="35"/>
      <c r="N105" s="39"/>
    </row>
    <row r="106" spans="1:14" s="31" customFormat="1" ht="21.75" thickBot="1" x14ac:dyDescent="0.25">
      <c r="A106" s="41">
        <v>108</v>
      </c>
      <c r="B106" s="39"/>
      <c r="C106" s="40" t="e">
        <v>#N/A</v>
      </c>
      <c r="D106" s="39" t="e">
        <v>#N/A</v>
      </c>
      <c r="E106" s="39" t="e">
        <f t="shared" si="7"/>
        <v>#N/A</v>
      </c>
      <c r="F106" s="82"/>
      <c r="H106" s="38" t="str">
        <f t="shared" si="8"/>
        <v/>
      </c>
      <c r="I106" s="37">
        <v>0</v>
      </c>
      <c r="J106" s="36">
        <v>0</v>
      </c>
      <c r="K106" s="79">
        <f t="shared" si="5"/>
        <v>0</v>
      </c>
      <c r="L106" s="79">
        <f t="shared" si="6"/>
        <v>0</v>
      </c>
      <c r="M106" s="35"/>
      <c r="N106" s="39"/>
    </row>
    <row r="107" spans="1:14" s="31" customFormat="1" ht="21.75" thickBot="1" x14ac:dyDescent="0.25">
      <c r="A107" s="41">
        <v>109</v>
      </c>
      <c r="B107" s="39"/>
      <c r="C107" s="40" t="e">
        <v>#N/A</v>
      </c>
      <c r="D107" s="39" t="e">
        <v>#N/A</v>
      </c>
      <c r="E107" s="39" t="e">
        <f t="shared" si="7"/>
        <v>#N/A</v>
      </c>
      <c r="F107" s="82"/>
      <c r="H107" s="38" t="str">
        <f t="shared" si="8"/>
        <v/>
      </c>
      <c r="I107" s="37">
        <v>0</v>
      </c>
      <c r="J107" s="36">
        <v>0</v>
      </c>
      <c r="K107" s="79">
        <f t="shared" si="5"/>
        <v>0</v>
      </c>
      <c r="L107" s="79">
        <f t="shared" si="6"/>
        <v>0</v>
      </c>
      <c r="M107" s="35"/>
      <c r="N107" s="39"/>
    </row>
    <row r="108" spans="1:14" s="31" customFormat="1" ht="21.75" thickBot="1" x14ac:dyDescent="0.25">
      <c r="A108" s="41">
        <v>110</v>
      </c>
      <c r="B108" s="39"/>
      <c r="C108" s="40" t="e">
        <v>#N/A</v>
      </c>
      <c r="D108" s="39" t="e">
        <v>#N/A</v>
      </c>
      <c r="E108" s="39" t="e">
        <f t="shared" si="7"/>
        <v>#N/A</v>
      </c>
      <c r="F108" s="82"/>
      <c r="H108" s="38" t="str">
        <f t="shared" si="8"/>
        <v/>
      </c>
      <c r="I108" s="37">
        <v>0</v>
      </c>
      <c r="J108" s="36">
        <v>0</v>
      </c>
      <c r="K108" s="79">
        <f t="shared" si="5"/>
        <v>0</v>
      </c>
      <c r="L108" s="79">
        <f t="shared" si="6"/>
        <v>0</v>
      </c>
      <c r="M108" s="35"/>
      <c r="N108" s="39"/>
    </row>
    <row r="109" spans="1:14" s="31" customFormat="1" ht="21.75" thickBot="1" x14ac:dyDescent="0.25">
      <c r="A109" s="41">
        <v>111</v>
      </c>
      <c r="B109" s="39"/>
      <c r="C109" s="40" t="e">
        <v>#N/A</v>
      </c>
      <c r="D109" s="39" t="e">
        <v>#N/A</v>
      </c>
      <c r="E109" s="39" t="e">
        <f t="shared" si="7"/>
        <v>#N/A</v>
      </c>
      <c r="F109" s="82"/>
      <c r="H109" s="38" t="str">
        <f t="shared" si="8"/>
        <v/>
      </c>
      <c r="I109" s="37">
        <v>0</v>
      </c>
      <c r="J109" s="36">
        <v>0</v>
      </c>
      <c r="K109" s="79">
        <f t="shared" si="5"/>
        <v>0</v>
      </c>
      <c r="L109" s="79">
        <f t="shared" si="6"/>
        <v>0</v>
      </c>
      <c r="M109" s="35"/>
      <c r="N109" s="39"/>
    </row>
    <row r="110" spans="1:14" s="31" customFormat="1" ht="21.75" thickBot="1" x14ac:dyDescent="0.25">
      <c r="A110" s="41">
        <v>112</v>
      </c>
      <c r="B110" s="39"/>
      <c r="C110" s="40" t="e">
        <v>#N/A</v>
      </c>
      <c r="D110" s="39" t="e">
        <v>#N/A</v>
      </c>
      <c r="E110" s="39" t="e">
        <f t="shared" si="7"/>
        <v>#N/A</v>
      </c>
      <c r="F110" s="82"/>
      <c r="H110" s="38" t="str">
        <f t="shared" si="8"/>
        <v/>
      </c>
      <c r="I110" s="37">
        <v>0</v>
      </c>
      <c r="J110" s="36">
        <v>0</v>
      </c>
      <c r="K110" s="79">
        <f t="shared" si="5"/>
        <v>0</v>
      </c>
      <c r="L110" s="79">
        <f t="shared" si="6"/>
        <v>0</v>
      </c>
      <c r="M110" s="35"/>
      <c r="N110" s="39"/>
    </row>
    <row r="111" spans="1:14" s="31" customFormat="1" ht="21.75" thickBot="1" x14ac:dyDescent="0.25">
      <c r="A111" s="41">
        <v>113</v>
      </c>
      <c r="B111" s="39"/>
      <c r="C111" s="40" t="e">
        <v>#N/A</v>
      </c>
      <c r="D111" s="39" t="e">
        <v>#N/A</v>
      </c>
      <c r="E111" s="39" t="e">
        <f t="shared" si="7"/>
        <v>#N/A</v>
      </c>
      <c r="F111" s="82"/>
      <c r="H111" s="38" t="str">
        <f t="shared" si="8"/>
        <v/>
      </c>
      <c r="I111" s="37">
        <v>0</v>
      </c>
      <c r="J111" s="36">
        <v>0</v>
      </c>
      <c r="K111" s="79">
        <f t="shared" si="5"/>
        <v>0</v>
      </c>
      <c r="L111" s="79">
        <f t="shared" si="6"/>
        <v>0</v>
      </c>
      <c r="M111" s="35"/>
      <c r="N111" s="39"/>
    </row>
    <row r="112" spans="1:14" s="31" customFormat="1" ht="21.75" thickBot="1" x14ac:dyDescent="0.25">
      <c r="A112" s="41">
        <v>114</v>
      </c>
      <c r="B112" s="39"/>
      <c r="C112" s="40" t="e">
        <v>#N/A</v>
      </c>
      <c r="D112" s="39" t="e">
        <v>#N/A</v>
      </c>
      <c r="E112" s="39" t="e">
        <f t="shared" si="7"/>
        <v>#N/A</v>
      </c>
      <c r="F112" s="82"/>
      <c r="H112" s="38" t="str">
        <f t="shared" si="8"/>
        <v/>
      </c>
      <c r="I112" s="37">
        <v>0</v>
      </c>
      <c r="J112" s="36">
        <v>0</v>
      </c>
      <c r="K112" s="79">
        <f t="shared" si="5"/>
        <v>0</v>
      </c>
      <c r="L112" s="79">
        <f t="shared" si="6"/>
        <v>0</v>
      </c>
      <c r="M112" s="35"/>
      <c r="N112" s="39"/>
    </row>
    <row r="113" spans="1:14" s="31" customFormat="1" ht="21.75" thickBot="1" x14ac:dyDescent="0.25">
      <c r="A113" s="41">
        <v>115</v>
      </c>
      <c r="B113" s="39"/>
      <c r="C113" s="40" t="e">
        <v>#N/A</v>
      </c>
      <c r="D113" s="39" t="e">
        <v>#N/A</v>
      </c>
      <c r="E113" s="39" t="e">
        <f t="shared" si="7"/>
        <v>#N/A</v>
      </c>
      <c r="F113" s="82"/>
      <c r="H113" s="38" t="str">
        <f t="shared" si="8"/>
        <v/>
      </c>
      <c r="I113" s="37">
        <v>0</v>
      </c>
      <c r="J113" s="36">
        <v>0</v>
      </c>
      <c r="K113" s="79">
        <f t="shared" si="5"/>
        <v>0</v>
      </c>
      <c r="L113" s="79">
        <f t="shared" si="6"/>
        <v>0</v>
      </c>
      <c r="M113" s="35"/>
      <c r="N113" s="39"/>
    </row>
    <row r="114" spans="1:14" s="31" customFormat="1" ht="21.75" thickBot="1" x14ac:dyDescent="0.25">
      <c r="A114" s="41">
        <v>116</v>
      </c>
      <c r="B114" s="39"/>
      <c r="C114" s="40" t="e">
        <v>#N/A</v>
      </c>
      <c r="D114" s="39" t="e">
        <v>#N/A</v>
      </c>
      <c r="E114" s="39" t="e">
        <f t="shared" si="7"/>
        <v>#N/A</v>
      </c>
      <c r="F114" s="82"/>
      <c r="H114" s="38" t="str">
        <f t="shared" si="8"/>
        <v/>
      </c>
      <c r="I114" s="37">
        <v>0</v>
      </c>
      <c r="J114" s="36">
        <v>0</v>
      </c>
      <c r="K114" s="79">
        <f t="shared" si="5"/>
        <v>0</v>
      </c>
      <c r="L114" s="79">
        <f t="shared" si="6"/>
        <v>0</v>
      </c>
      <c r="M114" s="35"/>
      <c r="N114" s="39"/>
    </row>
    <row r="115" spans="1:14" s="31" customFormat="1" ht="21.75" thickBot="1" x14ac:dyDescent="0.25">
      <c r="A115" s="41">
        <v>117</v>
      </c>
      <c r="B115" s="39"/>
      <c r="C115" s="40" t="e">
        <v>#N/A</v>
      </c>
      <c r="D115" s="39" t="e">
        <v>#N/A</v>
      </c>
      <c r="E115" s="39" t="e">
        <f t="shared" si="7"/>
        <v>#N/A</v>
      </c>
      <c r="F115" s="82"/>
      <c r="H115" s="38" t="str">
        <f t="shared" si="8"/>
        <v/>
      </c>
      <c r="I115" s="37">
        <v>0</v>
      </c>
      <c r="J115" s="36">
        <v>0</v>
      </c>
      <c r="K115" s="79">
        <f t="shared" si="5"/>
        <v>0</v>
      </c>
      <c r="L115" s="79">
        <f t="shared" si="6"/>
        <v>0</v>
      </c>
      <c r="M115" s="35"/>
      <c r="N115" s="39"/>
    </row>
    <row r="116" spans="1:14" s="31" customFormat="1" ht="21.75" thickBot="1" x14ac:dyDescent="0.25">
      <c r="A116" s="41">
        <v>118</v>
      </c>
      <c r="B116" s="39"/>
      <c r="C116" s="40" t="e">
        <v>#N/A</v>
      </c>
      <c r="D116" s="39" t="e">
        <v>#N/A</v>
      </c>
      <c r="E116" s="39" t="e">
        <f t="shared" si="7"/>
        <v>#N/A</v>
      </c>
      <c r="F116" s="82"/>
      <c r="H116" s="38" t="str">
        <f t="shared" si="8"/>
        <v/>
      </c>
      <c r="I116" s="37">
        <v>0</v>
      </c>
      <c r="J116" s="36">
        <v>0</v>
      </c>
      <c r="K116" s="79">
        <f t="shared" si="5"/>
        <v>0</v>
      </c>
      <c r="L116" s="79">
        <f t="shared" si="6"/>
        <v>0</v>
      </c>
      <c r="M116" s="35"/>
      <c r="N116" s="39"/>
    </row>
    <row r="117" spans="1:14" s="31" customFormat="1" ht="21.75" thickBot="1" x14ac:dyDescent="0.25">
      <c r="A117" s="41">
        <v>119</v>
      </c>
      <c r="B117" s="39"/>
      <c r="C117" s="40" t="e">
        <v>#N/A</v>
      </c>
      <c r="D117" s="39" t="e">
        <v>#N/A</v>
      </c>
      <c r="E117" s="39" t="e">
        <f t="shared" si="7"/>
        <v>#N/A</v>
      </c>
      <c r="F117" s="82"/>
      <c r="H117" s="38" t="str">
        <f t="shared" si="8"/>
        <v/>
      </c>
      <c r="I117" s="37">
        <v>0</v>
      </c>
      <c r="J117" s="36">
        <v>0</v>
      </c>
      <c r="K117" s="79">
        <f t="shared" si="5"/>
        <v>0</v>
      </c>
      <c r="L117" s="79">
        <f t="shared" si="6"/>
        <v>0</v>
      </c>
      <c r="M117" s="35"/>
      <c r="N117" s="39"/>
    </row>
    <row r="118" spans="1:14" s="31" customFormat="1" ht="21.75" thickBot="1" x14ac:dyDescent="0.25">
      <c r="A118" s="41">
        <v>120</v>
      </c>
      <c r="B118" s="39"/>
      <c r="C118" s="40" t="e">
        <v>#N/A</v>
      </c>
      <c r="D118" s="39" t="e">
        <v>#N/A</v>
      </c>
      <c r="E118" s="39" t="e">
        <f t="shared" si="7"/>
        <v>#N/A</v>
      </c>
      <c r="F118" s="82"/>
      <c r="H118" s="38" t="str">
        <f t="shared" si="8"/>
        <v/>
      </c>
      <c r="I118" s="37">
        <v>0</v>
      </c>
      <c r="J118" s="36">
        <v>0</v>
      </c>
      <c r="K118" s="79">
        <f t="shared" si="5"/>
        <v>0</v>
      </c>
      <c r="L118" s="79">
        <f t="shared" si="6"/>
        <v>0</v>
      </c>
      <c r="M118" s="35"/>
      <c r="N118" s="39"/>
    </row>
    <row r="119" spans="1:14" s="31" customFormat="1" ht="21.75" thickBot="1" x14ac:dyDescent="0.25">
      <c r="A119" s="41">
        <v>121</v>
      </c>
      <c r="B119" s="39"/>
      <c r="C119" s="40" t="e">
        <v>#N/A</v>
      </c>
      <c r="D119" s="39" t="e">
        <v>#N/A</v>
      </c>
      <c r="E119" s="39" t="e">
        <f t="shared" si="7"/>
        <v>#N/A</v>
      </c>
      <c r="F119" s="82"/>
      <c r="H119" s="38" t="str">
        <f t="shared" si="8"/>
        <v/>
      </c>
      <c r="I119" s="37">
        <v>0</v>
      </c>
      <c r="J119" s="36">
        <v>0</v>
      </c>
      <c r="K119" s="79">
        <f t="shared" si="5"/>
        <v>0</v>
      </c>
      <c r="L119" s="79">
        <f t="shared" si="6"/>
        <v>0</v>
      </c>
      <c r="M119" s="35"/>
      <c r="N119" s="39"/>
    </row>
    <row r="120" spans="1:14" s="31" customFormat="1" ht="21.75" thickBot="1" x14ac:dyDescent="0.25">
      <c r="A120" s="41">
        <v>122</v>
      </c>
      <c r="B120" s="39"/>
      <c r="C120" s="40" t="e">
        <v>#N/A</v>
      </c>
      <c r="D120" s="39" t="e">
        <v>#N/A</v>
      </c>
      <c r="E120" s="39" t="e">
        <f t="shared" si="7"/>
        <v>#N/A</v>
      </c>
      <c r="F120" s="82"/>
      <c r="H120" s="38" t="str">
        <f t="shared" si="8"/>
        <v/>
      </c>
      <c r="I120" s="37">
        <v>0</v>
      </c>
      <c r="J120" s="36">
        <v>0</v>
      </c>
      <c r="K120" s="79">
        <f t="shared" si="5"/>
        <v>0</v>
      </c>
      <c r="L120" s="79">
        <f t="shared" si="6"/>
        <v>0</v>
      </c>
      <c r="M120" s="35"/>
      <c r="N120" s="39"/>
    </row>
    <row r="121" spans="1:14" s="31" customFormat="1" ht="21.75" thickBot="1" x14ac:dyDescent="0.25">
      <c r="A121" s="41">
        <v>123</v>
      </c>
      <c r="B121" s="39"/>
      <c r="C121" s="40" t="e">
        <v>#N/A</v>
      </c>
      <c r="D121" s="39" t="e">
        <v>#N/A</v>
      </c>
      <c r="E121" s="39" t="e">
        <f t="shared" si="7"/>
        <v>#N/A</v>
      </c>
      <c r="F121" s="82"/>
      <c r="H121" s="38" t="str">
        <f t="shared" si="8"/>
        <v/>
      </c>
      <c r="I121" s="37">
        <v>0</v>
      </c>
      <c r="J121" s="36">
        <v>0</v>
      </c>
      <c r="K121" s="79">
        <f t="shared" si="5"/>
        <v>0</v>
      </c>
      <c r="L121" s="79">
        <f t="shared" si="6"/>
        <v>0</v>
      </c>
      <c r="M121" s="35"/>
      <c r="N121" s="39"/>
    </row>
    <row r="122" spans="1:14" s="31" customFormat="1" ht="21.75" thickBot="1" x14ac:dyDescent="0.25">
      <c r="A122" s="41">
        <v>124</v>
      </c>
      <c r="B122" s="39"/>
      <c r="C122" s="40" t="e">
        <v>#N/A</v>
      </c>
      <c r="D122" s="39" t="e">
        <v>#N/A</v>
      </c>
      <c r="E122" s="39" t="e">
        <f t="shared" si="7"/>
        <v>#N/A</v>
      </c>
      <c r="F122" s="82"/>
      <c r="H122" s="38" t="str">
        <f t="shared" si="8"/>
        <v/>
      </c>
      <c r="I122" s="37">
        <v>0</v>
      </c>
      <c r="J122" s="36">
        <v>0</v>
      </c>
      <c r="K122" s="79">
        <f t="shared" si="5"/>
        <v>0</v>
      </c>
      <c r="L122" s="79">
        <f t="shared" si="6"/>
        <v>0</v>
      </c>
      <c r="M122" s="35"/>
      <c r="N122" s="39"/>
    </row>
    <row r="123" spans="1:14" s="31" customFormat="1" ht="21.75" thickBot="1" x14ac:dyDescent="0.25">
      <c r="A123" s="41">
        <v>125</v>
      </c>
      <c r="B123" s="39"/>
      <c r="C123" s="40" t="e">
        <v>#N/A</v>
      </c>
      <c r="D123" s="39" t="e">
        <v>#N/A</v>
      </c>
      <c r="E123" s="39" t="e">
        <f t="shared" si="7"/>
        <v>#N/A</v>
      </c>
      <c r="F123" s="82"/>
      <c r="H123" s="38" t="str">
        <f t="shared" si="8"/>
        <v/>
      </c>
      <c r="I123" s="37">
        <v>0</v>
      </c>
      <c r="J123" s="36">
        <v>0</v>
      </c>
      <c r="K123" s="79">
        <f t="shared" si="5"/>
        <v>0</v>
      </c>
      <c r="L123" s="79">
        <f t="shared" si="6"/>
        <v>0</v>
      </c>
      <c r="M123" s="35"/>
      <c r="N123" s="39"/>
    </row>
    <row r="124" spans="1:14" s="31" customFormat="1" x14ac:dyDescent="0.25">
      <c r="C124" s="34"/>
      <c r="I124" s="33"/>
      <c r="K124" s="33"/>
      <c r="L124" s="33"/>
      <c r="M124" s="32"/>
    </row>
    <row r="125" spans="1:14" s="31" customFormat="1" x14ac:dyDescent="0.25">
      <c r="C125" s="34"/>
      <c r="I125" s="33"/>
      <c r="K125" s="33"/>
      <c r="L125" s="33"/>
      <c r="M125" s="32"/>
    </row>
    <row r="126" spans="1:14" s="31" customFormat="1" x14ac:dyDescent="0.25">
      <c r="C126" s="34"/>
      <c r="I126" s="33"/>
      <c r="K126" s="33"/>
      <c r="L126" s="33"/>
      <c r="M126" s="32"/>
    </row>
    <row r="127" spans="1:14" s="31" customFormat="1" x14ac:dyDescent="0.25">
      <c r="C127" s="34"/>
      <c r="I127" s="33"/>
      <c r="K127" s="33"/>
      <c r="L127" s="33"/>
      <c r="M127" s="32"/>
    </row>
    <row r="128" spans="1:14" s="31" customFormat="1" x14ac:dyDescent="0.25">
      <c r="C128" s="34"/>
      <c r="I128" s="33"/>
      <c r="K128" s="33"/>
      <c r="L128" s="33"/>
      <c r="M128" s="32"/>
    </row>
    <row r="129" spans="3:13" s="31" customFormat="1" x14ac:dyDescent="0.25">
      <c r="C129" s="34"/>
      <c r="I129" s="33"/>
      <c r="K129" s="33"/>
      <c r="L129" s="33"/>
      <c r="M129" s="32"/>
    </row>
    <row r="130" spans="3:13" s="31" customFormat="1" x14ac:dyDescent="0.25">
      <c r="C130" s="34"/>
      <c r="I130" s="33"/>
      <c r="K130" s="33"/>
      <c r="L130" s="33"/>
      <c r="M130" s="32"/>
    </row>
    <row r="131" spans="3:13" s="31" customFormat="1" x14ac:dyDescent="0.25">
      <c r="C131" s="34"/>
      <c r="I131" s="33"/>
      <c r="K131" s="33"/>
      <c r="L131" s="33"/>
      <c r="M131" s="32"/>
    </row>
    <row r="132" spans="3:13" s="31" customFormat="1" x14ac:dyDescent="0.25">
      <c r="C132" s="34"/>
      <c r="I132" s="33"/>
      <c r="K132" s="33"/>
      <c r="L132" s="33"/>
      <c r="M132" s="32"/>
    </row>
    <row r="133" spans="3:13" s="31" customFormat="1" x14ac:dyDescent="0.25">
      <c r="C133" s="34"/>
      <c r="I133" s="33"/>
      <c r="K133" s="33"/>
      <c r="L133" s="33"/>
      <c r="M133" s="32"/>
    </row>
    <row r="134" spans="3:13" s="31" customFormat="1" x14ac:dyDescent="0.25">
      <c r="C134" s="34"/>
      <c r="I134" s="33"/>
      <c r="K134" s="33"/>
      <c r="L134" s="33"/>
      <c r="M134" s="32"/>
    </row>
    <row r="135" spans="3:13" s="31" customFormat="1" x14ac:dyDescent="0.25">
      <c r="C135" s="34"/>
      <c r="I135" s="33"/>
      <c r="K135" s="33"/>
      <c r="L135" s="33"/>
      <c r="M135" s="32"/>
    </row>
    <row r="136" spans="3:13" s="31" customFormat="1" x14ac:dyDescent="0.25">
      <c r="C136" s="34"/>
      <c r="I136" s="33"/>
      <c r="K136" s="33"/>
      <c r="L136" s="33"/>
      <c r="M136" s="32"/>
    </row>
    <row r="137" spans="3:13" s="31" customFormat="1" x14ac:dyDescent="0.25">
      <c r="C137" s="34"/>
      <c r="I137" s="33"/>
      <c r="K137" s="33"/>
      <c r="L137" s="33"/>
      <c r="M137" s="32"/>
    </row>
    <row r="138" spans="3:13" s="31" customFormat="1" x14ac:dyDescent="0.25">
      <c r="C138" s="34"/>
      <c r="I138" s="33"/>
      <c r="K138" s="33"/>
      <c r="L138" s="33"/>
      <c r="M138" s="32"/>
    </row>
    <row r="139" spans="3:13" s="31" customFormat="1" x14ac:dyDescent="0.25">
      <c r="C139" s="34"/>
      <c r="I139" s="33"/>
      <c r="K139" s="33"/>
      <c r="L139" s="33"/>
      <c r="M139" s="32"/>
    </row>
    <row r="140" spans="3:13" s="31" customFormat="1" x14ac:dyDescent="0.25">
      <c r="C140" s="34"/>
      <c r="I140" s="33"/>
      <c r="K140" s="33"/>
      <c r="L140" s="33"/>
      <c r="M140" s="32"/>
    </row>
    <row r="141" spans="3:13" s="31" customFormat="1" x14ac:dyDescent="0.25">
      <c r="C141" s="34"/>
      <c r="I141" s="33"/>
      <c r="K141" s="33"/>
      <c r="L141" s="33"/>
      <c r="M141" s="32"/>
    </row>
    <row r="142" spans="3:13" s="31" customFormat="1" x14ac:dyDescent="0.25">
      <c r="C142" s="34"/>
      <c r="I142" s="33"/>
      <c r="K142" s="33"/>
      <c r="L142" s="33"/>
      <c r="M142" s="32"/>
    </row>
    <row r="143" spans="3:13" s="31" customFormat="1" x14ac:dyDescent="0.25">
      <c r="C143" s="34"/>
      <c r="I143" s="33"/>
      <c r="K143" s="33"/>
      <c r="L143" s="33"/>
      <c r="M143" s="32"/>
    </row>
    <row r="144" spans="3:13" s="31" customFormat="1" x14ac:dyDescent="0.25">
      <c r="C144" s="34"/>
      <c r="I144" s="33"/>
      <c r="K144" s="33"/>
      <c r="L144" s="33"/>
      <c r="M144" s="32"/>
    </row>
    <row r="145" spans="3:13" s="31" customFormat="1" x14ac:dyDescent="0.25">
      <c r="C145" s="34"/>
      <c r="I145" s="33"/>
      <c r="K145" s="33"/>
      <c r="L145" s="33"/>
      <c r="M145" s="32"/>
    </row>
    <row r="146" spans="3:13" s="31" customFormat="1" x14ac:dyDescent="0.25">
      <c r="C146" s="34"/>
      <c r="I146" s="33"/>
      <c r="K146" s="33"/>
      <c r="L146" s="33"/>
      <c r="M146" s="32"/>
    </row>
    <row r="147" spans="3:13" s="31" customFormat="1" x14ac:dyDescent="0.25">
      <c r="C147" s="34"/>
      <c r="I147" s="33"/>
      <c r="K147" s="33"/>
      <c r="L147" s="33"/>
      <c r="M147" s="32"/>
    </row>
    <row r="148" spans="3:13" s="31" customFormat="1" x14ac:dyDescent="0.25">
      <c r="C148" s="34"/>
      <c r="I148" s="33"/>
      <c r="K148" s="33"/>
      <c r="L148" s="33"/>
      <c r="M148" s="32"/>
    </row>
    <row r="149" spans="3:13" s="31" customFormat="1" x14ac:dyDescent="0.25">
      <c r="C149" s="34"/>
      <c r="I149" s="33"/>
      <c r="K149" s="33"/>
      <c r="L149" s="33"/>
      <c r="M149" s="32"/>
    </row>
    <row r="150" spans="3:13" s="31" customFormat="1" x14ac:dyDescent="0.25">
      <c r="C150" s="34"/>
      <c r="I150" s="33"/>
      <c r="K150" s="33"/>
      <c r="L150" s="33"/>
      <c r="M150" s="32"/>
    </row>
    <row r="151" spans="3:13" s="31" customFormat="1" x14ac:dyDescent="0.25">
      <c r="C151" s="34"/>
      <c r="I151" s="33"/>
      <c r="K151" s="33"/>
      <c r="L151" s="33"/>
      <c r="M151" s="32"/>
    </row>
    <row r="152" spans="3:13" s="31" customFormat="1" x14ac:dyDescent="0.25">
      <c r="C152" s="34"/>
      <c r="I152" s="33"/>
      <c r="K152" s="33"/>
      <c r="L152" s="33"/>
      <c r="M152" s="32"/>
    </row>
    <row r="153" spans="3:13" s="31" customFormat="1" x14ac:dyDescent="0.25">
      <c r="C153" s="34"/>
      <c r="I153" s="33"/>
      <c r="K153" s="33"/>
      <c r="L153" s="33"/>
      <c r="M153" s="32"/>
    </row>
    <row r="154" spans="3:13" s="31" customFormat="1" x14ac:dyDescent="0.25">
      <c r="C154" s="34"/>
      <c r="I154" s="33"/>
      <c r="K154" s="33"/>
      <c r="L154" s="33"/>
      <c r="M154" s="32"/>
    </row>
    <row r="155" spans="3:13" s="31" customFormat="1" x14ac:dyDescent="0.25">
      <c r="C155" s="34"/>
      <c r="I155" s="33"/>
      <c r="K155" s="33"/>
      <c r="L155" s="33"/>
      <c r="M155" s="32"/>
    </row>
    <row r="156" spans="3:13" s="31" customFormat="1" x14ac:dyDescent="0.25">
      <c r="C156" s="34"/>
      <c r="I156" s="33"/>
      <c r="K156" s="33"/>
      <c r="L156" s="33"/>
      <c r="M156" s="32"/>
    </row>
    <row r="157" spans="3:13" s="31" customFormat="1" x14ac:dyDescent="0.25">
      <c r="C157" s="34"/>
      <c r="I157" s="33"/>
      <c r="K157" s="33"/>
      <c r="L157" s="33"/>
      <c r="M157" s="32"/>
    </row>
    <row r="158" spans="3:13" s="31" customFormat="1" x14ac:dyDescent="0.25">
      <c r="C158" s="34"/>
      <c r="I158" s="33"/>
      <c r="K158" s="33"/>
      <c r="L158" s="33"/>
      <c r="M158" s="32"/>
    </row>
    <row r="159" spans="3:13" s="31" customFormat="1" x14ac:dyDescent="0.25">
      <c r="C159" s="34"/>
      <c r="I159" s="33"/>
      <c r="K159" s="33"/>
      <c r="L159" s="33"/>
      <c r="M159" s="32"/>
    </row>
    <row r="160" spans="3:13" s="31" customFormat="1" x14ac:dyDescent="0.25">
      <c r="C160" s="34"/>
      <c r="I160" s="33"/>
      <c r="K160" s="33"/>
      <c r="L160" s="33"/>
      <c r="M160" s="32"/>
    </row>
    <row r="161" spans="3:13" s="31" customFormat="1" x14ac:dyDescent="0.25">
      <c r="C161" s="34"/>
      <c r="I161" s="33"/>
      <c r="K161" s="33"/>
      <c r="L161" s="33"/>
      <c r="M161" s="32"/>
    </row>
    <row r="162" spans="3:13" s="31" customFormat="1" x14ac:dyDescent="0.25">
      <c r="C162" s="34"/>
      <c r="I162" s="33"/>
      <c r="K162" s="33"/>
      <c r="L162" s="33"/>
      <c r="M162" s="32"/>
    </row>
    <row r="163" spans="3:13" s="31" customFormat="1" x14ac:dyDescent="0.25">
      <c r="C163" s="34"/>
      <c r="I163" s="33"/>
      <c r="K163" s="33"/>
      <c r="L163" s="33"/>
      <c r="M163" s="32"/>
    </row>
    <row r="164" spans="3:13" s="31" customFormat="1" x14ac:dyDescent="0.25">
      <c r="C164" s="34"/>
      <c r="I164" s="33"/>
      <c r="K164" s="33"/>
      <c r="L164" s="33"/>
      <c r="M164" s="32"/>
    </row>
    <row r="165" spans="3:13" s="31" customFormat="1" x14ac:dyDescent="0.25">
      <c r="C165" s="34"/>
      <c r="I165" s="33"/>
      <c r="K165" s="33"/>
      <c r="L165" s="33"/>
      <c r="M165" s="32"/>
    </row>
    <row r="166" spans="3:13" s="31" customFormat="1" x14ac:dyDescent="0.25">
      <c r="C166" s="34"/>
      <c r="I166" s="33"/>
      <c r="K166" s="33"/>
      <c r="L166" s="33"/>
      <c r="M166" s="32"/>
    </row>
    <row r="167" spans="3:13" s="31" customFormat="1" x14ac:dyDescent="0.25">
      <c r="C167" s="34"/>
      <c r="I167" s="33"/>
      <c r="K167" s="33"/>
      <c r="L167" s="33"/>
      <c r="M167" s="32"/>
    </row>
    <row r="168" spans="3:13" s="31" customFormat="1" x14ac:dyDescent="0.25">
      <c r="C168" s="34"/>
      <c r="I168" s="33"/>
      <c r="K168" s="33"/>
      <c r="L168" s="33"/>
      <c r="M168" s="32"/>
    </row>
    <row r="169" spans="3:13" s="31" customFormat="1" x14ac:dyDescent="0.25">
      <c r="C169" s="34"/>
      <c r="I169" s="33"/>
      <c r="K169" s="33"/>
      <c r="L169" s="33"/>
      <c r="M169" s="32"/>
    </row>
    <row r="170" spans="3:13" s="31" customFormat="1" x14ac:dyDescent="0.25">
      <c r="C170" s="34"/>
      <c r="I170" s="33"/>
      <c r="K170" s="33"/>
      <c r="L170" s="33"/>
      <c r="M170" s="32"/>
    </row>
    <row r="171" spans="3:13" s="31" customFormat="1" x14ac:dyDescent="0.25">
      <c r="C171" s="34"/>
      <c r="I171" s="33"/>
      <c r="K171" s="33"/>
      <c r="L171" s="33"/>
      <c r="M171" s="32"/>
    </row>
    <row r="172" spans="3:13" s="31" customFormat="1" x14ac:dyDescent="0.25">
      <c r="C172" s="34"/>
      <c r="I172" s="33"/>
      <c r="K172" s="33"/>
      <c r="L172" s="33"/>
      <c r="M172" s="32"/>
    </row>
    <row r="173" spans="3:13" s="31" customFormat="1" x14ac:dyDescent="0.25">
      <c r="C173" s="34"/>
      <c r="I173" s="33"/>
      <c r="K173" s="33"/>
      <c r="L173" s="33"/>
      <c r="M173" s="32"/>
    </row>
    <row r="174" spans="3:13" s="31" customFormat="1" x14ac:dyDescent="0.25">
      <c r="C174" s="34"/>
      <c r="I174" s="33"/>
      <c r="K174" s="33"/>
      <c r="L174" s="33"/>
      <c r="M174" s="32"/>
    </row>
    <row r="175" spans="3:13" s="31" customFormat="1" x14ac:dyDescent="0.25">
      <c r="C175" s="34"/>
      <c r="I175" s="33"/>
      <c r="K175" s="33"/>
      <c r="L175" s="33"/>
      <c r="M175" s="32"/>
    </row>
    <row r="176" spans="3:13" s="31" customFormat="1" x14ac:dyDescent="0.25">
      <c r="C176" s="34"/>
      <c r="I176" s="33"/>
      <c r="K176" s="33"/>
      <c r="L176" s="33"/>
      <c r="M176" s="32"/>
    </row>
    <row r="177" spans="3:13" s="31" customFormat="1" x14ac:dyDescent="0.25">
      <c r="C177" s="34"/>
      <c r="I177" s="33"/>
      <c r="K177" s="33"/>
      <c r="L177" s="33"/>
      <c r="M177" s="32"/>
    </row>
    <row r="178" spans="3:13" s="31" customFormat="1" x14ac:dyDescent="0.25">
      <c r="C178" s="34"/>
      <c r="I178" s="33"/>
      <c r="K178" s="33"/>
      <c r="L178" s="33"/>
      <c r="M178" s="32"/>
    </row>
    <row r="179" spans="3:13" s="31" customFormat="1" x14ac:dyDescent="0.25">
      <c r="C179" s="34"/>
      <c r="I179" s="33"/>
      <c r="K179" s="33"/>
      <c r="L179" s="33"/>
      <c r="M179" s="32"/>
    </row>
    <row r="180" spans="3:13" s="31" customFormat="1" x14ac:dyDescent="0.25">
      <c r="C180" s="34"/>
      <c r="I180" s="33"/>
      <c r="K180" s="33"/>
      <c r="L180" s="33"/>
      <c r="M180" s="32"/>
    </row>
    <row r="181" spans="3:13" s="31" customFormat="1" x14ac:dyDescent="0.25">
      <c r="C181" s="34"/>
      <c r="I181" s="33"/>
      <c r="K181" s="33"/>
      <c r="L181" s="33"/>
      <c r="M181" s="32"/>
    </row>
    <row r="182" spans="3:13" s="31" customFormat="1" x14ac:dyDescent="0.25">
      <c r="C182" s="34"/>
      <c r="I182" s="33"/>
      <c r="K182" s="33"/>
      <c r="L182" s="33"/>
      <c r="M182" s="32"/>
    </row>
    <row r="183" spans="3:13" s="31" customFormat="1" x14ac:dyDescent="0.25">
      <c r="C183" s="34"/>
      <c r="I183" s="33"/>
      <c r="K183" s="33"/>
      <c r="L183" s="33"/>
      <c r="M183" s="32"/>
    </row>
    <row r="184" spans="3:13" s="31" customFormat="1" x14ac:dyDescent="0.25">
      <c r="C184" s="34"/>
      <c r="I184" s="33"/>
      <c r="K184" s="33"/>
      <c r="L184" s="33"/>
      <c r="M184" s="32"/>
    </row>
    <row r="185" spans="3:13" s="31" customFormat="1" x14ac:dyDescent="0.25">
      <c r="C185" s="34"/>
      <c r="I185" s="33"/>
      <c r="K185" s="33"/>
      <c r="L185" s="33"/>
      <c r="M185" s="32"/>
    </row>
    <row r="186" spans="3:13" s="31" customFormat="1" x14ac:dyDescent="0.25">
      <c r="C186" s="34"/>
      <c r="I186" s="33"/>
      <c r="K186" s="33"/>
      <c r="L186" s="33"/>
      <c r="M186" s="32"/>
    </row>
    <row r="187" spans="3:13" s="31" customFormat="1" x14ac:dyDescent="0.25">
      <c r="C187" s="34"/>
      <c r="I187" s="33"/>
      <c r="K187" s="33"/>
      <c r="L187" s="33"/>
      <c r="M187" s="32"/>
    </row>
    <row r="188" spans="3:13" s="31" customFormat="1" x14ac:dyDescent="0.25">
      <c r="C188" s="34"/>
      <c r="I188" s="33"/>
      <c r="K188" s="33"/>
      <c r="L188" s="33"/>
      <c r="M188" s="32"/>
    </row>
    <row r="189" spans="3:13" s="31" customFormat="1" x14ac:dyDescent="0.25">
      <c r="C189" s="34"/>
      <c r="I189" s="33"/>
      <c r="K189" s="33"/>
      <c r="L189" s="33"/>
      <c r="M189" s="32"/>
    </row>
    <row r="190" spans="3:13" s="31" customFormat="1" x14ac:dyDescent="0.25">
      <c r="C190" s="34"/>
      <c r="I190" s="33"/>
      <c r="K190" s="33"/>
      <c r="L190" s="33"/>
      <c r="M190" s="32"/>
    </row>
    <row r="191" spans="3:13" s="31" customFormat="1" x14ac:dyDescent="0.25">
      <c r="C191" s="34"/>
      <c r="I191" s="33"/>
      <c r="K191" s="33"/>
      <c r="L191" s="33"/>
      <c r="M191" s="32"/>
    </row>
    <row r="192" spans="3:13" s="31" customFormat="1" x14ac:dyDescent="0.25">
      <c r="C192" s="34"/>
      <c r="I192" s="33"/>
      <c r="K192" s="33"/>
      <c r="L192" s="33"/>
      <c r="M192" s="32"/>
    </row>
    <row r="193" spans="3:13" s="31" customFormat="1" x14ac:dyDescent="0.25">
      <c r="C193" s="34"/>
      <c r="I193" s="33"/>
      <c r="K193" s="33"/>
      <c r="L193" s="33"/>
      <c r="M193" s="32"/>
    </row>
    <row r="194" spans="3:13" s="31" customFormat="1" x14ac:dyDescent="0.25">
      <c r="C194" s="34"/>
      <c r="I194" s="33"/>
      <c r="K194" s="33"/>
      <c r="L194" s="33"/>
      <c r="M194" s="32"/>
    </row>
    <row r="195" spans="3:13" s="31" customFormat="1" x14ac:dyDescent="0.25">
      <c r="C195" s="34"/>
      <c r="I195" s="33"/>
      <c r="K195" s="33"/>
      <c r="L195" s="33"/>
      <c r="M195" s="32"/>
    </row>
    <row r="196" spans="3:13" s="31" customFormat="1" x14ac:dyDescent="0.25">
      <c r="C196" s="34"/>
      <c r="I196" s="33"/>
      <c r="K196" s="33"/>
      <c r="L196" s="33"/>
      <c r="M196" s="32"/>
    </row>
    <row r="197" spans="3:13" s="31" customFormat="1" x14ac:dyDescent="0.25">
      <c r="C197" s="34"/>
      <c r="I197" s="33"/>
      <c r="K197" s="33"/>
      <c r="L197" s="33"/>
      <c r="M197" s="32"/>
    </row>
    <row r="198" spans="3:13" s="31" customFormat="1" x14ac:dyDescent="0.25">
      <c r="C198" s="34"/>
      <c r="I198" s="33"/>
      <c r="K198" s="33"/>
      <c r="L198" s="33"/>
      <c r="M198" s="32"/>
    </row>
    <row r="199" spans="3:13" s="31" customFormat="1" x14ac:dyDescent="0.25">
      <c r="C199" s="34"/>
      <c r="I199" s="33"/>
      <c r="K199" s="33"/>
      <c r="L199" s="33"/>
      <c r="M199" s="32"/>
    </row>
    <row r="200" spans="3:13" s="31" customFormat="1" x14ac:dyDescent="0.25">
      <c r="C200" s="34"/>
      <c r="I200" s="33"/>
      <c r="K200" s="33"/>
      <c r="L200" s="33"/>
      <c r="M200" s="32"/>
    </row>
    <row r="201" spans="3:13" s="31" customFormat="1" x14ac:dyDescent="0.25">
      <c r="C201" s="34"/>
      <c r="I201" s="33"/>
      <c r="K201" s="33"/>
      <c r="L201" s="33"/>
      <c r="M201" s="32"/>
    </row>
    <row r="202" spans="3:13" s="31" customFormat="1" x14ac:dyDescent="0.25">
      <c r="C202" s="34"/>
      <c r="I202" s="33"/>
      <c r="K202" s="33"/>
      <c r="L202" s="33"/>
      <c r="M202" s="32"/>
    </row>
    <row r="203" spans="3:13" s="31" customFormat="1" x14ac:dyDescent="0.25">
      <c r="C203" s="34"/>
      <c r="I203" s="33"/>
      <c r="K203" s="33"/>
      <c r="L203" s="33"/>
      <c r="M203" s="32"/>
    </row>
    <row r="204" spans="3:13" s="31" customFormat="1" x14ac:dyDescent="0.25">
      <c r="C204" s="34"/>
      <c r="I204" s="33"/>
      <c r="K204" s="33"/>
      <c r="L204" s="33"/>
      <c r="M204" s="32"/>
    </row>
    <row r="205" spans="3:13" s="31" customFormat="1" x14ac:dyDescent="0.25">
      <c r="C205" s="34"/>
      <c r="I205" s="33"/>
      <c r="K205" s="33"/>
      <c r="L205" s="33"/>
      <c r="M205" s="32"/>
    </row>
    <row r="206" spans="3:13" s="31" customFormat="1" x14ac:dyDescent="0.25">
      <c r="C206" s="34"/>
      <c r="I206" s="33"/>
      <c r="K206" s="33"/>
      <c r="L206" s="33"/>
      <c r="M206" s="32"/>
    </row>
    <row r="207" spans="3:13" s="31" customFormat="1" x14ac:dyDescent="0.25">
      <c r="C207" s="34"/>
      <c r="I207" s="33"/>
      <c r="K207" s="33"/>
      <c r="L207" s="33"/>
      <c r="M207" s="32"/>
    </row>
    <row r="208" spans="3:13" s="31" customFormat="1" x14ac:dyDescent="0.25">
      <c r="C208" s="34"/>
      <c r="I208" s="33"/>
      <c r="K208" s="33"/>
      <c r="L208" s="33"/>
      <c r="M208" s="32"/>
    </row>
    <row r="209" spans="3:13" s="31" customFormat="1" x14ac:dyDescent="0.25">
      <c r="C209" s="34"/>
      <c r="I209" s="33"/>
      <c r="K209" s="33"/>
      <c r="L209" s="33"/>
      <c r="M209" s="32"/>
    </row>
    <row r="210" spans="3:13" s="31" customFormat="1" x14ac:dyDescent="0.25">
      <c r="C210" s="34"/>
      <c r="I210" s="33"/>
      <c r="K210" s="33"/>
      <c r="L210" s="33"/>
      <c r="M210" s="32"/>
    </row>
    <row r="211" spans="3:13" s="31" customFormat="1" x14ac:dyDescent="0.25">
      <c r="C211" s="34"/>
      <c r="I211" s="33"/>
      <c r="K211" s="33"/>
      <c r="L211" s="33"/>
      <c r="M211" s="32"/>
    </row>
    <row r="212" spans="3:13" s="31" customFormat="1" x14ac:dyDescent="0.25">
      <c r="C212" s="34"/>
      <c r="I212" s="33"/>
      <c r="K212" s="33"/>
      <c r="L212" s="33"/>
      <c r="M212" s="32"/>
    </row>
    <row r="213" spans="3:13" s="31" customFormat="1" x14ac:dyDescent="0.25">
      <c r="C213" s="34"/>
      <c r="I213" s="33"/>
      <c r="K213" s="33"/>
      <c r="L213" s="33"/>
      <c r="M213" s="32"/>
    </row>
    <row r="214" spans="3:13" s="31" customFormat="1" x14ac:dyDescent="0.25">
      <c r="C214" s="34"/>
      <c r="I214" s="33"/>
      <c r="K214" s="33"/>
      <c r="L214" s="33"/>
      <c r="M214" s="32"/>
    </row>
    <row r="215" spans="3:13" s="31" customFormat="1" x14ac:dyDescent="0.25">
      <c r="C215" s="34"/>
      <c r="I215" s="33"/>
      <c r="K215" s="33"/>
      <c r="L215" s="33"/>
      <c r="M215" s="32"/>
    </row>
    <row r="216" spans="3:13" s="31" customFormat="1" x14ac:dyDescent="0.25">
      <c r="C216" s="34"/>
      <c r="I216" s="33"/>
      <c r="K216" s="33"/>
      <c r="L216" s="33"/>
      <c r="M216" s="32"/>
    </row>
    <row r="217" spans="3:13" s="31" customFormat="1" x14ac:dyDescent="0.25">
      <c r="C217" s="34"/>
      <c r="I217" s="33"/>
      <c r="K217" s="33"/>
      <c r="L217" s="33"/>
      <c r="M217" s="32"/>
    </row>
    <row r="218" spans="3:13" s="31" customFormat="1" x14ac:dyDescent="0.25">
      <c r="C218" s="34"/>
      <c r="I218" s="33"/>
      <c r="K218" s="33"/>
      <c r="L218" s="33"/>
      <c r="M218" s="32"/>
    </row>
    <row r="219" spans="3:13" s="31" customFormat="1" x14ac:dyDescent="0.25">
      <c r="C219" s="34"/>
      <c r="I219" s="33"/>
      <c r="K219" s="33"/>
      <c r="L219" s="33"/>
      <c r="M219" s="32"/>
    </row>
    <row r="220" spans="3:13" s="31" customFormat="1" x14ac:dyDescent="0.25">
      <c r="C220" s="34"/>
      <c r="I220" s="33"/>
      <c r="K220" s="33"/>
      <c r="L220" s="33"/>
      <c r="M220" s="32"/>
    </row>
    <row r="221" spans="3:13" s="31" customFormat="1" x14ac:dyDescent="0.25">
      <c r="C221" s="34"/>
      <c r="I221" s="33"/>
      <c r="K221" s="33"/>
      <c r="L221" s="33"/>
      <c r="M221" s="32"/>
    </row>
    <row r="222" spans="3:13" s="31" customFormat="1" x14ac:dyDescent="0.25">
      <c r="C222" s="34"/>
      <c r="I222" s="33"/>
      <c r="K222" s="33"/>
      <c r="L222" s="33"/>
      <c r="M222" s="32"/>
    </row>
    <row r="223" spans="3:13" s="31" customFormat="1" x14ac:dyDescent="0.25">
      <c r="C223" s="34"/>
      <c r="I223" s="33"/>
      <c r="K223" s="33"/>
      <c r="L223" s="33"/>
      <c r="M223" s="32"/>
    </row>
    <row r="224" spans="3:13" s="31" customFormat="1" x14ac:dyDescent="0.25">
      <c r="C224" s="34"/>
      <c r="I224" s="33"/>
      <c r="K224" s="33"/>
      <c r="L224" s="33"/>
      <c r="M224" s="32"/>
    </row>
    <row r="225" spans="3:13" s="31" customFormat="1" x14ac:dyDescent="0.25">
      <c r="C225" s="34"/>
      <c r="I225" s="33"/>
      <c r="K225" s="33"/>
      <c r="L225" s="33"/>
      <c r="M225" s="32"/>
    </row>
    <row r="226" spans="3:13" s="31" customFormat="1" x14ac:dyDescent="0.25">
      <c r="C226" s="34"/>
      <c r="I226" s="33"/>
      <c r="K226" s="33"/>
      <c r="L226" s="33"/>
      <c r="M226" s="32"/>
    </row>
    <row r="227" spans="3:13" s="31" customFormat="1" x14ac:dyDescent="0.25">
      <c r="C227" s="34"/>
      <c r="I227" s="33"/>
      <c r="K227" s="33"/>
      <c r="L227" s="33"/>
      <c r="M227" s="32"/>
    </row>
    <row r="228" spans="3:13" s="31" customFormat="1" x14ac:dyDescent="0.25">
      <c r="C228" s="34"/>
      <c r="I228" s="33"/>
      <c r="K228" s="33"/>
      <c r="L228" s="33"/>
      <c r="M228" s="32"/>
    </row>
    <row r="229" spans="3:13" s="31" customFormat="1" x14ac:dyDescent="0.25">
      <c r="C229" s="34"/>
      <c r="I229" s="33"/>
      <c r="K229" s="33"/>
      <c r="L229" s="33"/>
      <c r="M229" s="32"/>
    </row>
    <row r="230" spans="3:13" s="31" customFormat="1" x14ac:dyDescent="0.25">
      <c r="C230" s="34"/>
      <c r="I230" s="33"/>
      <c r="K230" s="33"/>
      <c r="L230" s="33"/>
      <c r="M230" s="32"/>
    </row>
    <row r="231" spans="3:13" s="31" customFormat="1" x14ac:dyDescent="0.25">
      <c r="C231" s="34"/>
      <c r="I231" s="33"/>
      <c r="K231" s="33"/>
      <c r="L231" s="33"/>
      <c r="M231" s="32"/>
    </row>
    <row r="232" spans="3:13" s="31" customFormat="1" x14ac:dyDescent="0.25">
      <c r="C232" s="34"/>
      <c r="I232" s="33"/>
      <c r="K232" s="33"/>
      <c r="L232" s="33"/>
      <c r="M232" s="32"/>
    </row>
    <row r="233" spans="3:13" s="31" customFormat="1" x14ac:dyDescent="0.25">
      <c r="C233" s="34"/>
      <c r="I233" s="33"/>
      <c r="K233" s="33"/>
      <c r="L233" s="33"/>
      <c r="M233" s="32"/>
    </row>
    <row r="234" spans="3:13" s="31" customFormat="1" x14ac:dyDescent="0.25">
      <c r="C234" s="34"/>
      <c r="I234" s="33"/>
      <c r="K234" s="33"/>
      <c r="L234" s="33"/>
      <c r="M234" s="32"/>
    </row>
    <row r="235" spans="3:13" s="31" customFormat="1" x14ac:dyDescent="0.25">
      <c r="C235" s="34"/>
      <c r="I235" s="33"/>
      <c r="K235" s="33"/>
      <c r="L235" s="33"/>
      <c r="M235" s="32"/>
    </row>
    <row r="236" spans="3:13" s="31" customFormat="1" x14ac:dyDescent="0.25">
      <c r="C236" s="34"/>
      <c r="I236" s="33"/>
      <c r="K236" s="33"/>
      <c r="L236" s="33"/>
      <c r="M236" s="32"/>
    </row>
    <row r="237" spans="3:13" s="31" customFormat="1" x14ac:dyDescent="0.25">
      <c r="C237" s="34"/>
      <c r="I237" s="33"/>
      <c r="K237" s="33"/>
      <c r="L237" s="33"/>
      <c r="M237" s="32"/>
    </row>
    <row r="238" spans="3:13" s="31" customFormat="1" x14ac:dyDescent="0.25">
      <c r="C238" s="34"/>
      <c r="I238" s="33"/>
      <c r="K238" s="33"/>
      <c r="L238" s="33"/>
      <c r="M238" s="32"/>
    </row>
    <row r="239" spans="3:13" s="31" customFormat="1" x14ac:dyDescent="0.25">
      <c r="C239" s="34"/>
      <c r="I239" s="33"/>
      <c r="K239" s="33"/>
      <c r="L239" s="33"/>
      <c r="M239" s="32"/>
    </row>
    <row r="240" spans="3:13" s="31" customFormat="1" x14ac:dyDescent="0.25">
      <c r="C240" s="34"/>
      <c r="I240" s="33"/>
      <c r="K240" s="33"/>
      <c r="L240" s="33"/>
      <c r="M240" s="32"/>
    </row>
  </sheetData>
  <sheetProtection selectLockedCells="1" sort="0"/>
  <mergeCells count="1">
    <mergeCell ref="E1:F1"/>
  </mergeCells>
  <conditionalFormatting sqref="B2:B121 B124:B65536">
    <cfRule type="expression" dxfId="63" priority="60" stopIfTrue="1">
      <formula>AND(COUNTIF($B$1:$B$121, B2)+COUNTIF($B$123:$B$65536, B2)&gt;1,NOT(ISBLANK(B2)))</formula>
    </cfRule>
  </conditionalFormatting>
  <conditionalFormatting sqref="B16:B17">
    <cfRule type="duplicateValues" dxfId="62" priority="57" stopIfTrue="1"/>
  </conditionalFormatting>
  <conditionalFormatting sqref="B18:B19">
    <cfRule type="duplicateValues" dxfId="61" priority="59" stopIfTrue="1"/>
  </conditionalFormatting>
  <conditionalFormatting sqref="B20">
    <cfRule type="duplicateValues" dxfId="60" priority="54" stopIfTrue="1"/>
  </conditionalFormatting>
  <conditionalFormatting sqref="B21:B22">
    <cfRule type="duplicateValues" dxfId="59" priority="53" stopIfTrue="1"/>
  </conditionalFormatting>
  <conditionalFormatting sqref="B23:B27">
    <cfRule type="duplicateValues" dxfId="58" priority="58" stopIfTrue="1"/>
  </conditionalFormatting>
  <conditionalFormatting sqref="B28">
    <cfRule type="duplicateValues" dxfId="57" priority="52" stopIfTrue="1"/>
  </conditionalFormatting>
  <conditionalFormatting sqref="B29:B31">
    <cfRule type="duplicateValues" dxfId="56" priority="51" stopIfTrue="1"/>
  </conditionalFormatting>
  <conditionalFormatting sqref="B32:B33">
    <cfRule type="duplicateValues" dxfId="55" priority="50" stopIfTrue="1"/>
  </conditionalFormatting>
  <conditionalFormatting sqref="B34:B37">
    <cfRule type="duplicateValues" dxfId="54" priority="55" stopIfTrue="1"/>
  </conditionalFormatting>
  <conditionalFormatting sqref="B39">
    <cfRule type="duplicateValues" dxfId="53" priority="49" stopIfTrue="1"/>
  </conditionalFormatting>
  <conditionalFormatting sqref="B40:B41">
    <cfRule type="duplicateValues" dxfId="52" priority="61" stopIfTrue="1"/>
  </conditionalFormatting>
  <conditionalFormatting sqref="B42:B43">
    <cfRule type="duplicateValues" dxfId="51" priority="48" stopIfTrue="1"/>
  </conditionalFormatting>
  <conditionalFormatting sqref="B44">
    <cfRule type="duplicateValues" dxfId="50" priority="56" stopIfTrue="1"/>
  </conditionalFormatting>
  <conditionalFormatting sqref="B45">
    <cfRule type="duplicateValues" dxfId="49" priority="47" stopIfTrue="1"/>
  </conditionalFormatting>
  <conditionalFormatting sqref="B46">
    <cfRule type="duplicateValues" dxfId="48" priority="46" stopIfTrue="1"/>
  </conditionalFormatting>
  <conditionalFormatting sqref="B47">
    <cfRule type="duplicateValues" dxfId="47" priority="62" stopIfTrue="1"/>
  </conditionalFormatting>
  <conditionalFormatting sqref="B48">
    <cfRule type="duplicateValues" dxfId="46" priority="45" stopIfTrue="1"/>
  </conditionalFormatting>
  <conditionalFormatting sqref="B49">
    <cfRule type="duplicateValues" dxfId="45" priority="44" stopIfTrue="1"/>
  </conditionalFormatting>
  <conditionalFormatting sqref="B50">
    <cfRule type="duplicateValues" dxfId="44" priority="43" stopIfTrue="1"/>
  </conditionalFormatting>
  <conditionalFormatting sqref="B51">
    <cfRule type="duplicateValues" dxfId="43" priority="42" stopIfTrue="1"/>
  </conditionalFormatting>
  <conditionalFormatting sqref="B52">
    <cfRule type="duplicateValues" dxfId="42" priority="41" stopIfTrue="1"/>
  </conditionalFormatting>
  <conditionalFormatting sqref="B53">
    <cfRule type="duplicateValues" dxfId="41" priority="40" stopIfTrue="1"/>
  </conditionalFormatting>
  <conditionalFormatting sqref="B54:B56">
    <cfRule type="duplicateValues" dxfId="40" priority="39" stopIfTrue="1"/>
  </conditionalFormatting>
  <conditionalFormatting sqref="B57:B58">
    <cfRule type="duplicateValues" dxfId="39" priority="38" stopIfTrue="1"/>
  </conditionalFormatting>
  <conditionalFormatting sqref="B60">
    <cfRule type="duplicateValues" dxfId="38" priority="37" stopIfTrue="1"/>
  </conditionalFormatting>
  <conditionalFormatting sqref="B61">
    <cfRule type="duplicateValues" dxfId="37" priority="36" stopIfTrue="1"/>
  </conditionalFormatting>
  <conditionalFormatting sqref="B62">
    <cfRule type="duplicateValues" dxfId="36" priority="35" stopIfTrue="1"/>
  </conditionalFormatting>
  <conditionalFormatting sqref="B66">
    <cfRule type="duplicateValues" dxfId="35" priority="34" stopIfTrue="1"/>
  </conditionalFormatting>
  <conditionalFormatting sqref="B67">
    <cfRule type="duplicateValues" dxfId="34" priority="33" stopIfTrue="1"/>
  </conditionalFormatting>
  <conditionalFormatting sqref="B122:B123">
    <cfRule type="duplicateValues" dxfId="33" priority="32" stopIfTrue="1"/>
  </conditionalFormatting>
  <conditionalFormatting sqref="C1:C65536">
    <cfRule type="containsText" dxfId="32" priority="1" stopIfTrue="1" operator="containsText" text="Sysco">
      <formula>NOT(ISERROR(SEARCH("Sysco",C1)))</formula>
    </cfRule>
    <cfRule type="containsText" dxfId="31" priority="2" stopIfTrue="1" operator="containsText" text="Jewel">
      <formula>NOT(ISERROR(SEARCH("Jewel",C1)))</formula>
    </cfRule>
    <cfRule type="containsText" dxfId="30" priority="3" stopIfTrue="1" operator="containsText" text="United Supermarkets">
      <formula>NOT(ISERROR(SEARCH("United Supermarkets",C1)))</formula>
    </cfRule>
    <cfRule type="containsText" dxfId="29" priority="4" stopIfTrue="1" operator="containsText" text="Albertsons">
      <formula>NOT(ISERROR(SEARCH("Albertsons",C1)))</formula>
    </cfRule>
    <cfRule type="containsText" dxfId="28" priority="5" stopIfTrue="1" operator="containsText" text="Safeway">
      <formula>NOT(ISERROR(SEARCH("Safeway",C1)))</formula>
    </cfRule>
    <cfRule type="containsText" dxfId="27" priority="6" stopIfTrue="1" operator="containsText" text="Target">
      <formula>NOT(ISERROR(SEARCH("Target",C1)))</formula>
    </cfRule>
    <cfRule type="containsText" dxfId="26" priority="7" stopIfTrue="1" operator="containsText" text="WALMART MISSISSAUGA">
      <formula>NOT(ISERROR(SEARCH("WALMART MISSISSAUGA",C1)))</formula>
    </cfRule>
    <cfRule type="containsText" dxfId="25" priority="8" stopIfTrue="1" operator="containsText" text="WALMART MONCTON">
      <formula>NOT(ISERROR(SEARCH("WALMART MONCTON",C1)))</formula>
    </cfRule>
    <cfRule type="containsText" dxfId="24" priority="9" stopIfTrue="1" operator="containsText" text="COSTCO STBRUNO">
      <formula>NOT(ISERROR(SEARCH("COSTCO STBRUNO",C1)))</formula>
    </cfRule>
    <cfRule type="containsText" dxfId="23" priority="10" stopIfTrue="1" operator="containsText" text="Loblaws">
      <formula>NOT(ISERROR(SEARCH("Loblaws",C1)))</formula>
    </cfRule>
    <cfRule type="containsText" dxfId="22" priority="11" stopIfTrue="1" operator="containsText" text="Varennes">
      <formula>NOT(ISERROR(SEARCH("Varennes",C1)))</formula>
    </cfRule>
    <cfRule type="containsText" dxfId="21" priority="12" stopIfTrue="1" operator="containsText" text="Toronto">
      <formula>NOT(ISERROR(SEARCH("Toronto",C1)))</formula>
    </cfRule>
    <cfRule type="containsText" dxfId="20" priority="13" stopIfTrue="1" operator="containsText" text="Ontario">
      <formula>NOT(ISERROR(SEARCH("Ontario",C1)))</formula>
    </cfRule>
    <cfRule type="containsText" dxfId="19" priority="14" stopIfTrue="1" operator="containsText" text="Sobey">
      <formula>NOT(ISERROR(SEARCH("Sobey",C1)))</formula>
    </cfRule>
    <cfRule type="containsText" dxfId="18" priority="15" stopIfTrue="1" operator="containsText" text="Brampton">
      <formula>NOT(ISERROR(SEARCH("Brampton",C1)))</formula>
    </cfRule>
  </conditionalFormatting>
  <conditionalFormatting sqref="E1">
    <cfRule type="containsText" dxfId="17" priority="16" stopIfTrue="1" operator="containsText" text="Brampton">
      <formula>NOT(ISERROR(SEARCH("Brampton",E1)))</formula>
    </cfRule>
    <cfRule type="containsText" dxfId="16" priority="17" stopIfTrue="1" operator="containsText" text="Ontario">
      <formula>NOT(ISERROR(SEARCH("Ontario",E1)))</formula>
    </cfRule>
    <cfRule type="containsText" dxfId="15" priority="18" stopIfTrue="1" operator="containsText" text="Winnipeg">
      <formula>NOT(ISERROR(SEARCH("Winnipeg",E1)))</formula>
    </cfRule>
    <cfRule type="containsText" dxfId="14" priority="19" stopIfTrue="1" operator="containsText" text="toronto">
      <formula>NOT(ISERROR(SEARCH("toronto",E1)))</formula>
    </cfRule>
    <cfRule type="containsText" dxfId="13" priority="20" stopIfTrue="1" operator="containsText" text="varennes">
      <formula>NOT(ISERROR(SEARCH("varennes",E1)))</formula>
    </cfRule>
    <cfRule type="containsText" dxfId="12" priority="21" stopIfTrue="1" operator="containsText" text="loblaws">
      <formula>NOT(ISERROR(SEARCH("loblaws",E1)))</formula>
    </cfRule>
    <cfRule type="containsText" dxfId="11" priority="22" stopIfTrue="1" operator="containsText" text="COSTCO STBRUNO">
      <formula>NOT(ISERROR(SEARCH("COSTCO STBRUNO",E1)))</formula>
    </cfRule>
    <cfRule type="containsText" dxfId="10" priority="23" stopIfTrue="1" operator="containsText" text="WALMART MONCTON">
      <formula>NOT(ISERROR(SEARCH("WALMART MONCTON",E1)))</formula>
    </cfRule>
    <cfRule type="containsText" dxfId="9" priority="24" stopIfTrue="1" operator="containsText" text="WALMART MISSISSAUGA">
      <formula>NOT(ISERROR(SEARCH("WALMART MISSISSAUGA",E1)))</formula>
    </cfRule>
    <cfRule type="containsText" dxfId="8" priority="25" operator="containsText" text="Sobey">
      <formula>NOT(ISERROR(SEARCH("Sobey",E1)))</formula>
    </cfRule>
    <cfRule type="containsText" dxfId="7" priority="26" operator="containsText" text="Target">
      <formula>NOT(ISERROR(SEARCH("Target",E1)))</formula>
    </cfRule>
    <cfRule type="containsText" dxfId="6" priority="27" stopIfTrue="1" operator="containsText" text="safeway">
      <formula>NOT(ISERROR(SEARCH("safeway",E1)))</formula>
    </cfRule>
    <cfRule type="containsText" dxfId="5" priority="28" stopIfTrue="1" operator="containsText" text="albertson">
      <formula>NOT(ISERROR(SEARCH("albertson",E1)))</formula>
    </cfRule>
    <cfRule type="containsText" dxfId="4" priority="29" operator="containsText" text="United Supermarkets">
      <formula>NOT(ISERROR(SEARCH("United Supermarkets",E1)))</formula>
    </cfRule>
    <cfRule type="containsText" dxfId="3" priority="30" operator="containsText" text="jewel">
      <formula>NOT(ISERROR(SEARCH("jewel",E1)))</formula>
    </cfRule>
    <cfRule type="containsText" dxfId="2" priority="31" operator="containsText" text="sysco">
      <formula>NOT(ISERROR(SEARCH("sysco",E1)))</formula>
    </cfRule>
  </conditionalFormatting>
  <pageMargins left="0.25" right="0.25" top="0.25" bottom="0.25" header="0.3" footer="0.3"/>
  <pageSetup scale="42" fitToHeight="2" orientation="portrait" r:id="rId1"/>
  <rowBreaks count="3" manualBreakCount="3">
    <brk id="58" max="7" man="1"/>
    <brk id="60" max="7" man="1"/>
    <brk id="74" max="7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A4AC-13CC-467E-B5B2-A44A79F89D91}">
  <dimension ref="A1:G86"/>
  <sheetViews>
    <sheetView workbookViewId="0">
      <pane ySplit="1" topLeftCell="A2" activePane="bottomLeft" state="frozen"/>
      <selection pane="bottomLeft" activeCell="A2" sqref="A2:G59"/>
    </sheetView>
  </sheetViews>
  <sheetFormatPr defaultRowHeight="12.75" x14ac:dyDescent="0.2"/>
  <cols>
    <col min="1" max="1" width="11.140625" customWidth="1"/>
    <col min="2" max="2" width="11.140625" style="66" customWidth="1"/>
    <col min="3" max="3" width="11.140625" style="67" customWidth="1"/>
    <col min="4" max="4" width="11.140625" style="66" customWidth="1"/>
    <col min="5" max="5" width="11.140625" style="67" customWidth="1"/>
    <col min="6" max="6" width="11.140625" customWidth="1"/>
    <col min="7" max="7" width="33.140625" bestFit="1" customWidth="1"/>
    <col min="257" max="262" width="11.140625" customWidth="1"/>
    <col min="263" max="263" width="33.140625" bestFit="1" customWidth="1"/>
    <col min="513" max="518" width="11.140625" customWidth="1"/>
    <col min="519" max="519" width="33.140625" bestFit="1" customWidth="1"/>
    <col min="769" max="774" width="11.140625" customWidth="1"/>
    <col min="775" max="775" width="33.140625" bestFit="1" customWidth="1"/>
    <col min="1025" max="1030" width="11.140625" customWidth="1"/>
    <col min="1031" max="1031" width="33.140625" bestFit="1" customWidth="1"/>
    <col min="1281" max="1286" width="11.140625" customWidth="1"/>
    <col min="1287" max="1287" width="33.140625" bestFit="1" customWidth="1"/>
    <col min="1537" max="1542" width="11.140625" customWidth="1"/>
    <col min="1543" max="1543" width="33.140625" bestFit="1" customWidth="1"/>
    <col min="1793" max="1798" width="11.140625" customWidth="1"/>
    <col min="1799" max="1799" width="33.140625" bestFit="1" customWidth="1"/>
    <col min="2049" max="2054" width="11.140625" customWidth="1"/>
    <col min="2055" max="2055" width="33.140625" bestFit="1" customWidth="1"/>
    <col min="2305" max="2310" width="11.140625" customWidth="1"/>
    <col min="2311" max="2311" width="33.140625" bestFit="1" customWidth="1"/>
    <col min="2561" max="2566" width="11.140625" customWidth="1"/>
    <col min="2567" max="2567" width="33.140625" bestFit="1" customWidth="1"/>
    <col min="2817" max="2822" width="11.140625" customWidth="1"/>
    <col min="2823" max="2823" width="33.140625" bestFit="1" customWidth="1"/>
    <col min="3073" max="3078" width="11.140625" customWidth="1"/>
    <col min="3079" max="3079" width="33.140625" bestFit="1" customWidth="1"/>
    <col min="3329" max="3334" width="11.140625" customWidth="1"/>
    <col min="3335" max="3335" width="33.140625" bestFit="1" customWidth="1"/>
    <col min="3585" max="3590" width="11.140625" customWidth="1"/>
    <col min="3591" max="3591" width="33.140625" bestFit="1" customWidth="1"/>
    <col min="3841" max="3846" width="11.140625" customWidth="1"/>
    <col min="3847" max="3847" width="33.140625" bestFit="1" customWidth="1"/>
    <col min="4097" max="4102" width="11.140625" customWidth="1"/>
    <col min="4103" max="4103" width="33.140625" bestFit="1" customWidth="1"/>
    <col min="4353" max="4358" width="11.140625" customWidth="1"/>
    <col min="4359" max="4359" width="33.140625" bestFit="1" customWidth="1"/>
    <col min="4609" max="4614" width="11.140625" customWidth="1"/>
    <col min="4615" max="4615" width="33.140625" bestFit="1" customWidth="1"/>
    <col min="4865" max="4870" width="11.140625" customWidth="1"/>
    <col min="4871" max="4871" width="33.140625" bestFit="1" customWidth="1"/>
    <col min="5121" max="5126" width="11.140625" customWidth="1"/>
    <col min="5127" max="5127" width="33.140625" bestFit="1" customWidth="1"/>
    <col min="5377" max="5382" width="11.140625" customWidth="1"/>
    <col min="5383" max="5383" width="33.140625" bestFit="1" customWidth="1"/>
    <col min="5633" max="5638" width="11.140625" customWidth="1"/>
    <col min="5639" max="5639" width="33.140625" bestFit="1" customWidth="1"/>
    <col min="5889" max="5894" width="11.140625" customWidth="1"/>
    <col min="5895" max="5895" width="33.140625" bestFit="1" customWidth="1"/>
    <col min="6145" max="6150" width="11.140625" customWidth="1"/>
    <col min="6151" max="6151" width="33.140625" bestFit="1" customWidth="1"/>
    <col min="6401" max="6406" width="11.140625" customWidth="1"/>
    <col min="6407" max="6407" width="33.140625" bestFit="1" customWidth="1"/>
    <col min="6657" max="6662" width="11.140625" customWidth="1"/>
    <col min="6663" max="6663" width="33.140625" bestFit="1" customWidth="1"/>
    <col min="6913" max="6918" width="11.140625" customWidth="1"/>
    <col min="6919" max="6919" width="33.140625" bestFit="1" customWidth="1"/>
    <col min="7169" max="7174" width="11.140625" customWidth="1"/>
    <col min="7175" max="7175" width="33.140625" bestFit="1" customWidth="1"/>
    <col min="7425" max="7430" width="11.140625" customWidth="1"/>
    <col min="7431" max="7431" width="33.140625" bestFit="1" customWidth="1"/>
    <col min="7681" max="7686" width="11.140625" customWidth="1"/>
    <col min="7687" max="7687" width="33.140625" bestFit="1" customWidth="1"/>
    <col min="7937" max="7942" width="11.140625" customWidth="1"/>
    <col min="7943" max="7943" width="33.140625" bestFit="1" customWidth="1"/>
    <col min="8193" max="8198" width="11.140625" customWidth="1"/>
    <col min="8199" max="8199" width="33.140625" bestFit="1" customWidth="1"/>
    <col min="8449" max="8454" width="11.140625" customWidth="1"/>
    <col min="8455" max="8455" width="33.140625" bestFit="1" customWidth="1"/>
    <col min="8705" max="8710" width="11.140625" customWidth="1"/>
    <col min="8711" max="8711" width="33.140625" bestFit="1" customWidth="1"/>
    <col min="8961" max="8966" width="11.140625" customWidth="1"/>
    <col min="8967" max="8967" width="33.140625" bestFit="1" customWidth="1"/>
    <col min="9217" max="9222" width="11.140625" customWidth="1"/>
    <col min="9223" max="9223" width="33.140625" bestFit="1" customWidth="1"/>
    <col min="9473" max="9478" width="11.140625" customWidth="1"/>
    <col min="9479" max="9479" width="33.140625" bestFit="1" customWidth="1"/>
    <col min="9729" max="9734" width="11.140625" customWidth="1"/>
    <col min="9735" max="9735" width="33.140625" bestFit="1" customWidth="1"/>
    <col min="9985" max="9990" width="11.140625" customWidth="1"/>
    <col min="9991" max="9991" width="33.140625" bestFit="1" customWidth="1"/>
    <col min="10241" max="10246" width="11.140625" customWidth="1"/>
    <col min="10247" max="10247" width="33.140625" bestFit="1" customWidth="1"/>
    <col min="10497" max="10502" width="11.140625" customWidth="1"/>
    <col min="10503" max="10503" width="33.140625" bestFit="1" customWidth="1"/>
    <col min="10753" max="10758" width="11.140625" customWidth="1"/>
    <col min="10759" max="10759" width="33.140625" bestFit="1" customWidth="1"/>
    <col min="11009" max="11014" width="11.140625" customWidth="1"/>
    <col min="11015" max="11015" width="33.140625" bestFit="1" customWidth="1"/>
    <col min="11265" max="11270" width="11.140625" customWidth="1"/>
    <col min="11271" max="11271" width="33.140625" bestFit="1" customWidth="1"/>
    <col min="11521" max="11526" width="11.140625" customWidth="1"/>
    <col min="11527" max="11527" width="33.140625" bestFit="1" customWidth="1"/>
    <col min="11777" max="11782" width="11.140625" customWidth="1"/>
    <col min="11783" max="11783" width="33.140625" bestFit="1" customWidth="1"/>
    <col min="12033" max="12038" width="11.140625" customWidth="1"/>
    <col min="12039" max="12039" width="33.140625" bestFit="1" customWidth="1"/>
    <col min="12289" max="12294" width="11.140625" customWidth="1"/>
    <col min="12295" max="12295" width="33.140625" bestFit="1" customWidth="1"/>
    <col min="12545" max="12550" width="11.140625" customWidth="1"/>
    <col min="12551" max="12551" width="33.140625" bestFit="1" customWidth="1"/>
    <col min="12801" max="12806" width="11.140625" customWidth="1"/>
    <col min="12807" max="12807" width="33.140625" bestFit="1" customWidth="1"/>
    <col min="13057" max="13062" width="11.140625" customWidth="1"/>
    <col min="13063" max="13063" width="33.140625" bestFit="1" customWidth="1"/>
    <col min="13313" max="13318" width="11.140625" customWidth="1"/>
    <col min="13319" max="13319" width="33.140625" bestFit="1" customWidth="1"/>
    <col min="13569" max="13574" width="11.140625" customWidth="1"/>
    <col min="13575" max="13575" width="33.140625" bestFit="1" customWidth="1"/>
    <col min="13825" max="13830" width="11.140625" customWidth="1"/>
    <col min="13831" max="13831" width="33.140625" bestFit="1" customWidth="1"/>
    <col min="14081" max="14086" width="11.140625" customWidth="1"/>
    <col min="14087" max="14087" width="33.140625" bestFit="1" customWidth="1"/>
    <col min="14337" max="14342" width="11.140625" customWidth="1"/>
    <col min="14343" max="14343" width="33.140625" bestFit="1" customWidth="1"/>
    <col min="14593" max="14598" width="11.140625" customWidth="1"/>
    <col min="14599" max="14599" width="33.140625" bestFit="1" customWidth="1"/>
    <col min="14849" max="14854" width="11.140625" customWidth="1"/>
    <col min="14855" max="14855" width="33.140625" bestFit="1" customWidth="1"/>
    <col min="15105" max="15110" width="11.140625" customWidth="1"/>
    <col min="15111" max="15111" width="33.140625" bestFit="1" customWidth="1"/>
    <col min="15361" max="15366" width="11.140625" customWidth="1"/>
    <col min="15367" max="15367" width="33.140625" bestFit="1" customWidth="1"/>
    <col min="15617" max="15622" width="11.140625" customWidth="1"/>
    <col min="15623" max="15623" width="33.140625" bestFit="1" customWidth="1"/>
    <col min="15873" max="15878" width="11.140625" customWidth="1"/>
    <col min="15879" max="15879" width="33.140625" bestFit="1" customWidth="1"/>
    <col min="16129" max="16134" width="11.140625" customWidth="1"/>
    <col min="16135" max="16135" width="33.140625" bestFit="1" customWidth="1"/>
  </cols>
  <sheetData>
    <row r="1" spans="1:7" ht="25.5" x14ac:dyDescent="0.2">
      <c r="A1" s="62" t="s">
        <v>25</v>
      </c>
      <c r="B1" s="63" t="s">
        <v>26</v>
      </c>
      <c r="C1" s="64" t="s">
        <v>27</v>
      </c>
      <c r="D1" s="63" t="s">
        <v>28</v>
      </c>
      <c r="E1" s="64" t="s">
        <v>29</v>
      </c>
      <c r="F1" s="65" t="s">
        <v>30</v>
      </c>
      <c r="G1" s="65" t="s">
        <v>31</v>
      </c>
    </row>
    <row r="2" spans="1:7" x14ac:dyDescent="0.2">
      <c r="C2"/>
    </row>
    <row r="3" spans="1:7" x14ac:dyDescent="0.2">
      <c r="C3"/>
    </row>
    <row r="4" spans="1:7" x14ac:dyDescent="0.2">
      <c r="C4"/>
    </row>
    <row r="5" spans="1:7" x14ac:dyDescent="0.2">
      <c r="C5"/>
    </row>
    <row r="6" spans="1:7" x14ac:dyDescent="0.2">
      <c r="C6"/>
    </row>
    <row r="7" spans="1:7" x14ac:dyDescent="0.2">
      <c r="C7"/>
    </row>
    <row r="8" spans="1:7" x14ac:dyDescent="0.2">
      <c r="C8"/>
    </row>
    <row r="9" spans="1:7" x14ac:dyDescent="0.2">
      <c r="C9"/>
    </row>
    <row r="10" spans="1:7" x14ac:dyDescent="0.2">
      <c r="C10"/>
    </row>
    <row r="11" spans="1:7" x14ac:dyDescent="0.2">
      <c r="C11"/>
    </row>
    <row r="12" spans="1:7" x14ac:dyDescent="0.2">
      <c r="C12"/>
    </row>
    <row r="13" spans="1:7" x14ac:dyDescent="0.2">
      <c r="C13"/>
    </row>
    <row r="14" spans="1:7" x14ac:dyDescent="0.2">
      <c r="C14"/>
    </row>
    <row r="15" spans="1:7" x14ac:dyDescent="0.2">
      <c r="C15"/>
    </row>
    <row r="16" spans="1:7" x14ac:dyDescent="0.2">
      <c r="C16"/>
    </row>
    <row r="17" spans="3:3" x14ac:dyDescent="0.2">
      <c r="C17"/>
    </row>
    <row r="18" spans="3:3" x14ac:dyDescent="0.2">
      <c r="C18"/>
    </row>
    <row r="19" spans="3:3" x14ac:dyDescent="0.2">
      <c r="C19"/>
    </row>
    <row r="20" spans="3:3" x14ac:dyDescent="0.2">
      <c r="C20"/>
    </row>
    <row r="21" spans="3:3" x14ac:dyDescent="0.2">
      <c r="C21"/>
    </row>
    <row r="22" spans="3:3" x14ac:dyDescent="0.2">
      <c r="C22"/>
    </row>
    <row r="23" spans="3:3" x14ac:dyDescent="0.2">
      <c r="C23"/>
    </row>
    <row r="24" spans="3:3" x14ac:dyDescent="0.2">
      <c r="C24"/>
    </row>
    <row r="25" spans="3:3" x14ac:dyDescent="0.2">
      <c r="C25"/>
    </row>
    <row r="26" spans="3:3" x14ac:dyDescent="0.2">
      <c r="C26"/>
    </row>
    <row r="27" spans="3:3" x14ac:dyDescent="0.2">
      <c r="C27"/>
    </row>
    <row r="28" spans="3:3" x14ac:dyDescent="0.2">
      <c r="C28"/>
    </row>
    <row r="29" spans="3:3" x14ac:dyDescent="0.2">
      <c r="C29"/>
    </row>
    <row r="30" spans="3:3" x14ac:dyDescent="0.2">
      <c r="C30"/>
    </row>
    <row r="31" spans="3:3" x14ac:dyDescent="0.2">
      <c r="C31"/>
    </row>
    <row r="32" spans="3:3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x14ac:dyDescent="0.2">
      <c r="C46"/>
    </row>
    <row r="47" spans="3:3" x14ac:dyDescent="0.2">
      <c r="C47"/>
    </row>
    <row r="48" spans="3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</sheetData>
  <conditionalFormatting sqref="A1">
    <cfRule type="duplicateValues" dxfId="1" priority="1" stopIfTrue="1"/>
  </conditionalFormatting>
  <conditionalFormatting sqref="A2:A65536">
    <cfRule type="duplicateValues" dxfId="0" priority="2" stopIfTrue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07E2-7497-4736-AF27-8754B8C4D847}">
  <dimension ref="A1:C118"/>
  <sheetViews>
    <sheetView workbookViewId="0">
      <pane ySplit="1" topLeftCell="A2" activePane="bottomLeft" state="frozen"/>
      <selection pane="bottomLeft" activeCell="E31" sqref="E31"/>
    </sheetView>
  </sheetViews>
  <sheetFormatPr defaultRowHeight="15.75" x14ac:dyDescent="0.25"/>
  <cols>
    <col min="1" max="1" width="41.7109375" style="68" bestFit="1" customWidth="1"/>
    <col min="2" max="2" width="21.42578125" style="68" customWidth="1"/>
    <col min="3" max="3" width="22.140625" style="69" bestFit="1" customWidth="1"/>
    <col min="257" max="257" width="41.7109375" bestFit="1" customWidth="1"/>
    <col min="258" max="258" width="21.42578125" customWidth="1"/>
    <col min="259" max="259" width="22.140625" bestFit="1" customWidth="1"/>
    <col min="513" max="513" width="41.7109375" bestFit="1" customWidth="1"/>
    <col min="514" max="514" width="21.42578125" customWidth="1"/>
    <col min="515" max="515" width="22.140625" bestFit="1" customWidth="1"/>
    <col min="769" max="769" width="41.7109375" bestFit="1" customWidth="1"/>
    <col min="770" max="770" width="21.42578125" customWidth="1"/>
    <col min="771" max="771" width="22.140625" bestFit="1" customWidth="1"/>
    <col min="1025" max="1025" width="41.7109375" bestFit="1" customWidth="1"/>
    <col min="1026" max="1026" width="21.42578125" customWidth="1"/>
    <col min="1027" max="1027" width="22.140625" bestFit="1" customWidth="1"/>
    <col min="1281" max="1281" width="41.7109375" bestFit="1" customWidth="1"/>
    <col min="1282" max="1282" width="21.42578125" customWidth="1"/>
    <col min="1283" max="1283" width="22.140625" bestFit="1" customWidth="1"/>
    <col min="1537" max="1537" width="41.7109375" bestFit="1" customWidth="1"/>
    <col min="1538" max="1538" width="21.42578125" customWidth="1"/>
    <col min="1539" max="1539" width="22.140625" bestFit="1" customWidth="1"/>
    <col min="1793" max="1793" width="41.7109375" bestFit="1" customWidth="1"/>
    <col min="1794" max="1794" width="21.42578125" customWidth="1"/>
    <col min="1795" max="1795" width="22.140625" bestFit="1" customWidth="1"/>
    <col min="2049" max="2049" width="41.7109375" bestFit="1" customWidth="1"/>
    <col min="2050" max="2050" width="21.42578125" customWidth="1"/>
    <col min="2051" max="2051" width="22.140625" bestFit="1" customWidth="1"/>
    <col min="2305" max="2305" width="41.7109375" bestFit="1" customWidth="1"/>
    <col min="2306" max="2306" width="21.42578125" customWidth="1"/>
    <col min="2307" max="2307" width="22.140625" bestFit="1" customWidth="1"/>
    <col min="2561" max="2561" width="41.7109375" bestFit="1" customWidth="1"/>
    <col min="2562" max="2562" width="21.42578125" customWidth="1"/>
    <col min="2563" max="2563" width="22.140625" bestFit="1" customWidth="1"/>
    <col min="2817" max="2817" width="41.7109375" bestFit="1" customWidth="1"/>
    <col min="2818" max="2818" width="21.42578125" customWidth="1"/>
    <col min="2819" max="2819" width="22.140625" bestFit="1" customWidth="1"/>
    <col min="3073" max="3073" width="41.7109375" bestFit="1" customWidth="1"/>
    <col min="3074" max="3074" width="21.42578125" customWidth="1"/>
    <col min="3075" max="3075" width="22.140625" bestFit="1" customWidth="1"/>
    <col min="3329" max="3329" width="41.7109375" bestFit="1" customWidth="1"/>
    <col min="3330" max="3330" width="21.42578125" customWidth="1"/>
    <col min="3331" max="3331" width="22.140625" bestFit="1" customWidth="1"/>
    <col min="3585" max="3585" width="41.7109375" bestFit="1" customWidth="1"/>
    <col min="3586" max="3586" width="21.42578125" customWidth="1"/>
    <col min="3587" max="3587" width="22.140625" bestFit="1" customWidth="1"/>
    <col min="3841" max="3841" width="41.7109375" bestFit="1" customWidth="1"/>
    <col min="3842" max="3842" width="21.42578125" customWidth="1"/>
    <col min="3843" max="3843" width="22.140625" bestFit="1" customWidth="1"/>
    <col min="4097" max="4097" width="41.7109375" bestFit="1" customWidth="1"/>
    <col min="4098" max="4098" width="21.42578125" customWidth="1"/>
    <col min="4099" max="4099" width="22.140625" bestFit="1" customWidth="1"/>
    <col min="4353" max="4353" width="41.7109375" bestFit="1" customWidth="1"/>
    <col min="4354" max="4354" width="21.42578125" customWidth="1"/>
    <col min="4355" max="4355" width="22.140625" bestFit="1" customWidth="1"/>
    <col min="4609" max="4609" width="41.7109375" bestFit="1" customWidth="1"/>
    <col min="4610" max="4610" width="21.42578125" customWidth="1"/>
    <col min="4611" max="4611" width="22.140625" bestFit="1" customWidth="1"/>
    <col min="4865" max="4865" width="41.7109375" bestFit="1" customWidth="1"/>
    <col min="4866" max="4866" width="21.42578125" customWidth="1"/>
    <col min="4867" max="4867" width="22.140625" bestFit="1" customWidth="1"/>
    <col min="5121" max="5121" width="41.7109375" bestFit="1" customWidth="1"/>
    <col min="5122" max="5122" width="21.42578125" customWidth="1"/>
    <col min="5123" max="5123" width="22.140625" bestFit="1" customWidth="1"/>
    <col min="5377" max="5377" width="41.7109375" bestFit="1" customWidth="1"/>
    <col min="5378" max="5378" width="21.42578125" customWidth="1"/>
    <col min="5379" max="5379" width="22.140625" bestFit="1" customWidth="1"/>
    <col min="5633" max="5633" width="41.7109375" bestFit="1" customWidth="1"/>
    <col min="5634" max="5634" width="21.42578125" customWidth="1"/>
    <col min="5635" max="5635" width="22.140625" bestFit="1" customWidth="1"/>
    <col min="5889" max="5889" width="41.7109375" bestFit="1" customWidth="1"/>
    <col min="5890" max="5890" width="21.42578125" customWidth="1"/>
    <col min="5891" max="5891" width="22.140625" bestFit="1" customWidth="1"/>
    <col min="6145" max="6145" width="41.7109375" bestFit="1" customWidth="1"/>
    <col min="6146" max="6146" width="21.42578125" customWidth="1"/>
    <col min="6147" max="6147" width="22.140625" bestFit="1" customWidth="1"/>
    <col min="6401" max="6401" width="41.7109375" bestFit="1" customWidth="1"/>
    <col min="6402" max="6402" width="21.42578125" customWidth="1"/>
    <col min="6403" max="6403" width="22.140625" bestFit="1" customWidth="1"/>
    <col min="6657" max="6657" width="41.7109375" bestFit="1" customWidth="1"/>
    <col min="6658" max="6658" width="21.42578125" customWidth="1"/>
    <col min="6659" max="6659" width="22.140625" bestFit="1" customWidth="1"/>
    <col min="6913" max="6913" width="41.7109375" bestFit="1" customWidth="1"/>
    <col min="6914" max="6914" width="21.42578125" customWidth="1"/>
    <col min="6915" max="6915" width="22.140625" bestFit="1" customWidth="1"/>
    <col min="7169" max="7169" width="41.7109375" bestFit="1" customWidth="1"/>
    <col min="7170" max="7170" width="21.42578125" customWidth="1"/>
    <col min="7171" max="7171" width="22.140625" bestFit="1" customWidth="1"/>
    <col min="7425" max="7425" width="41.7109375" bestFit="1" customWidth="1"/>
    <col min="7426" max="7426" width="21.42578125" customWidth="1"/>
    <col min="7427" max="7427" width="22.140625" bestFit="1" customWidth="1"/>
    <col min="7681" max="7681" width="41.7109375" bestFit="1" customWidth="1"/>
    <col min="7682" max="7682" width="21.42578125" customWidth="1"/>
    <col min="7683" max="7683" width="22.140625" bestFit="1" customWidth="1"/>
    <col min="7937" max="7937" width="41.7109375" bestFit="1" customWidth="1"/>
    <col min="7938" max="7938" width="21.42578125" customWidth="1"/>
    <col min="7939" max="7939" width="22.140625" bestFit="1" customWidth="1"/>
    <col min="8193" max="8193" width="41.7109375" bestFit="1" customWidth="1"/>
    <col min="8194" max="8194" width="21.42578125" customWidth="1"/>
    <col min="8195" max="8195" width="22.140625" bestFit="1" customWidth="1"/>
    <col min="8449" max="8449" width="41.7109375" bestFit="1" customWidth="1"/>
    <col min="8450" max="8450" width="21.42578125" customWidth="1"/>
    <col min="8451" max="8451" width="22.140625" bestFit="1" customWidth="1"/>
    <col min="8705" max="8705" width="41.7109375" bestFit="1" customWidth="1"/>
    <col min="8706" max="8706" width="21.42578125" customWidth="1"/>
    <col min="8707" max="8707" width="22.140625" bestFit="1" customWidth="1"/>
    <col min="8961" max="8961" width="41.7109375" bestFit="1" customWidth="1"/>
    <col min="8962" max="8962" width="21.42578125" customWidth="1"/>
    <col min="8963" max="8963" width="22.140625" bestFit="1" customWidth="1"/>
    <col min="9217" max="9217" width="41.7109375" bestFit="1" customWidth="1"/>
    <col min="9218" max="9218" width="21.42578125" customWidth="1"/>
    <col min="9219" max="9219" width="22.140625" bestFit="1" customWidth="1"/>
    <col min="9473" max="9473" width="41.7109375" bestFit="1" customWidth="1"/>
    <col min="9474" max="9474" width="21.42578125" customWidth="1"/>
    <col min="9475" max="9475" width="22.140625" bestFit="1" customWidth="1"/>
    <col min="9729" max="9729" width="41.7109375" bestFit="1" customWidth="1"/>
    <col min="9730" max="9730" width="21.42578125" customWidth="1"/>
    <col min="9731" max="9731" width="22.140625" bestFit="1" customWidth="1"/>
    <col min="9985" max="9985" width="41.7109375" bestFit="1" customWidth="1"/>
    <col min="9986" max="9986" width="21.42578125" customWidth="1"/>
    <col min="9987" max="9987" width="22.140625" bestFit="1" customWidth="1"/>
    <col min="10241" max="10241" width="41.7109375" bestFit="1" customWidth="1"/>
    <col min="10242" max="10242" width="21.42578125" customWidth="1"/>
    <col min="10243" max="10243" width="22.140625" bestFit="1" customWidth="1"/>
    <col min="10497" max="10497" width="41.7109375" bestFit="1" customWidth="1"/>
    <col min="10498" max="10498" width="21.42578125" customWidth="1"/>
    <col min="10499" max="10499" width="22.140625" bestFit="1" customWidth="1"/>
    <col min="10753" max="10753" width="41.7109375" bestFit="1" customWidth="1"/>
    <col min="10754" max="10754" width="21.42578125" customWidth="1"/>
    <col min="10755" max="10755" width="22.140625" bestFit="1" customWidth="1"/>
    <col min="11009" max="11009" width="41.7109375" bestFit="1" customWidth="1"/>
    <col min="11010" max="11010" width="21.42578125" customWidth="1"/>
    <col min="11011" max="11011" width="22.140625" bestFit="1" customWidth="1"/>
    <col min="11265" max="11265" width="41.7109375" bestFit="1" customWidth="1"/>
    <col min="11266" max="11266" width="21.42578125" customWidth="1"/>
    <col min="11267" max="11267" width="22.140625" bestFit="1" customWidth="1"/>
    <col min="11521" max="11521" width="41.7109375" bestFit="1" customWidth="1"/>
    <col min="11522" max="11522" width="21.42578125" customWidth="1"/>
    <col min="11523" max="11523" width="22.140625" bestFit="1" customWidth="1"/>
    <col min="11777" max="11777" width="41.7109375" bestFit="1" customWidth="1"/>
    <col min="11778" max="11778" width="21.42578125" customWidth="1"/>
    <col min="11779" max="11779" width="22.140625" bestFit="1" customWidth="1"/>
    <col min="12033" max="12033" width="41.7109375" bestFit="1" customWidth="1"/>
    <col min="12034" max="12034" width="21.42578125" customWidth="1"/>
    <col min="12035" max="12035" width="22.140625" bestFit="1" customWidth="1"/>
    <col min="12289" max="12289" width="41.7109375" bestFit="1" customWidth="1"/>
    <col min="12290" max="12290" width="21.42578125" customWidth="1"/>
    <col min="12291" max="12291" width="22.140625" bestFit="1" customWidth="1"/>
    <col min="12545" max="12545" width="41.7109375" bestFit="1" customWidth="1"/>
    <col min="12546" max="12546" width="21.42578125" customWidth="1"/>
    <col min="12547" max="12547" width="22.140625" bestFit="1" customWidth="1"/>
    <col min="12801" max="12801" width="41.7109375" bestFit="1" customWidth="1"/>
    <col min="12802" max="12802" width="21.42578125" customWidth="1"/>
    <col min="12803" max="12803" width="22.140625" bestFit="1" customWidth="1"/>
    <col min="13057" max="13057" width="41.7109375" bestFit="1" customWidth="1"/>
    <col min="13058" max="13058" width="21.42578125" customWidth="1"/>
    <col min="13059" max="13059" width="22.140625" bestFit="1" customWidth="1"/>
    <col min="13313" max="13313" width="41.7109375" bestFit="1" customWidth="1"/>
    <col min="13314" max="13314" width="21.42578125" customWidth="1"/>
    <col min="13315" max="13315" width="22.140625" bestFit="1" customWidth="1"/>
    <col min="13569" max="13569" width="41.7109375" bestFit="1" customWidth="1"/>
    <col min="13570" max="13570" width="21.42578125" customWidth="1"/>
    <col min="13571" max="13571" width="22.140625" bestFit="1" customWidth="1"/>
    <col min="13825" max="13825" width="41.7109375" bestFit="1" customWidth="1"/>
    <col min="13826" max="13826" width="21.42578125" customWidth="1"/>
    <col min="13827" max="13827" width="22.140625" bestFit="1" customWidth="1"/>
    <col min="14081" max="14081" width="41.7109375" bestFit="1" customWidth="1"/>
    <col min="14082" max="14082" width="21.42578125" customWidth="1"/>
    <col min="14083" max="14083" width="22.140625" bestFit="1" customWidth="1"/>
    <col min="14337" max="14337" width="41.7109375" bestFit="1" customWidth="1"/>
    <col min="14338" max="14338" width="21.42578125" customWidth="1"/>
    <col min="14339" max="14339" width="22.140625" bestFit="1" customWidth="1"/>
    <col min="14593" max="14593" width="41.7109375" bestFit="1" customWidth="1"/>
    <col min="14594" max="14594" width="21.42578125" customWidth="1"/>
    <col min="14595" max="14595" width="22.140625" bestFit="1" customWidth="1"/>
    <col min="14849" max="14849" width="41.7109375" bestFit="1" customWidth="1"/>
    <col min="14850" max="14850" width="21.42578125" customWidth="1"/>
    <col min="14851" max="14851" width="22.140625" bestFit="1" customWidth="1"/>
    <col min="15105" max="15105" width="41.7109375" bestFit="1" customWidth="1"/>
    <col min="15106" max="15106" width="21.42578125" customWidth="1"/>
    <col min="15107" max="15107" width="22.140625" bestFit="1" customWidth="1"/>
    <col min="15361" max="15361" width="41.7109375" bestFit="1" customWidth="1"/>
    <col min="15362" max="15362" width="21.42578125" customWidth="1"/>
    <col min="15363" max="15363" width="22.140625" bestFit="1" customWidth="1"/>
    <col min="15617" max="15617" width="41.7109375" bestFit="1" customWidth="1"/>
    <col min="15618" max="15618" width="21.42578125" customWidth="1"/>
    <col min="15619" max="15619" width="22.140625" bestFit="1" customWidth="1"/>
    <col min="15873" max="15873" width="41.7109375" bestFit="1" customWidth="1"/>
    <col min="15874" max="15874" width="21.42578125" customWidth="1"/>
    <col min="15875" max="15875" width="22.140625" bestFit="1" customWidth="1"/>
    <col min="16129" max="16129" width="41.7109375" bestFit="1" customWidth="1"/>
    <col min="16130" max="16130" width="21.42578125" customWidth="1"/>
    <col min="16131" max="16131" width="22.140625" bestFit="1" customWidth="1"/>
  </cols>
  <sheetData>
    <row r="1" spans="1:2" x14ac:dyDescent="0.25">
      <c r="A1" s="68" t="s">
        <v>32</v>
      </c>
      <c r="B1" s="68" t="s">
        <v>33</v>
      </c>
    </row>
    <row r="2" spans="1:2" x14ac:dyDescent="0.25">
      <c r="A2" s="68" t="s">
        <v>34</v>
      </c>
      <c r="B2" s="68" t="s">
        <v>35</v>
      </c>
    </row>
    <row r="3" spans="1:2" x14ac:dyDescent="0.25">
      <c r="A3" s="68" t="s">
        <v>36</v>
      </c>
      <c r="B3" s="68" t="s">
        <v>37</v>
      </c>
    </row>
    <row r="4" spans="1:2" x14ac:dyDescent="0.25">
      <c r="A4" s="68" t="s">
        <v>38</v>
      </c>
      <c r="B4" s="68" t="s">
        <v>37</v>
      </c>
    </row>
    <row r="5" spans="1:2" x14ac:dyDescent="0.25">
      <c r="A5" s="68" t="s">
        <v>39</v>
      </c>
      <c r="B5" s="68" t="s">
        <v>40</v>
      </c>
    </row>
    <row r="6" spans="1:2" x14ac:dyDescent="0.25">
      <c r="A6" s="68" t="s">
        <v>41</v>
      </c>
      <c r="B6" s="68" t="s">
        <v>40</v>
      </c>
    </row>
    <row r="7" spans="1:2" x14ac:dyDescent="0.25">
      <c r="A7" s="68" t="s">
        <v>42</v>
      </c>
      <c r="B7" s="68" t="s">
        <v>43</v>
      </c>
    </row>
    <row r="8" spans="1:2" x14ac:dyDescent="0.25">
      <c r="A8" s="68" t="s">
        <v>44</v>
      </c>
      <c r="B8" s="68" t="s">
        <v>43</v>
      </c>
    </row>
    <row r="9" spans="1:2" x14ac:dyDescent="0.25">
      <c r="A9" s="68" t="s">
        <v>45</v>
      </c>
      <c r="B9" s="68" t="s">
        <v>46</v>
      </c>
    </row>
    <row r="10" spans="1:2" x14ac:dyDescent="0.25">
      <c r="A10" s="68" t="s">
        <v>47</v>
      </c>
      <c r="B10" s="68" t="s">
        <v>48</v>
      </c>
    </row>
    <row r="11" spans="1:2" x14ac:dyDescent="0.25">
      <c r="A11" s="68" t="s">
        <v>49</v>
      </c>
      <c r="B11" s="68" t="s">
        <v>48</v>
      </c>
    </row>
    <row r="12" spans="1:2" x14ac:dyDescent="0.25">
      <c r="A12" s="68" t="s">
        <v>50</v>
      </c>
      <c r="B12" s="68" t="s">
        <v>51</v>
      </c>
    </row>
    <row r="13" spans="1:2" x14ac:dyDescent="0.25">
      <c r="A13" s="68" t="s">
        <v>52</v>
      </c>
      <c r="B13" s="68" t="s">
        <v>53</v>
      </c>
    </row>
    <row r="14" spans="1:2" x14ac:dyDescent="0.25">
      <c r="A14" s="68" t="s">
        <v>54</v>
      </c>
      <c r="B14" s="68" t="s">
        <v>37</v>
      </c>
    </row>
    <row r="15" spans="1:2" x14ac:dyDescent="0.25">
      <c r="A15" s="68" t="s">
        <v>55</v>
      </c>
      <c r="B15" s="68" t="s">
        <v>56</v>
      </c>
    </row>
    <row r="16" spans="1:2" x14ac:dyDescent="0.25">
      <c r="A16" s="68" t="s">
        <v>57</v>
      </c>
      <c r="B16" s="68" t="s">
        <v>58</v>
      </c>
    </row>
    <row r="17" spans="1:2" x14ac:dyDescent="0.25">
      <c r="A17" s="68" t="s">
        <v>59</v>
      </c>
      <c r="B17" s="68" t="s">
        <v>58</v>
      </c>
    </row>
    <row r="18" spans="1:2" x14ac:dyDescent="0.25">
      <c r="A18" s="68" t="s">
        <v>60</v>
      </c>
      <c r="B18" s="68" t="s">
        <v>61</v>
      </c>
    </row>
    <row r="19" spans="1:2" x14ac:dyDescent="0.25">
      <c r="A19" s="68" t="s">
        <v>62</v>
      </c>
      <c r="B19" s="68" t="s">
        <v>63</v>
      </c>
    </row>
    <row r="20" spans="1:2" x14ac:dyDescent="0.25">
      <c r="A20" s="68" t="s">
        <v>64</v>
      </c>
      <c r="B20" s="68" t="s">
        <v>65</v>
      </c>
    </row>
    <row r="21" spans="1:2" x14ac:dyDescent="0.25">
      <c r="A21" s="68" t="s">
        <v>66</v>
      </c>
      <c r="B21" s="68" t="s">
        <v>37</v>
      </c>
    </row>
    <row r="22" spans="1:2" x14ac:dyDescent="0.25">
      <c r="A22" s="68" t="s">
        <v>67</v>
      </c>
      <c r="B22" s="68" t="s">
        <v>68</v>
      </c>
    </row>
    <row r="23" spans="1:2" x14ac:dyDescent="0.25">
      <c r="A23" s="68" t="s">
        <v>69</v>
      </c>
      <c r="B23" s="68" t="s">
        <v>70</v>
      </c>
    </row>
    <row r="24" spans="1:2" x14ac:dyDescent="0.25">
      <c r="A24" s="68" t="s">
        <v>71</v>
      </c>
      <c r="B24" s="68" t="s">
        <v>70</v>
      </c>
    </row>
    <row r="25" spans="1:2" x14ac:dyDescent="0.25">
      <c r="A25" s="68" t="s">
        <v>72</v>
      </c>
      <c r="B25" s="68" t="s">
        <v>70</v>
      </c>
    </row>
    <row r="26" spans="1:2" x14ac:dyDescent="0.25">
      <c r="A26" s="68" t="s">
        <v>73</v>
      </c>
      <c r="B26" s="68" t="s">
        <v>70</v>
      </c>
    </row>
    <row r="27" spans="1:2" x14ac:dyDescent="0.25">
      <c r="A27" s="68" t="s">
        <v>74</v>
      </c>
      <c r="B27" s="68" t="s">
        <v>75</v>
      </c>
    </row>
    <row r="28" spans="1:2" x14ac:dyDescent="0.25">
      <c r="A28" s="68" t="s">
        <v>76</v>
      </c>
      <c r="B28" s="68" t="s">
        <v>75</v>
      </c>
    </row>
    <row r="29" spans="1:2" x14ac:dyDescent="0.25">
      <c r="A29" s="68" t="s">
        <v>77</v>
      </c>
      <c r="B29" s="68" t="s">
        <v>78</v>
      </c>
    </row>
    <row r="30" spans="1:2" x14ac:dyDescent="0.25">
      <c r="A30" s="68" t="s">
        <v>79</v>
      </c>
      <c r="B30" s="68" t="s">
        <v>80</v>
      </c>
    </row>
    <row r="31" spans="1:2" x14ac:dyDescent="0.25">
      <c r="A31" s="68" t="s">
        <v>81</v>
      </c>
      <c r="B31" s="68" t="s">
        <v>82</v>
      </c>
    </row>
    <row r="32" spans="1:2" x14ac:dyDescent="0.25">
      <c r="A32" s="68" t="s">
        <v>83</v>
      </c>
      <c r="B32" s="68" t="s">
        <v>82</v>
      </c>
    </row>
    <row r="33" spans="1:2" x14ac:dyDescent="0.25">
      <c r="A33" s="68" t="s">
        <v>84</v>
      </c>
      <c r="B33" s="68" t="s">
        <v>85</v>
      </c>
    </row>
    <row r="34" spans="1:2" x14ac:dyDescent="0.25">
      <c r="A34" s="68" t="s">
        <v>86</v>
      </c>
      <c r="B34" s="68" t="s">
        <v>85</v>
      </c>
    </row>
    <row r="35" spans="1:2" x14ac:dyDescent="0.25">
      <c r="A35" s="68" t="s">
        <v>85</v>
      </c>
      <c r="B35" s="68" t="s">
        <v>85</v>
      </c>
    </row>
    <row r="36" spans="1:2" x14ac:dyDescent="0.25">
      <c r="A36" s="68" t="s">
        <v>87</v>
      </c>
      <c r="B36" s="68" t="s">
        <v>85</v>
      </c>
    </row>
    <row r="37" spans="1:2" x14ac:dyDescent="0.25">
      <c r="A37" s="68" t="s">
        <v>88</v>
      </c>
      <c r="B37" s="68" t="s">
        <v>89</v>
      </c>
    </row>
    <row r="38" spans="1:2" x14ac:dyDescent="0.25">
      <c r="A38" s="68" t="s">
        <v>90</v>
      </c>
      <c r="B38" s="68" t="s">
        <v>91</v>
      </c>
    </row>
    <row r="39" spans="1:2" x14ac:dyDescent="0.25">
      <c r="A39" s="68" t="s">
        <v>92</v>
      </c>
      <c r="B39" s="68" t="s">
        <v>37</v>
      </c>
    </row>
    <row r="40" spans="1:2" x14ac:dyDescent="0.25">
      <c r="A40" s="68" t="s">
        <v>93</v>
      </c>
      <c r="B40" s="68" t="s">
        <v>94</v>
      </c>
    </row>
    <row r="41" spans="1:2" x14ac:dyDescent="0.25">
      <c r="A41" s="68" t="s">
        <v>95</v>
      </c>
      <c r="B41" s="68" t="s">
        <v>96</v>
      </c>
    </row>
    <row r="42" spans="1:2" x14ac:dyDescent="0.25">
      <c r="A42" s="68" t="s">
        <v>97</v>
      </c>
      <c r="B42" s="68" t="s">
        <v>98</v>
      </c>
    </row>
    <row r="43" spans="1:2" x14ac:dyDescent="0.25">
      <c r="A43" s="68" t="s">
        <v>99</v>
      </c>
      <c r="B43" s="68" t="s">
        <v>99</v>
      </c>
    </row>
    <row r="44" spans="1:2" x14ac:dyDescent="0.25">
      <c r="A44" s="68" t="s">
        <v>100</v>
      </c>
      <c r="B44" s="68" t="s">
        <v>37</v>
      </c>
    </row>
    <row r="45" spans="1:2" x14ac:dyDescent="0.25">
      <c r="A45" s="68" t="s">
        <v>101</v>
      </c>
      <c r="B45" s="68" t="s">
        <v>102</v>
      </c>
    </row>
    <row r="46" spans="1:2" x14ac:dyDescent="0.25">
      <c r="A46" s="68" t="s">
        <v>103</v>
      </c>
      <c r="B46" s="68" t="s">
        <v>104</v>
      </c>
    </row>
    <row r="47" spans="1:2" x14ac:dyDescent="0.25">
      <c r="A47" s="68" t="s">
        <v>105</v>
      </c>
      <c r="B47" s="68" t="s">
        <v>104</v>
      </c>
    </row>
    <row r="48" spans="1:2" x14ac:dyDescent="0.25">
      <c r="A48" s="68" t="s">
        <v>106</v>
      </c>
      <c r="B48" s="68" t="s">
        <v>107</v>
      </c>
    </row>
    <row r="49" spans="1:2" x14ac:dyDescent="0.25">
      <c r="A49" s="70" t="s">
        <v>108</v>
      </c>
      <c r="B49" s="68" t="s">
        <v>37</v>
      </c>
    </row>
    <row r="50" spans="1:2" x14ac:dyDescent="0.25">
      <c r="A50" s="68" t="s">
        <v>109</v>
      </c>
      <c r="B50" s="68" t="s">
        <v>110</v>
      </c>
    </row>
    <row r="51" spans="1:2" x14ac:dyDescent="0.25">
      <c r="A51" s="68" t="s">
        <v>111</v>
      </c>
      <c r="B51" s="68" t="s">
        <v>110</v>
      </c>
    </row>
    <row r="52" spans="1:2" x14ac:dyDescent="0.25">
      <c r="A52" s="68" t="s">
        <v>112</v>
      </c>
      <c r="B52" s="68" t="s">
        <v>113</v>
      </c>
    </row>
    <row r="53" spans="1:2" x14ac:dyDescent="0.25">
      <c r="A53" s="68" t="s">
        <v>114</v>
      </c>
      <c r="B53" s="68" t="s">
        <v>115</v>
      </c>
    </row>
    <row r="54" spans="1:2" x14ac:dyDescent="0.25">
      <c r="A54" s="68" t="s">
        <v>116</v>
      </c>
      <c r="B54" s="68" t="s">
        <v>117</v>
      </c>
    </row>
    <row r="55" spans="1:2" x14ac:dyDescent="0.25">
      <c r="A55" s="68" t="s">
        <v>118</v>
      </c>
      <c r="B55" s="68" t="s">
        <v>119</v>
      </c>
    </row>
    <row r="56" spans="1:2" x14ac:dyDescent="0.25">
      <c r="A56" s="68" t="s">
        <v>120</v>
      </c>
      <c r="B56" s="68" t="s">
        <v>121</v>
      </c>
    </row>
    <row r="57" spans="1:2" x14ac:dyDescent="0.25">
      <c r="A57" s="68" t="s">
        <v>122</v>
      </c>
      <c r="B57" s="68" t="s">
        <v>121</v>
      </c>
    </row>
    <row r="58" spans="1:2" x14ac:dyDescent="0.25">
      <c r="A58" s="68" t="s">
        <v>123</v>
      </c>
      <c r="B58" s="68" t="s">
        <v>123</v>
      </c>
    </row>
    <row r="59" spans="1:2" x14ac:dyDescent="0.25">
      <c r="A59" s="68" t="s">
        <v>124</v>
      </c>
      <c r="B59" s="68" t="s">
        <v>123</v>
      </c>
    </row>
    <row r="60" spans="1:2" x14ac:dyDescent="0.25">
      <c r="A60" s="68" t="s">
        <v>125</v>
      </c>
      <c r="B60" s="68" t="s">
        <v>126</v>
      </c>
    </row>
    <row r="61" spans="1:2" x14ac:dyDescent="0.25">
      <c r="A61" s="68" t="s">
        <v>127</v>
      </c>
      <c r="B61" s="68" t="s">
        <v>128</v>
      </c>
    </row>
    <row r="62" spans="1:2" x14ac:dyDescent="0.25">
      <c r="A62" s="68" t="s">
        <v>129</v>
      </c>
      <c r="B62" s="68" t="s">
        <v>130</v>
      </c>
    </row>
    <row r="63" spans="1:2" x14ac:dyDescent="0.25">
      <c r="A63" s="68" t="s">
        <v>131</v>
      </c>
      <c r="B63" s="68" t="s">
        <v>37</v>
      </c>
    </row>
    <row r="64" spans="1:2" x14ac:dyDescent="0.25">
      <c r="A64" s="68" t="s">
        <v>132</v>
      </c>
      <c r="B64" s="68" t="s">
        <v>37</v>
      </c>
    </row>
    <row r="65" spans="1:2" x14ac:dyDescent="0.25">
      <c r="A65" s="68" t="s">
        <v>133</v>
      </c>
      <c r="B65" s="68" t="s">
        <v>133</v>
      </c>
    </row>
    <row r="66" spans="1:2" x14ac:dyDescent="0.25">
      <c r="A66" s="68" t="s">
        <v>134</v>
      </c>
      <c r="B66" s="68" t="s">
        <v>37</v>
      </c>
    </row>
    <row r="67" spans="1:2" x14ac:dyDescent="0.25">
      <c r="A67" s="68" t="s">
        <v>135</v>
      </c>
      <c r="B67" s="68" t="s">
        <v>136</v>
      </c>
    </row>
    <row r="68" spans="1:2" x14ac:dyDescent="0.25">
      <c r="A68" s="68" t="s">
        <v>137</v>
      </c>
      <c r="B68" s="68" t="s">
        <v>136</v>
      </c>
    </row>
    <row r="69" spans="1:2" x14ac:dyDescent="0.25">
      <c r="A69" s="68" t="s">
        <v>138</v>
      </c>
      <c r="B69" s="68" t="s">
        <v>139</v>
      </c>
    </row>
    <row r="70" spans="1:2" x14ac:dyDescent="0.25">
      <c r="A70" s="68" t="s">
        <v>140</v>
      </c>
      <c r="B70" s="68" t="s">
        <v>37</v>
      </c>
    </row>
    <row r="71" spans="1:2" x14ac:dyDescent="0.25">
      <c r="A71" s="68" t="s">
        <v>140</v>
      </c>
      <c r="B71" s="68" t="s">
        <v>37</v>
      </c>
    </row>
    <row r="72" spans="1:2" x14ac:dyDescent="0.25">
      <c r="A72" s="68" t="s">
        <v>141</v>
      </c>
      <c r="B72" s="68" t="s">
        <v>37</v>
      </c>
    </row>
    <row r="73" spans="1:2" x14ac:dyDescent="0.25">
      <c r="A73" s="68" t="s">
        <v>142</v>
      </c>
      <c r="B73" s="68" t="s">
        <v>130</v>
      </c>
    </row>
    <row r="74" spans="1:2" x14ac:dyDescent="0.25">
      <c r="A74" s="71" t="s">
        <v>143</v>
      </c>
      <c r="B74" s="68" t="s">
        <v>130</v>
      </c>
    </row>
    <row r="75" spans="1:2" x14ac:dyDescent="0.25">
      <c r="A75" s="68" t="s">
        <v>144</v>
      </c>
      <c r="B75" s="68" t="s">
        <v>130</v>
      </c>
    </row>
    <row r="76" spans="1:2" x14ac:dyDescent="0.25">
      <c r="A76" s="68" t="s">
        <v>145</v>
      </c>
      <c r="B76" s="68" t="s">
        <v>146</v>
      </c>
    </row>
    <row r="77" spans="1:2" x14ac:dyDescent="0.25">
      <c r="A77" s="68" t="s">
        <v>147</v>
      </c>
      <c r="B77" s="68" t="s">
        <v>148</v>
      </c>
    </row>
    <row r="78" spans="1:2" x14ac:dyDescent="0.25">
      <c r="A78" s="68" t="s">
        <v>149</v>
      </c>
      <c r="B78" s="68" t="s">
        <v>146</v>
      </c>
    </row>
    <row r="79" spans="1:2" x14ac:dyDescent="0.25">
      <c r="A79" s="68" t="s">
        <v>150</v>
      </c>
      <c r="B79" s="68" t="s">
        <v>37</v>
      </c>
    </row>
    <row r="80" spans="1:2" x14ac:dyDescent="0.25">
      <c r="A80" s="68" t="s">
        <v>151</v>
      </c>
      <c r="B80" s="68" t="s">
        <v>63</v>
      </c>
    </row>
    <row r="81" spans="1:2" x14ac:dyDescent="0.25">
      <c r="A81" s="68" t="s">
        <v>152</v>
      </c>
      <c r="B81" s="68" t="s">
        <v>152</v>
      </c>
    </row>
    <row r="82" spans="1:2" x14ac:dyDescent="0.25">
      <c r="A82" s="68" t="s">
        <v>153</v>
      </c>
      <c r="B82" s="68" t="s">
        <v>130</v>
      </c>
    </row>
    <row r="83" spans="1:2" x14ac:dyDescent="0.25">
      <c r="A83" s="68" t="s">
        <v>154</v>
      </c>
      <c r="B83" s="68" t="s">
        <v>155</v>
      </c>
    </row>
    <row r="84" spans="1:2" x14ac:dyDescent="0.25">
      <c r="A84" s="68" t="s">
        <v>156</v>
      </c>
      <c r="B84" s="68" t="s">
        <v>99</v>
      </c>
    </row>
    <row r="85" spans="1:2" x14ac:dyDescent="0.25">
      <c r="A85" s="68" t="s">
        <v>157</v>
      </c>
      <c r="B85" s="68" t="s">
        <v>37</v>
      </c>
    </row>
    <row r="86" spans="1:2" x14ac:dyDescent="0.25">
      <c r="A86" s="68" t="s">
        <v>158</v>
      </c>
      <c r="B86" s="68" t="s">
        <v>159</v>
      </c>
    </row>
    <row r="87" spans="1:2" x14ac:dyDescent="0.25">
      <c r="A87" s="68" t="s">
        <v>160</v>
      </c>
      <c r="B87" s="68" t="s">
        <v>161</v>
      </c>
    </row>
    <row r="88" spans="1:2" x14ac:dyDescent="0.25">
      <c r="A88" s="68" t="s">
        <v>162</v>
      </c>
      <c r="B88" s="68" t="s">
        <v>163</v>
      </c>
    </row>
    <row r="89" spans="1:2" x14ac:dyDescent="0.25">
      <c r="A89" s="68" t="s">
        <v>164</v>
      </c>
      <c r="B89" s="68" t="s">
        <v>165</v>
      </c>
    </row>
    <row r="90" spans="1:2" x14ac:dyDescent="0.25">
      <c r="A90" s="68" t="s">
        <v>166</v>
      </c>
      <c r="B90" s="68" t="s">
        <v>37</v>
      </c>
    </row>
    <row r="91" spans="1:2" x14ac:dyDescent="0.25">
      <c r="A91" s="68" t="s">
        <v>167</v>
      </c>
      <c r="B91" s="68" t="s">
        <v>167</v>
      </c>
    </row>
    <row r="92" spans="1:2" x14ac:dyDescent="0.25">
      <c r="A92" s="68" t="s">
        <v>168</v>
      </c>
      <c r="B92" s="68" t="s">
        <v>167</v>
      </c>
    </row>
    <row r="93" spans="1:2" x14ac:dyDescent="0.25">
      <c r="A93" s="68" t="s">
        <v>169</v>
      </c>
      <c r="B93" s="68" t="s">
        <v>78</v>
      </c>
    </row>
    <row r="94" spans="1:2" x14ac:dyDescent="0.25">
      <c r="A94" s="68" t="s">
        <v>170</v>
      </c>
      <c r="B94" s="68" t="s">
        <v>37</v>
      </c>
    </row>
    <row r="95" spans="1:2" x14ac:dyDescent="0.25">
      <c r="A95" s="68" t="s">
        <v>171</v>
      </c>
      <c r="B95" s="68" t="s">
        <v>172</v>
      </c>
    </row>
    <row r="96" spans="1:2" x14ac:dyDescent="0.25">
      <c r="A96" s="68" t="s">
        <v>173</v>
      </c>
      <c r="B96" s="68" t="s">
        <v>174</v>
      </c>
    </row>
    <row r="97" spans="1:2" x14ac:dyDescent="0.25">
      <c r="A97" s="68" t="s">
        <v>175</v>
      </c>
      <c r="B97" s="68" t="s">
        <v>174</v>
      </c>
    </row>
    <row r="98" spans="1:2" x14ac:dyDescent="0.25">
      <c r="A98" s="68" t="s">
        <v>176</v>
      </c>
      <c r="B98" s="68" t="s">
        <v>177</v>
      </c>
    </row>
    <row r="99" spans="1:2" x14ac:dyDescent="0.25">
      <c r="A99" s="68" t="s">
        <v>178</v>
      </c>
      <c r="B99" s="68" t="s">
        <v>177</v>
      </c>
    </row>
    <row r="100" spans="1:2" x14ac:dyDescent="0.25">
      <c r="A100" s="68" t="s">
        <v>179</v>
      </c>
      <c r="B100" s="68" t="s">
        <v>96</v>
      </c>
    </row>
    <row r="101" spans="1:2" x14ac:dyDescent="0.25">
      <c r="A101" s="68" t="s">
        <v>180</v>
      </c>
      <c r="B101" s="68" t="s">
        <v>180</v>
      </c>
    </row>
    <row r="102" spans="1:2" x14ac:dyDescent="0.25">
      <c r="A102" s="68" t="s">
        <v>181</v>
      </c>
      <c r="B102" s="68" t="s">
        <v>182</v>
      </c>
    </row>
    <row r="103" spans="1:2" x14ac:dyDescent="0.25">
      <c r="A103" s="68" t="s">
        <v>183</v>
      </c>
      <c r="B103" s="68" t="s">
        <v>184</v>
      </c>
    </row>
    <row r="104" spans="1:2" x14ac:dyDescent="0.25">
      <c r="A104" s="68" t="s">
        <v>185</v>
      </c>
      <c r="B104" s="68" t="s">
        <v>37</v>
      </c>
    </row>
    <row r="105" spans="1:2" x14ac:dyDescent="0.25">
      <c r="A105" s="68" t="s">
        <v>186</v>
      </c>
      <c r="B105" s="68" t="s">
        <v>187</v>
      </c>
    </row>
    <row r="106" spans="1:2" x14ac:dyDescent="0.25">
      <c r="A106" s="68" t="s">
        <v>187</v>
      </c>
      <c r="B106" s="68" t="s">
        <v>187</v>
      </c>
    </row>
    <row r="107" spans="1:2" x14ac:dyDescent="0.25">
      <c r="A107" s="68" t="s">
        <v>188</v>
      </c>
      <c r="B107" s="68" t="s">
        <v>189</v>
      </c>
    </row>
    <row r="108" spans="1:2" x14ac:dyDescent="0.25">
      <c r="A108" s="68" t="s">
        <v>190</v>
      </c>
      <c r="B108" s="68" t="s">
        <v>189</v>
      </c>
    </row>
    <row r="109" spans="1:2" x14ac:dyDescent="0.25">
      <c r="A109" s="68" t="s">
        <v>191</v>
      </c>
      <c r="B109" s="68" t="s">
        <v>191</v>
      </c>
    </row>
    <row r="110" spans="1:2" x14ac:dyDescent="0.25">
      <c r="A110" s="68" t="s">
        <v>192</v>
      </c>
      <c r="B110" s="68" t="s">
        <v>193</v>
      </c>
    </row>
    <row r="111" spans="1:2" x14ac:dyDescent="0.25">
      <c r="A111" s="68" t="s">
        <v>194</v>
      </c>
      <c r="B111" s="68" t="s">
        <v>195</v>
      </c>
    </row>
    <row r="112" spans="1:2" x14ac:dyDescent="0.25">
      <c r="A112" s="68" t="s">
        <v>196</v>
      </c>
      <c r="B112" s="68" t="s">
        <v>197</v>
      </c>
    </row>
    <row r="113" spans="1:2" x14ac:dyDescent="0.25">
      <c r="A113" s="68" t="s">
        <v>198</v>
      </c>
      <c r="B113" s="68" t="s">
        <v>37</v>
      </c>
    </row>
    <row r="114" spans="1:2" x14ac:dyDescent="0.25">
      <c r="A114" s="68" t="s">
        <v>199</v>
      </c>
      <c r="B114" s="68" t="s">
        <v>200</v>
      </c>
    </row>
    <row r="115" spans="1:2" x14ac:dyDescent="0.25">
      <c r="A115" s="68" t="s">
        <v>201</v>
      </c>
      <c r="B115" s="68" t="s">
        <v>201</v>
      </c>
    </row>
    <row r="116" spans="1:2" x14ac:dyDescent="0.25">
      <c r="A116" s="68" t="s">
        <v>202</v>
      </c>
      <c r="B116" s="68" t="s">
        <v>113</v>
      </c>
    </row>
    <row r="117" spans="1:2" x14ac:dyDescent="0.25">
      <c r="A117" s="68" t="s">
        <v>203</v>
      </c>
      <c r="B117" s="68" t="s">
        <v>201</v>
      </c>
    </row>
    <row r="118" spans="1:2" x14ac:dyDescent="0.25">
      <c r="A118" s="68" t="s">
        <v>204</v>
      </c>
      <c r="B118" s="68" t="s">
        <v>205</v>
      </c>
    </row>
  </sheetData>
  <autoFilter ref="A1:B1" xr:uid="{E6E20DD6-EC04-4736-8DAD-22170E05E5CA}">
    <sortState xmlns:xlrd2="http://schemas.microsoft.com/office/spreadsheetml/2017/richdata2" ref="A2:B93">
      <sortCondition ref="A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EBB9-ED10-4D11-9E8D-03A3F3997FB7}">
  <dimension ref="A1:D511"/>
  <sheetViews>
    <sheetView zoomScaleNormal="100" workbookViewId="0">
      <selection activeCell="D26" sqref="D26"/>
    </sheetView>
  </sheetViews>
  <sheetFormatPr defaultRowHeight="12.75" x14ac:dyDescent="0.2"/>
  <cols>
    <col min="1" max="3" width="15.7109375" style="77" customWidth="1"/>
    <col min="4" max="4" width="71.42578125" style="77" customWidth="1"/>
    <col min="5" max="5" width="25.5703125" style="73" customWidth="1"/>
    <col min="6" max="6" width="23.28515625" style="73" customWidth="1"/>
    <col min="7" max="7" width="22.7109375" style="73" customWidth="1"/>
    <col min="8" max="8" width="24.5703125" style="73" customWidth="1"/>
    <col min="9" max="256" width="9.140625" style="73"/>
    <col min="257" max="259" width="15.7109375" style="73" customWidth="1"/>
    <col min="260" max="260" width="71.42578125" style="73" customWidth="1"/>
    <col min="261" max="261" width="25.5703125" style="73" customWidth="1"/>
    <col min="262" max="262" width="23.28515625" style="73" customWidth="1"/>
    <col min="263" max="263" width="22.7109375" style="73" customWidth="1"/>
    <col min="264" max="264" width="24.5703125" style="73" customWidth="1"/>
    <col min="265" max="512" width="9.140625" style="73"/>
    <col min="513" max="515" width="15.7109375" style="73" customWidth="1"/>
    <col min="516" max="516" width="71.42578125" style="73" customWidth="1"/>
    <col min="517" max="517" width="25.5703125" style="73" customWidth="1"/>
    <col min="518" max="518" width="23.28515625" style="73" customWidth="1"/>
    <col min="519" max="519" width="22.7109375" style="73" customWidth="1"/>
    <col min="520" max="520" width="24.5703125" style="73" customWidth="1"/>
    <col min="521" max="768" width="9.140625" style="73"/>
    <col min="769" max="771" width="15.7109375" style="73" customWidth="1"/>
    <col min="772" max="772" width="71.42578125" style="73" customWidth="1"/>
    <col min="773" max="773" width="25.5703125" style="73" customWidth="1"/>
    <col min="774" max="774" width="23.28515625" style="73" customWidth="1"/>
    <col min="775" max="775" width="22.7109375" style="73" customWidth="1"/>
    <col min="776" max="776" width="24.5703125" style="73" customWidth="1"/>
    <col min="777" max="1024" width="9.140625" style="73"/>
    <col min="1025" max="1027" width="15.7109375" style="73" customWidth="1"/>
    <col min="1028" max="1028" width="71.42578125" style="73" customWidth="1"/>
    <col min="1029" max="1029" width="25.5703125" style="73" customWidth="1"/>
    <col min="1030" max="1030" width="23.28515625" style="73" customWidth="1"/>
    <col min="1031" max="1031" width="22.7109375" style="73" customWidth="1"/>
    <col min="1032" max="1032" width="24.5703125" style="73" customWidth="1"/>
    <col min="1033" max="1280" width="9.140625" style="73"/>
    <col min="1281" max="1283" width="15.7109375" style="73" customWidth="1"/>
    <col min="1284" max="1284" width="71.42578125" style="73" customWidth="1"/>
    <col min="1285" max="1285" width="25.5703125" style="73" customWidth="1"/>
    <col min="1286" max="1286" width="23.28515625" style="73" customWidth="1"/>
    <col min="1287" max="1287" width="22.7109375" style="73" customWidth="1"/>
    <col min="1288" max="1288" width="24.5703125" style="73" customWidth="1"/>
    <col min="1289" max="1536" width="9.140625" style="73"/>
    <col min="1537" max="1539" width="15.7109375" style="73" customWidth="1"/>
    <col min="1540" max="1540" width="71.42578125" style="73" customWidth="1"/>
    <col min="1541" max="1541" width="25.5703125" style="73" customWidth="1"/>
    <col min="1542" max="1542" width="23.28515625" style="73" customWidth="1"/>
    <col min="1543" max="1543" width="22.7109375" style="73" customWidth="1"/>
    <col min="1544" max="1544" width="24.5703125" style="73" customWidth="1"/>
    <col min="1545" max="1792" width="9.140625" style="73"/>
    <col min="1793" max="1795" width="15.7109375" style="73" customWidth="1"/>
    <col min="1796" max="1796" width="71.42578125" style="73" customWidth="1"/>
    <col min="1797" max="1797" width="25.5703125" style="73" customWidth="1"/>
    <col min="1798" max="1798" width="23.28515625" style="73" customWidth="1"/>
    <col min="1799" max="1799" width="22.7109375" style="73" customWidth="1"/>
    <col min="1800" max="1800" width="24.5703125" style="73" customWidth="1"/>
    <col min="1801" max="2048" width="9.140625" style="73"/>
    <col min="2049" max="2051" width="15.7109375" style="73" customWidth="1"/>
    <col min="2052" max="2052" width="71.42578125" style="73" customWidth="1"/>
    <col min="2053" max="2053" width="25.5703125" style="73" customWidth="1"/>
    <col min="2054" max="2054" width="23.28515625" style="73" customWidth="1"/>
    <col min="2055" max="2055" width="22.7109375" style="73" customWidth="1"/>
    <col min="2056" max="2056" width="24.5703125" style="73" customWidth="1"/>
    <col min="2057" max="2304" width="9.140625" style="73"/>
    <col min="2305" max="2307" width="15.7109375" style="73" customWidth="1"/>
    <col min="2308" max="2308" width="71.42578125" style="73" customWidth="1"/>
    <col min="2309" max="2309" width="25.5703125" style="73" customWidth="1"/>
    <col min="2310" max="2310" width="23.28515625" style="73" customWidth="1"/>
    <col min="2311" max="2311" width="22.7109375" style="73" customWidth="1"/>
    <col min="2312" max="2312" width="24.5703125" style="73" customWidth="1"/>
    <col min="2313" max="2560" width="9.140625" style="73"/>
    <col min="2561" max="2563" width="15.7109375" style="73" customWidth="1"/>
    <col min="2564" max="2564" width="71.42578125" style="73" customWidth="1"/>
    <col min="2565" max="2565" width="25.5703125" style="73" customWidth="1"/>
    <col min="2566" max="2566" width="23.28515625" style="73" customWidth="1"/>
    <col min="2567" max="2567" width="22.7109375" style="73" customWidth="1"/>
    <col min="2568" max="2568" width="24.5703125" style="73" customWidth="1"/>
    <col min="2569" max="2816" width="9.140625" style="73"/>
    <col min="2817" max="2819" width="15.7109375" style="73" customWidth="1"/>
    <col min="2820" max="2820" width="71.42578125" style="73" customWidth="1"/>
    <col min="2821" max="2821" width="25.5703125" style="73" customWidth="1"/>
    <col min="2822" max="2822" width="23.28515625" style="73" customWidth="1"/>
    <col min="2823" max="2823" width="22.7109375" style="73" customWidth="1"/>
    <col min="2824" max="2824" width="24.5703125" style="73" customWidth="1"/>
    <col min="2825" max="3072" width="9.140625" style="73"/>
    <col min="3073" max="3075" width="15.7109375" style="73" customWidth="1"/>
    <col min="3076" max="3076" width="71.42578125" style="73" customWidth="1"/>
    <col min="3077" max="3077" width="25.5703125" style="73" customWidth="1"/>
    <col min="3078" max="3078" width="23.28515625" style="73" customWidth="1"/>
    <col min="3079" max="3079" width="22.7109375" style="73" customWidth="1"/>
    <col min="3080" max="3080" width="24.5703125" style="73" customWidth="1"/>
    <col min="3081" max="3328" width="9.140625" style="73"/>
    <col min="3329" max="3331" width="15.7109375" style="73" customWidth="1"/>
    <col min="3332" max="3332" width="71.42578125" style="73" customWidth="1"/>
    <col min="3333" max="3333" width="25.5703125" style="73" customWidth="1"/>
    <col min="3334" max="3334" width="23.28515625" style="73" customWidth="1"/>
    <col min="3335" max="3335" width="22.7109375" style="73" customWidth="1"/>
    <col min="3336" max="3336" width="24.5703125" style="73" customWidth="1"/>
    <col min="3337" max="3584" width="9.140625" style="73"/>
    <col min="3585" max="3587" width="15.7109375" style="73" customWidth="1"/>
    <col min="3588" max="3588" width="71.42578125" style="73" customWidth="1"/>
    <col min="3589" max="3589" width="25.5703125" style="73" customWidth="1"/>
    <col min="3590" max="3590" width="23.28515625" style="73" customWidth="1"/>
    <col min="3591" max="3591" width="22.7109375" style="73" customWidth="1"/>
    <col min="3592" max="3592" width="24.5703125" style="73" customWidth="1"/>
    <col min="3593" max="3840" width="9.140625" style="73"/>
    <col min="3841" max="3843" width="15.7109375" style="73" customWidth="1"/>
    <col min="3844" max="3844" width="71.42578125" style="73" customWidth="1"/>
    <col min="3845" max="3845" width="25.5703125" style="73" customWidth="1"/>
    <col min="3846" max="3846" width="23.28515625" style="73" customWidth="1"/>
    <col min="3847" max="3847" width="22.7109375" style="73" customWidth="1"/>
    <col min="3848" max="3848" width="24.5703125" style="73" customWidth="1"/>
    <col min="3849" max="4096" width="9.140625" style="73"/>
    <col min="4097" max="4099" width="15.7109375" style="73" customWidth="1"/>
    <col min="4100" max="4100" width="71.42578125" style="73" customWidth="1"/>
    <col min="4101" max="4101" width="25.5703125" style="73" customWidth="1"/>
    <col min="4102" max="4102" width="23.28515625" style="73" customWidth="1"/>
    <col min="4103" max="4103" width="22.7109375" style="73" customWidth="1"/>
    <col min="4104" max="4104" width="24.5703125" style="73" customWidth="1"/>
    <col min="4105" max="4352" width="9.140625" style="73"/>
    <col min="4353" max="4355" width="15.7109375" style="73" customWidth="1"/>
    <col min="4356" max="4356" width="71.42578125" style="73" customWidth="1"/>
    <col min="4357" max="4357" width="25.5703125" style="73" customWidth="1"/>
    <col min="4358" max="4358" width="23.28515625" style="73" customWidth="1"/>
    <col min="4359" max="4359" width="22.7109375" style="73" customWidth="1"/>
    <col min="4360" max="4360" width="24.5703125" style="73" customWidth="1"/>
    <col min="4361" max="4608" width="9.140625" style="73"/>
    <col min="4609" max="4611" width="15.7109375" style="73" customWidth="1"/>
    <col min="4612" max="4612" width="71.42578125" style="73" customWidth="1"/>
    <col min="4613" max="4613" width="25.5703125" style="73" customWidth="1"/>
    <col min="4614" max="4614" width="23.28515625" style="73" customWidth="1"/>
    <col min="4615" max="4615" width="22.7109375" style="73" customWidth="1"/>
    <col min="4616" max="4616" width="24.5703125" style="73" customWidth="1"/>
    <col min="4617" max="4864" width="9.140625" style="73"/>
    <col min="4865" max="4867" width="15.7109375" style="73" customWidth="1"/>
    <col min="4868" max="4868" width="71.42578125" style="73" customWidth="1"/>
    <col min="4869" max="4869" width="25.5703125" style="73" customWidth="1"/>
    <col min="4870" max="4870" width="23.28515625" style="73" customWidth="1"/>
    <col min="4871" max="4871" width="22.7109375" style="73" customWidth="1"/>
    <col min="4872" max="4872" width="24.5703125" style="73" customWidth="1"/>
    <col min="4873" max="5120" width="9.140625" style="73"/>
    <col min="5121" max="5123" width="15.7109375" style="73" customWidth="1"/>
    <col min="5124" max="5124" width="71.42578125" style="73" customWidth="1"/>
    <col min="5125" max="5125" width="25.5703125" style="73" customWidth="1"/>
    <col min="5126" max="5126" width="23.28515625" style="73" customWidth="1"/>
    <col min="5127" max="5127" width="22.7109375" style="73" customWidth="1"/>
    <col min="5128" max="5128" width="24.5703125" style="73" customWidth="1"/>
    <col min="5129" max="5376" width="9.140625" style="73"/>
    <col min="5377" max="5379" width="15.7109375" style="73" customWidth="1"/>
    <col min="5380" max="5380" width="71.42578125" style="73" customWidth="1"/>
    <col min="5381" max="5381" width="25.5703125" style="73" customWidth="1"/>
    <col min="5382" max="5382" width="23.28515625" style="73" customWidth="1"/>
    <col min="5383" max="5383" width="22.7109375" style="73" customWidth="1"/>
    <col min="5384" max="5384" width="24.5703125" style="73" customWidth="1"/>
    <col min="5385" max="5632" width="9.140625" style="73"/>
    <col min="5633" max="5635" width="15.7109375" style="73" customWidth="1"/>
    <col min="5636" max="5636" width="71.42578125" style="73" customWidth="1"/>
    <col min="5637" max="5637" width="25.5703125" style="73" customWidth="1"/>
    <col min="5638" max="5638" width="23.28515625" style="73" customWidth="1"/>
    <col min="5639" max="5639" width="22.7109375" style="73" customWidth="1"/>
    <col min="5640" max="5640" width="24.5703125" style="73" customWidth="1"/>
    <col min="5641" max="5888" width="9.140625" style="73"/>
    <col min="5889" max="5891" width="15.7109375" style="73" customWidth="1"/>
    <col min="5892" max="5892" width="71.42578125" style="73" customWidth="1"/>
    <col min="5893" max="5893" width="25.5703125" style="73" customWidth="1"/>
    <col min="5894" max="5894" width="23.28515625" style="73" customWidth="1"/>
    <col min="5895" max="5895" width="22.7109375" style="73" customWidth="1"/>
    <col min="5896" max="5896" width="24.5703125" style="73" customWidth="1"/>
    <col min="5897" max="6144" width="9.140625" style="73"/>
    <col min="6145" max="6147" width="15.7109375" style="73" customWidth="1"/>
    <col min="6148" max="6148" width="71.42578125" style="73" customWidth="1"/>
    <col min="6149" max="6149" width="25.5703125" style="73" customWidth="1"/>
    <col min="6150" max="6150" width="23.28515625" style="73" customWidth="1"/>
    <col min="6151" max="6151" width="22.7109375" style="73" customWidth="1"/>
    <col min="6152" max="6152" width="24.5703125" style="73" customWidth="1"/>
    <col min="6153" max="6400" width="9.140625" style="73"/>
    <col min="6401" max="6403" width="15.7109375" style="73" customWidth="1"/>
    <col min="6404" max="6404" width="71.42578125" style="73" customWidth="1"/>
    <col min="6405" max="6405" width="25.5703125" style="73" customWidth="1"/>
    <col min="6406" max="6406" width="23.28515625" style="73" customWidth="1"/>
    <col min="6407" max="6407" width="22.7109375" style="73" customWidth="1"/>
    <col min="6408" max="6408" width="24.5703125" style="73" customWidth="1"/>
    <col min="6409" max="6656" width="9.140625" style="73"/>
    <col min="6657" max="6659" width="15.7109375" style="73" customWidth="1"/>
    <col min="6660" max="6660" width="71.42578125" style="73" customWidth="1"/>
    <col min="6661" max="6661" width="25.5703125" style="73" customWidth="1"/>
    <col min="6662" max="6662" width="23.28515625" style="73" customWidth="1"/>
    <col min="6663" max="6663" width="22.7109375" style="73" customWidth="1"/>
    <col min="6664" max="6664" width="24.5703125" style="73" customWidth="1"/>
    <col min="6665" max="6912" width="9.140625" style="73"/>
    <col min="6913" max="6915" width="15.7109375" style="73" customWidth="1"/>
    <col min="6916" max="6916" width="71.42578125" style="73" customWidth="1"/>
    <col min="6917" max="6917" width="25.5703125" style="73" customWidth="1"/>
    <col min="6918" max="6918" width="23.28515625" style="73" customWidth="1"/>
    <col min="6919" max="6919" width="22.7109375" style="73" customWidth="1"/>
    <col min="6920" max="6920" width="24.5703125" style="73" customWidth="1"/>
    <col min="6921" max="7168" width="9.140625" style="73"/>
    <col min="7169" max="7171" width="15.7109375" style="73" customWidth="1"/>
    <col min="7172" max="7172" width="71.42578125" style="73" customWidth="1"/>
    <col min="7173" max="7173" width="25.5703125" style="73" customWidth="1"/>
    <col min="7174" max="7174" width="23.28515625" style="73" customWidth="1"/>
    <col min="7175" max="7175" width="22.7109375" style="73" customWidth="1"/>
    <col min="7176" max="7176" width="24.5703125" style="73" customWidth="1"/>
    <col min="7177" max="7424" width="9.140625" style="73"/>
    <col min="7425" max="7427" width="15.7109375" style="73" customWidth="1"/>
    <col min="7428" max="7428" width="71.42578125" style="73" customWidth="1"/>
    <col min="7429" max="7429" width="25.5703125" style="73" customWidth="1"/>
    <col min="7430" max="7430" width="23.28515625" style="73" customWidth="1"/>
    <col min="7431" max="7431" width="22.7109375" style="73" customWidth="1"/>
    <col min="7432" max="7432" width="24.5703125" style="73" customWidth="1"/>
    <col min="7433" max="7680" width="9.140625" style="73"/>
    <col min="7681" max="7683" width="15.7109375" style="73" customWidth="1"/>
    <col min="7684" max="7684" width="71.42578125" style="73" customWidth="1"/>
    <col min="7685" max="7685" width="25.5703125" style="73" customWidth="1"/>
    <col min="7686" max="7686" width="23.28515625" style="73" customWidth="1"/>
    <col min="7687" max="7687" width="22.7109375" style="73" customWidth="1"/>
    <col min="7688" max="7688" width="24.5703125" style="73" customWidth="1"/>
    <col min="7689" max="7936" width="9.140625" style="73"/>
    <col min="7937" max="7939" width="15.7109375" style="73" customWidth="1"/>
    <col min="7940" max="7940" width="71.42578125" style="73" customWidth="1"/>
    <col min="7941" max="7941" width="25.5703125" style="73" customWidth="1"/>
    <col min="7942" max="7942" width="23.28515625" style="73" customWidth="1"/>
    <col min="7943" max="7943" width="22.7109375" style="73" customWidth="1"/>
    <col min="7944" max="7944" width="24.5703125" style="73" customWidth="1"/>
    <col min="7945" max="8192" width="9.140625" style="73"/>
    <col min="8193" max="8195" width="15.7109375" style="73" customWidth="1"/>
    <col min="8196" max="8196" width="71.42578125" style="73" customWidth="1"/>
    <col min="8197" max="8197" width="25.5703125" style="73" customWidth="1"/>
    <col min="8198" max="8198" width="23.28515625" style="73" customWidth="1"/>
    <col min="8199" max="8199" width="22.7109375" style="73" customWidth="1"/>
    <col min="8200" max="8200" width="24.5703125" style="73" customWidth="1"/>
    <col min="8201" max="8448" width="9.140625" style="73"/>
    <col min="8449" max="8451" width="15.7109375" style="73" customWidth="1"/>
    <col min="8452" max="8452" width="71.42578125" style="73" customWidth="1"/>
    <col min="8453" max="8453" width="25.5703125" style="73" customWidth="1"/>
    <col min="8454" max="8454" width="23.28515625" style="73" customWidth="1"/>
    <col min="8455" max="8455" width="22.7109375" style="73" customWidth="1"/>
    <col min="8456" max="8456" width="24.5703125" style="73" customWidth="1"/>
    <col min="8457" max="8704" width="9.140625" style="73"/>
    <col min="8705" max="8707" width="15.7109375" style="73" customWidth="1"/>
    <col min="8708" max="8708" width="71.42578125" style="73" customWidth="1"/>
    <col min="8709" max="8709" width="25.5703125" style="73" customWidth="1"/>
    <col min="8710" max="8710" width="23.28515625" style="73" customWidth="1"/>
    <col min="8711" max="8711" width="22.7109375" style="73" customWidth="1"/>
    <col min="8712" max="8712" width="24.5703125" style="73" customWidth="1"/>
    <col min="8713" max="8960" width="9.140625" style="73"/>
    <col min="8961" max="8963" width="15.7109375" style="73" customWidth="1"/>
    <col min="8964" max="8964" width="71.42578125" style="73" customWidth="1"/>
    <col min="8965" max="8965" width="25.5703125" style="73" customWidth="1"/>
    <col min="8966" max="8966" width="23.28515625" style="73" customWidth="1"/>
    <col min="8967" max="8967" width="22.7109375" style="73" customWidth="1"/>
    <col min="8968" max="8968" width="24.5703125" style="73" customWidth="1"/>
    <col min="8969" max="9216" width="9.140625" style="73"/>
    <col min="9217" max="9219" width="15.7109375" style="73" customWidth="1"/>
    <col min="9220" max="9220" width="71.42578125" style="73" customWidth="1"/>
    <col min="9221" max="9221" width="25.5703125" style="73" customWidth="1"/>
    <col min="9222" max="9222" width="23.28515625" style="73" customWidth="1"/>
    <col min="9223" max="9223" width="22.7109375" style="73" customWidth="1"/>
    <col min="9224" max="9224" width="24.5703125" style="73" customWidth="1"/>
    <col min="9225" max="9472" width="9.140625" style="73"/>
    <col min="9473" max="9475" width="15.7109375" style="73" customWidth="1"/>
    <col min="9476" max="9476" width="71.42578125" style="73" customWidth="1"/>
    <col min="9477" max="9477" width="25.5703125" style="73" customWidth="1"/>
    <col min="9478" max="9478" width="23.28515625" style="73" customWidth="1"/>
    <col min="9479" max="9479" width="22.7109375" style="73" customWidth="1"/>
    <col min="9480" max="9480" width="24.5703125" style="73" customWidth="1"/>
    <col min="9481" max="9728" width="9.140625" style="73"/>
    <col min="9729" max="9731" width="15.7109375" style="73" customWidth="1"/>
    <col min="9732" max="9732" width="71.42578125" style="73" customWidth="1"/>
    <col min="9733" max="9733" width="25.5703125" style="73" customWidth="1"/>
    <col min="9734" max="9734" width="23.28515625" style="73" customWidth="1"/>
    <col min="9735" max="9735" width="22.7109375" style="73" customWidth="1"/>
    <col min="9736" max="9736" width="24.5703125" style="73" customWidth="1"/>
    <col min="9737" max="9984" width="9.140625" style="73"/>
    <col min="9985" max="9987" width="15.7109375" style="73" customWidth="1"/>
    <col min="9988" max="9988" width="71.42578125" style="73" customWidth="1"/>
    <col min="9989" max="9989" width="25.5703125" style="73" customWidth="1"/>
    <col min="9990" max="9990" width="23.28515625" style="73" customWidth="1"/>
    <col min="9991" max="9991" width="22.7109375" style="73" customWidth="1"/>
    <col min="9992" max="9992" width="24.5703125" style="73" customWidth="1"/>
    <col min="9993" max="10240" width="9.140625" style="73"/>
    <col min="10241" max="10243" width="15.7109375" style="73" customWidth="1"/>
    <col min="10244" max="10244" width="71.42578125" style="73" customWidth="1"/>
    <col min="10245" max="10245" width="25.5703125" style="73" customWidth="1"/>
    <col min="10246" max="10246" width="23.28515625" style="73" customWidth="1"/>
    <col min="10247" max="10247" width="22.7109375" style="73" customWidth="1"/>
    <col min="10248" max="10248" width="24.5703125" style="73" customWidth="1"/>
    <col min="10249" max="10496" width="9.140625" style="73"/>
    <col min="10497" max="10499" width="15.7109375" style="73" customWidth="1"/>
    <col min="10500" max="10500" width="71.42578125" style="73" customWidth="1"/>
    <col min="10501" max="10501" width="25.5703125" style="73" customWidth="1"/>
    <col min="10502" max="10502" width="23.28515625" style="73" customWidth="1"/>
    <col min="10503" max="10503" width="22.7109375" style="73" customWidth="1"/>
    <col min="10504" max="10504" width="24.5703125" style="73" customWidth="1"/>
    <col min="10505" max="10752" width="9.140625" style="73"/>
    <col min="10753" max="10755" width="15.7109375" style="73" customWidth="1"/>
    <col min="10756" max="10756" width="71.42578125" style="73" customWidth="1"/>
    <col min="10757" max="10757" width="25.5703125" style="73" customWidth="1"/>
    <col min="10758" max="10758" width="23.28515625" style="73" customWidth="1"/>
    <col min="10759" max="10759" width="22.7109375" style="73" customWidth="1"/>
    <col min="10760" max="10760" width="24.5703125" style="73" customWidth="1"/>
    <col min="10761" max="11008" width="9.140625" style="73"/>
    <col min="11009" max="11011" width="15.7109375" style="73" customWidth="1"/>
    <col min="11012" max="11012" width="71.42578125" style="73" customWidth="1"/>
    <col min="11013" max="11013" width="25.5703125" style="73" customWidth="1"/>
    <col min="11014" max="11014" width="23.28515625" style="73" customWidth="1"/>
    <col min="11015" max="11015" width="22.7109375" style="73" customWidth="1"/>
    <col min="11016" max="11016" width="24.5703125" style="73" customWidth="1"/>
    <col min="11017" max="11264" width="9.140625" style="73"/>
    <col min="11265" max="11267" width="15.7109375" style="73" customWidth="1"/>
    <col min="11268" max="11268" width="71.42578125" style="73" customWidth="1"/>
    <col min="11269" max="11269" width="25.5703125" style="73" customWidth="1"/>
    <col min="11270" max="11270" width="23.28515625" style="73" customWidth="1"/>
    <col min="11271" max="11271" width="22.7109375" style="73" customWidth="1"/>
    <col min="11272" max="11272" width="24.5703125" style="73" customWidth="1"/>
    <col min="11273" max="11520" width="9.140625" style="73"/>
    <col min="11521" max="11523" width="15.7109375" style="73" customWidth="1"/>
    <col min="11524" max="11524" width="71.42578125" style="73" customWidth="1"/>
    <col min="11525" max="11525" width="25.5703125" style="73" customWidth="1"/>
    <col min="11526" max="11526" width="23.28515625" style="73" customWidth="1"/>
    <col min="11527" max="11527" width="22.7109375" style="73" customWidth="1"/>
    <col min="11528" max="11528" width="24.5703125" style="73" customWidth="1"/>
    <col min="11529" max="11776" width="9.140625" style="73"/>
    <col min="11777" max="11779" width="15.7109375" style="73" customWidth="1"/>
    <col min="11780" max="11780" width="71.42578125" style="73" customWidth="1"/>
    <col min="11781" max="11781" width="25.5703125" style="73" customWidth="1"/>
    <col min="11782" max="11782" width="23.28515625" style="73" customWidth="1"/>
    <col min="11783" max="11783" width="22.7109375" style="73" customWidth="1"/>
    <col min="11784" max="11784" width="24.5703125" style="73" customWidth="1"/>
    <col min="11785" max="12032" width="9.140625" style="73"/>
    <col min="12033" max="12035" width="15.7109375" style="73" customWidth="1"/>
    <col min="12036" max="12036" width="71.42578125" style="73" customWidth="1"/>
    <col min="12037" max="12037" width="25.5703125" style="73" customWidth="1"/>
    <col min="12038" max="12038" width="23.28515625" style="73" customWidth="1"/>
    <col min="12039" max="12039" width="22.7109375" style="73" customWidth="1"/>
    <col min="12040" max="12040" width="24.5703125" style="73" customWidth="1"/>
    <col min="12041" max="12288" width="9.140625" style="73"/>
    <col min="12289" max="12291" width="15.7109375" style="73" customWidth="1"/>
    <col min="12292" max="12292" width="71.42578125" style="73" customWidth="1"/>
    <col min="12293" max="12293" width="25.5703125" style="73" customWidth="1"/>
    <col min="12294" max="12294" width="23.28515625" style="73" customWidth="1"/>
    <col min="12295" max="12295" width="22.7109375" style="73" customWidth="1"/>
    <col min="12296" max="12296" width="24.5703125" style="73" customWidth="1"/>
    <col min="12297" max="12544" width="9.140625" style="73"/>
    <col min="12545" max="12547" width="15.7109375" style="73" customWidth="1"/>
    <col min="12548" max="12548" width="71.42578125" style="73" customWidth="1"/>
    <col min="12549" max="12549" width="25.5703125" style="73" customWidth="1"/>
    <col min="12550" max="12550" width="23.28515625" style="73" customWidth="1"/>
    <col min="12551" max="12551" width="22.7109375" style="73" customWidth="1"/>
    <col min="12552" max="12552" width="24.5703125" style="73" customWidth="1"/>
    <col min="12553" max="12800" width="9.140625" style="73"/>
    <col min="12801" max="12803" width="15.7109375" style="73" customWidth="1"/>
    <col min="12804" max="12804" width="71.42578125" style="73" customWidth="1"/>
    <col min="12805" max="12805" width="25.5703125" style="73" customWidth="1"/>
    <col min="12806" max="12806" width="23.28515625" style="73" customWidth="1"/>
    <col min="12807" max="12807" width="22.7109375" style="73" customWidth="1"/>
    <col min="12808" max="12808" width="24.5703125" style="73" customWidth="1"/>
    <col min="12809" max="13056" width="9.140625" style="73"/>
    <col min="13057" max="13059" width="15.7109375" style="73" customWidth="1"/>
    <col min="13060" max="13060" width="71.42578125" style="73" customWidth="1"/>
    <col min="13061" max="13061" width="25.5703125" style="73" customWidth="1"/>
    <col min="13062" max="13062" width="23.28515625" style="73" customWidth="1"/>
    <col min="13063" max="13063" width="22.7109375" style="73" customWidth="1"/>
    <col min="13064" max="13064" width="24.5703125" style="73" customWidth="1"/>
    <col min="13065" max="13312" width="9.140625" style="73"/>
    <col min="13313" max="13315" width="15.7109375" style="73" customWidth="1"/>
    <col min="13316" max="13316" width="71.42578125" style="73" customWidth="1"/>
    <col min="13317" max="13317" width="25.5703125" style="73" customWidth="1"/>
    <col min="13318" max="13318" width="23.28515625" style="73" customWidth="1"/>
    <col min="13319" max="13319" width="22.7109375" style="73" customWidth="1"/>
    <col min="13320" max="13320" width="24.5703125" style="73" customWidth="1"/>
    <col min="13321" max="13568" width="9.140625" style="73"/>
    <col min="13569" max="13571" width="15.7109375" style="73" customWidth="1"/>
    <col min="13572" max="13572" width="71.42578125" style="73" customWidth="1"/>
    <col min="13573" max="13573" width="25.5703125" style="73" customWidth="1"/>
    <col min="13574" max="13574" width="23.28515625" style="73" customWidth="1"/>
    <col min="13575" max="13575" width="22.7109375" style="73" customWidth="1"/>
    <col min="13576" max="13576" width="24.5703125" style="73" customWidth="1"/>
    <col min="13577" max="13824" width="9.140625" style="73"/>
    <col min="13825" max="13827" width="15.7109375" style="73" customWidth="1"/>
    <col min="13828" max="13828" width="71.42578125" style="73" customWidth="1"/>
    <col min="13829" max="13829" width="25.5703125" style="73" customWidth="1"/>
    <col min="13830" max="13830" width="23.28515625" style="73" customWidth="1"/>
    <col min="13831" max="13831" width="22.7109375" style="73" customWidth="1"/>
    <col min="13832" max="13832" width="24.5703125" style="73" customWidth="1"/>
    <col min="13833" max="14080" width="9.140625" style="73"/>
    <col min="14081" max="14083" width="15.7109375" style="73" customWidth="1"/>
    <col min="14084" max="14084" width="71.42578125" style="73" customWidth="1"/>
    <col min="14085" max="14085" width="25.5703125" style="73" customWidth="1"/>
    <col min="14086" max="14086" width="23.28515625" style="73" customWidth="1"/>
    <col min="14087" max="14087" width="22.7109375" style="73" customWidth="1"/>
    <col min="14088" max="14088" width="24.5703125" style="73" customWidth="1"/>
    <col min="14089" max="14336" width="9.140625" style="73"/>
    <col min="14337" max="14339" width="15.7109375" style="73" customWidth="1"/>
    <col min="14340" max="14340" width="71.42578125" style="73" customWidth="1"/>
    <col min="14341" max="14341" width="25.5703125" style="73" customWidth="1"/>
    <col min="14342" max="14342" width="23.28515625" style="73" customWidth="1"/>
    <col min="14343" max="14343" width="22.7109375" style="73" customWidth="1"/>
    <col min="14344" max="14344" width="24.5703125" style="73" customWidth="1"/>
    <col min="14345" max="14592" width="9.140625" style="73"/>
    <col min="14593" max="14595" width="15.7109375" style="73" customWidth="1"/>
    <col min="14596" max="14596" width="71.42578125" style="73" customWidth="1"/>
    <col min="14597" max="14597" width="25.5703125" style="73" customWidth="1"/>
    <col min="14598" max="14598" width="23.28515625" style="73" customWidth="1"/>
    <col min="14599" max="14599" width="22.7109375" style="73" customWidth="1"/>
    <col min="14600" max="14600" width="24.5703125" style="73" customWidth="1"/>
    <col min="14601" max="14848" width="9.140625" style="73"/>
    <col min="14849" max="14851" width="15.7109375" style="73" customWidth="1"/>
    <col min="14852" max="14852" width="71.42578125" style="73" customWidth="1"/>
    <col min="14853" max="14853" width="25.5703125" style="73" customWidth="1"/>
    <col min="14854" max="14854" width="23.28515625" style="73" customWidth="1"/>
    <col min="14855" max="14855" width="22.7109375" style="73" customWidth="1"/>
    <col min="14856" max="14856" width="24.5703125" style="73" customWidth="1"/>
    <col min="14857" max="15104" width="9.140625" style="73"/>
    <col min="15105" max="15107" width="15.7109375" style="73" customWidth="1"/>
    <col min="15108" max="15108" width="71.42578125" style="73" customWidth="1"/>
    <col min="15109" max="15109" width="25.5703125" style="73" customWidth="1"/>
    <col min="15110" max="15110" width="23.28515625" style="73" customWidth="1"/>
    <col min="15111" max="15111" width="22.7109375" style="73" customWidth="1"/>
    <col min="15112" max="15112" width="24.5703125" style="73" customWidth="1"/>
    <col min="15113" max="15360" width="9.140625" style="73"/>
    <col min="15361" max="15363" width="15.7109375" style="73" customWidth="1"/>
    <col min="15364" max="15364" width="71.42578125" style="73" customWidth="1"/>
    <col min="15365" max="15365" width="25.5703125" style="73" customWidth="1"/>
    <col min="15366" max="15366" width="23.28515625" style="73" customWidth="1"/>
    <col min="15367" max="15367" width="22.7109375" style="73" customWidth="1"/>
    <col min="15368" max="15368" width="24.5703125" style="73" customWidth="1"/>
    <col min="15369" max="15616" width="9.140625" style="73"/>
    <col min="15617" max="15619" width="15.7109375" style="73" customWidth="1"/>
    <col min="15620" max="15620" width="71.42578125" style="73" customWidth="1"/>
    <col min="15621" max="15621" width="25.5703125" style="73" customWidth="1"/>
    <col min="15622" max="15622" width="23.28515625" style="73" customWidth="1"/>
    <col min="15623" max="15623" width="22.7109375" style="73" customWidth="1"/>
    <col min="15624" max="15624" width="24.5703125" style="73" customWidth="1"/>
    <col min="15625" max="15872" width="9.140625" style="73"/>
    <col min="15873" max="15875" width="15.7109375" style="73" customWidth="1"/>
    <col min="15876" max="15876" width="71.42578125" style="73" customWidth="1"/>
    <col min="15877" max="15877" width="25.5703125" style="73" customWidth="1"/>
    <col min="15878" max="15878" width="23.28515625" style="73" customWidth="1"/>
    <col min="15879" max="15879" width="22.7109375" style="73" customWidth="1"/>
    <col min="15880" max="15880" width="24.5703125" style="73" customWidth="1"/>
    <col min="15881" max="16128" width="9.140625" style="73"/>
    <col min="16129" max="16131" width="15.7109375" style="73" customWidth="1"/>
    <col min="16132" max="16132" width="71.42578125" style="73" customWidth="1"/>
    <col min="16133" max="16133" width="25.5703125" style="73" customWidth="1"/>
    <col min="16134" max="16134" width="23.28515625" style="73" customWidth="1"/>
    <col min="16135" max="16135" width="22.7109375" style="73" customWidth="1"/>
    <col min="16136" max="16136" width="24.5703125" style="73" customWidth="1"/>
    <col min="16137" max="16384" width="9.140625" style="73"/>
  </cols>
  <sheetData>
    <row r="1" spans="1:4" ht="16.5" thickBot="1" x14ac:dyDescent="0.25">
      <c r="A1" s="72" t="s">
        <v>206</v>
      </c>
      <c r="B1" s="72" t="s">
        <v>207</v>
      </c>
      <c r="C1" s="72" t="s">
        <v>208</v>
      </c>
      <c r="D1" s="72" t="s">
        <v>209</v>
      </c>
    </row>
    <row r="2" spans="1:4" ht="21" x14ac:dyDescent="0.2">
      <c r="A2" s="74"/>
      <c r="B2" s="74"/>
      <c r="C2" s="74"/>
      <c r="D2" s="74"/>
    </row>
    <row r="3" spans="1:4" ht="21" x14ac:dyDescent="0.2">
      <c r="A3" s="75"/>
      <c r="B3" s="75"/>
      <c r="C3" s="75"/>
      <c r="D3" s="75"/>
    </row>
    <row r="4" spans="1:4" ht="21" x14ac:dyDescent="0.2">
      <c r="A4" s="75"/>
      <c r="B4" s="75"/>
      <c r="C4" s="75"/>
      <c r="D4" s="75"/>
    </row>
    <row r="5" spans="1:4" ht="21" x14ac:dyDescent="0.2">
      <c r="A5" s="75"/>
      <c r="B5" s="75"/>
      <c r="C5" s="75"/>
      <c r="D5" s="75"/>
    </row>
    <row r="6" spans="1:4" ht="21" x14ac:dyDescent="0.2">
      <c r="A6" s="75"/>
      <c r="B6" s="75"/>
      <c r="C6" s="75"/>
      <c r="D6" s="75"/>
    </row>
    <row r="7" spans="1:4" ht="21" x14ac:dyDescent="0.2">
      <c r="A7" s="75"/>
      <c r="B7" s="75"/>
      <c r="C7" s="75"/>
      <c r="D7" s="75"/>
    </row>
    <row r="8" spans="1:4" ht="21" x14ac:dyDescent="0.2">
      <c r="A8" s="75"/>
      <c r="B8" s="75"/>
      <c r="C8" s="75"/>
      <c r="D8" s="75"/>
    </row>
    <row r="9" spans="1:4" ht="21" x14ac:dyDescent="0.2">
      <c r="A9" s="75"/>
      <c r="B9" s="75"/>
      <c r="C9" s="75"/>
      <c r="D9" s="75"/>
    </row>
    <row r="10" spans="1:4" ht="21" x14ac:dyDescent="0.2">
      <c r="A10" s="75"/>
      <c r="B10" s="75"/>
      <c r="C10" s="75"/>
      <c r="D10" s="75"/>
    </row>
    <row r="11" spans="1:4" ht="21" x14ac:dyDescent="0.2">
      <c r="A11" s="75"/>
      <c r="B11" s="75"/>
      <c r="C11" s="75"/>
      <c r="D11" s="75"/>
    </row>
    <row r="12" spans="1:4" ht="21" x14ac:dyDescent="0.2">
      <c r="A12" s="75"/>
      <c r="B12" s="75"/>
      <c r="C12" s="75"/>
      <c r="D12" s="75"/>
    </row>
    <row r="13" spans="1:4" ht="21" x14ac:dyDescent="0.2">
      <c r="A13" s="75"/>
      <c r="B13" s="75"/>
      <c r="C13" s="75"/>
      <c r="D13" s="75"/>
    </row>
    <row r="14" spans="1:4" ht="21" x14ac:dyDescent="0.2">
      <c r="A14" s="75"/>
      <c r="B14" s="75"/>
      <c r="C14" s="75"/>
      <c r="D14" s="75"/>
    </row>
    <row r="15" spans="1:4" ht="21" x14ac:dyDescent="0.2">
      <c r="A15" s="75"/>
      <c r="B15" s="75"/>
      <c r="C15" s="75"/>
      <c r="D15" s="75"/>
    </row>
    <row r="16" spans="1:4" ht="21" x14ac:dyDescent="0.2">
      <c r="A16" s="75"/>
      <c r="B16" s="75"/>
      <c r="C16" s="75"/>
      <c r="D16" s="75"/>
    </row>
    <row r="17" spans="1:4" ht="21" x14ac:dyDescent="0.2">
      <c r="A17" s="75"/>
      <c r="B17" s="75"/>
      <c r="C17" s="75"/>
      <c r="D17" s="75"/>
    </row>
    <row r="18" spans="1:4" ht="21" x14ac:dyDescent="0.2">
      <c r="A18" s="75"/>
      <c r="B18" s="75"/>
      <c r="C18" s="75"/>
      <c r="D18" s="75"/>
    </row>
    <row r="19" spans="1:4" ht="21" x14ac:dyDescent="0.2">
      <c r="A19" s="75"/>
      <c r="B19" s="75"/>
      <c r="C19" s="75"/>
      <c r="D19" s="75"/>
    </row>
    <row r="20" spans="1:4" ht="21" x14ac:dyDescent="0.2">
      <c r="A20" s="75"/>
      <c r="B20" s="75"/>
      <c r="C20" s="75"/>
      <c r="D20" s="75"/>
    </row>
    <row r="21" spans="1:4" ht="21" x14ac:dyDescent="0.2">
      <c r="A21" s="75"/>
      <c r="B21" s="75"/>
      <c r="C21" s="75"/>
      <c r="D21" s="75"/>
    </row>
    <row r="22" spans="1:4" ht="21" x14ac:dyDescent="0.2">
      <c r="A22" s="75"/>
      <c r="B22" s="75"/>
      <c r="C22" s="75"/>
      <c r="D22" s="75"/>
    </row>
    <row r="23" spans="1:4" ht="21" x14ac:dyDescent="0.2">
      <c r="A23" s="75"/>
      <c r="B23" s="75"/>
      <c r="C23" s="75"/>
      <c r="D23" s="75"/>
    </row>
    <row r="24" spans="1:4" ht="21" x14ac:dyDescent="0.2">
      <c r="A24" s="75"/>
      <c r="B24" s="75"/>
      <c r="C24" s="75"/>
      <c r="D24" s="75"/>
    </row>
    <row r="25" spans="1:4" ht="21" x14ac:dyDescent="0.2">
      <c r="A25" s="75"/>
      <c r="B25" s="75"/>
      <c r="C25" s="75"/>
      <c r="D25" s="75"/>
    </row>
    <row r="26" spans="1:4" ht="21" x14ac:dyDescent="0.2">
      <c r="A26" s="75"/>
      <c r="B26" s="75"/>
      <c r="C26" s="75"/>
      <c r="D26" s="75"/>
    </row>
    <row r="27" spans="1:4" ht="21" x14ac:dyDescent="0.2">
      <c r="A27" s="75"/>
      <c r="B27" s="75"/>
      <c r="C27" s="75"/>
      <c r="D27" s="75"/>
    </row>
    <row r="28" spans="1:4" ht="21" x14ac:dyDescent="0.2">
      <c r="A28" s="75"/>
      <c r="B28" s="75"/>
      <c r="C28" s="75"/>
      <c r="D28" s="75"/>
    </row>
    <row r="29" spans="1:4" ht="21" x14ac:dyDescent="0.2">
      <c r="A29" s="75"/>
      <c r="B29" s="75"/>
      <c r="C29" s="75"/>
      <c r="D29" s="75"/>
    </row>
    <row r="30" spans="1:4" ht="21" x14ac:dyDescent="0.2">
      <c r="A30" s="75"/>
      <c r="B30" s="75"/>
      <c r="C30" s="75"/>
      <c r="D30" s="75"/>
    </row>
    <row r="31" spans="1:4" ht="21" x14ac:dyDescent="0.2">
      <c r="A31" s="75"/>
      <c r="B31" s="75"/>
      <c r="C31" s="75"/>
      <c r="D31" s="75"/>
    </row>
    <row r="32" spans="1:4" ht="21" x14ac:dyDescent="0.2">
      <c r="A32" s="75"/>
      <c r="B32" s="75"/>
      <c r="C32" s="75"/>
      <c r="D32" s="75"/>
    </row>
    <row r="33" spans="1:4" ht="21" x14ac:dyDescent="0.2">
      <c r="A33" s="75"/>
      <c r="B33" s="75"/>
      <c r="C33" s="75"/>
      <c r="D33" s="75"/>
    </row>
    <row r="34" spans="1:4" ht="21" x14ac:dyDescent="0.2">
      <c r="A34" s="75"/>
      <c r="B34" s="75"/>
      <c r="C34" s="75"/>
      <c r="D34" s="75"/>
    </row>
    <row r="35" spans="1:4" ht="21" x14ac:dyDescent="0.2">
      <c r="A35" s="75"/>
      <c r="B35" s="75"/>
      <c r="C35" s="75"/>
      <c r="D35" s="75"/>
    </row>
    <row r="36" spans="1:4" ht="21" x14ac:dyDescent="0.2">
      <c r="A36" s="75"/>
      <c r="B36" s="75"/>
      <c r="C36" s="75"/>
      <c r="D36" s="75"/>
    </row>
    <row r="37" spans="1:4" ht="21" x14ac:dyDescent="0.2">
      <c r="A37" s="75"/>
      <c r="B37" s="75"/>
      <c r="C37" s="75"/>
      <c r="D37" s="75"/>
    </row>
    <row r="38" spans="1:4" ht="21" x14ac:dyDescent="0.2">
      <c r="A38" s="75"/>
      <c r="B38" s="75"/>
      <c r="C38" s="75"/>
      <c r="D38" s="75"/>
    </row>
    <row r="39" spans="1:4" ht="21" x14ac:dyDescent="0.2">
      <c r="A39" s="75"/>
      <c r="B39" s="75"/>
      <c r="C39" s="75"/>
      <c r="D39" s="75"/>
    </row>
    <row r="40" spans="1:4" ht="21" x14ac:dyDescent="0.2">
      <c r="A40" s="75"/>
      <c r="B40" s="75"/>
      <c r="C40" s="75"/>
      <c r="D40" s="75"/>
    </row>
    <row r="41" spans="1:4" ht="21" x14ac:dyDescent="0.2">
      <c r="A41" s="75"/>
      <c r="B41" s="75"/>
      <c r="C41" s="75"/>
      <c r="D41" s="75"/>
    </row>
    <row r="42" spans="1:4" ht="21" x14ac:dyDescent="0.2">
      <c r="A42" s="75"/>
      <c r="B42" s="75"/>
      <c r="C42" s="75"/>
      <c r="D42" s="75"/>
    </row>
    <row r="43" spans="1:4" ht="21" x14ac:dyDescent="0.2">
      <c r="A43" s="75"/>
      <c r="B43" s="75"/>
      <c r="C43" s="75"/>
      <c r="D43" s="75"/>
    </row>
    <row r="44" spans="1:4" ht="21" x14ac:dyDescent="0.2">
      <c r="A44" s="75"/>
      <c r="B44" s="75"/>
      <c r="C44" s="75"/>
      <c r="D44" s="75"/>
    </row>
    <row r="45" spans="1:4" ht="21" x14ac:dyDescent="0.2">
      <c r="A45" s="75"/>
      <c r="B45" s="75"/>
      <c r="C45" s="75"/>
      <c r="D45" s="75"/>
    </row>
    <row r="46" spans="1:4" ht="21" x14ac:dyDescent="0.2">
      <c r="A46" s="75"/>
      <c r="B46" s="75"/>
      <c r="C46" s="75"/>
      <c r="D46" s="75"/>
    </row>
    <row r="47" spans="1:4" ht="21" x14ac:dyDescent="0.2">
      <c r="A47" s="75"/>
      <c r="B47" s="75"/>
      <c r="C47" s="75"/>
      <c r="D47" s="75"/>
    </row>
    <row r="48" spans="1:4" ht="21" x14ac:dyDescent="0.2">
      <c r="A48" s="75"/>
      <c r="B48" s="75"/>
      <c r="C48" s="75"/>
      <c r="D48" s="75"/>
    </row>
    <row r="49" spans="1:4" ht="21" x14ac:dyDescent="0.2">
      <c r="A49" s="75"/>
      <c r="B49" s="75"/>
      <c r="C49" s="75"/>
      <c r="D49" s="75"/>
    </row>
    <row r="50" spans="1:4" ht="21" x14ac:dyDescent="0.2">
      <c r="A50" s="75"/>
      <c r="B50" s="75"/>
      <c r="C50" s="75"/>
      <c r="D50" s="75"/>
    </row>
    <row r="51" spans="1:4" ht="21" x14ac:dyDescent="0.2">
      <c r="A51" s="75"/>
      <c r="B51" s="75"/>
      <c r="C51" s="75"/>
      <c r="D51" s="75"/>
    </row>
    <row r="52" spans="1:4" ht="21" x14ac:dyDescent="0.2">
      <c r="A52" s="75"/>
      <c r="B52" s="75"/>
      <c r="C52" s="75"/>
      <c r="D52" s="75"/>
    </row>
    <row r="53" spans="1:4" ht="21" x14ac:dyDescent="0.2">
      <c r="A53" s="75"/>
      <c r="B53" s="75"/>
      <c r="C53" s="75"/>
      <c r="D53" s="75"/>
    </row>
    <row r="54" spans="1:4" ht="21" x14ac:dyDescent="0.2">
      <c r="A54" s="75"/>
      <c r="B54" s="75"/>
      <c r="C54" s="75"/>
      <c r="D54" s="75"/>
    </row>
    <row r="55" spans="1:4" ht="21" x14ac:dyDescent="0.2">
      <c r="A55" s="75"/>
      <c r="B55" s="75"/>
      <c r="C55" s="75"/>
      <c r="D55" s="75"/>
    </row>
    <row r="56" spans="1:4" ht="21" x14ac:dyDescent="0.2">
      <c r="A56" s="75"/>
      <c r="B56" s="75"/>
      <c r="C56" s="75"/>
      <c r="D56" s="75"/>
    </row>
    <row r="57" spans="1:4" ht="21" x14ac:dyDescent="0.2">
      <c r="A57" s="75"/>
      <c r="B57" s="75"/>
      <c r="C57" s="75"/>
      <c r="D57" s="75"/>
    </row>
    <row r="58" spans="1:4" ht="21" x14ac:dyDescent="0.2">
      <c r="A58" s="75"/>
      <c r="B58" s="75"/>
      <c r="C58" s="75"/>
      <c r="D58" s="75"/>
    </row>
    <row r="59" spans="1:4" ht="21" x14ac:dyDescent="0.2">
      <c r="A59" s="75"/>
      <c r="B59" s="75"/>
      <c r="C59" s="75"/>
      <c r="D59" s="75"/>
    </row>
    <row r="60" spans="1:4" ht="21" x14ac:dyDescent="0.2">
      <c r="A60" s="75"/>
      <c r="B60" s="75"/>
      <c r="C60" s="75"/>
      <c r="D60" s="75"/>
    </row>
    <row r="61" spans="1:4" ht="21" x14ac:dyDescent="0.2">
      <c r="A61" s="75"/>
      <c r="B61" s="75"/>
      <c r="C61" s="75"/>
      <c r="D61" s="75"/>
    </row>
    <row r="62" spans="1:4" ht="21" x14ac:dyDescent="0.2">
      <c r="A62" s="75"/>
      <c r="B62" s="75"/>
      <c r="C62" s="75"/>
      <c r="D62" s="75"/>
    </row>
    <row r="63" spans="1:4" ht="21" x14ac:dyDescent="0.2">
      <c r="A63" s="75"/>
      <c r="B63" s="75"/>
      <c r="C63" s="75"/>
      <c r="D63" s="75"/>
    </row>
    <row r="64" spans="1:4" ht="21" x14ac:dyDescent="0.2">
      <c r="A64" s="75"/>
      <c r="B64" s="75"/>
      <c r="C64" s="75"/>
      <c r="D64" s="75"/>
    </row>
    <row r="65" spans="1:4" ht="21" x14ac:dyDescent="0.2">
      <c r="A65" s="75"/>
      <c r="B65" s="75"/>
      <c r="C65" s="75"/>
      <c r="D65" s="75"/>
    </row>
    <row r="66" spans="1:4" ht="21" x14ac:dyDescent="0.2">
      <c r="A66" s="75"/>
      <c r="B66" s="75"/>
      <c r="C66" s="75"/>
      <c r="D66" s="75"/>
    </row>
    <row r="67" spans="1:4" ht="21" x14ac:dyDescent="0.2">
      <c r="A67" s="75"/>
      <c r="B67" s="75"/>
      <c r="C67" s="75"/>
      <c r="D67" s="75"/>
    </row>
    <row r="68" spans="1:4" ht="21" x14ac:dyDescent="0.2">
      <c r="A68" s="75"/>
      <c r="B68" s="75"/>
      <c r="C68" s="75"/>
      <c r="D68" s="75"/>
    </row>
    <row r="69" spans="1:4" ht="21" x14ac:dyDescent="0.2">
      <c r="A69" s="75"/>
      <c r="B69" s="75"/>
      <c r="C69" s="75"/>
      <c r="D69" s="75"/>
    </row>
    <row r="70" spans="1:4" ht="21" x14ac:dyDescent="0.2">
      <c r="A70" s="75"/>
      <c r="B70" s="75"/>
      <c r="C70" s="75"/>
      <c r="D70" s="75"/>
    </row>
    <row r="71" spans="1:4" ht="21" x14ac:dyDescent="0.2">
      <c r="A71" s="75"/>
      <c r="B71" s="75"/>
      <c r="C71" s="75"/>
      <c r="D71" s="75"/>
    </row>
    <row r="72" spans="1:4" ht="21" x14ac:dyDescent="0.2">
      <c r="A72" s="75"/>
      <c r="B72" s="75"/>
      <c r="C72" s="75"/>
      <c r="D72" s="75"/>
    </row>
    <row r="73" spans="1:4" ht="21" x14ac:dyDescent="0.2">
      <c r="A73" s="75"/>
      <c r="B73" s="75"/>
      <c r="C73" s="75"/>
      <c r="D73" s="75"/>
    </row>
    <row r="74" spans="1:4" ht="21" x14ac:dyDescent="0.2">
      <c r="A74" s="75"/>
      <c r="B74" s="75"/>
      <c r="C74" s="75"/>
      <c r="D74" s="75"/>
    </row>
    <row r="75" spans="1:4" ht="21" x14ac:dyDescent="0.2">
      <c r="A75" s="75"/>
      <c r="B75" s="75"/>
      <c r="C75" s="75"/>
      <c r="D75" s="75"/>
    </row>
    <row r="76" spans="1:4" ht="21" x14ac:dyDescent="0.2">
      <c r="A76" s="75"/>
      <c r="B76" s="75"/>
      <c r="C76" s="75"/>
      <c r="D76" s="75"/>
    </row>
    <row r="77" spans="1:4" ht="21" x14ac:dyDescent="0.2">
      <c r="A77" s="75"/>
      <c r="B77" s="75"/>
      <c r="C77" s="75"/>
      <c r="D77" s="75"/>
    </row>
    <row r="78" spans="1:4" ht="21" x14ac:dyDescent="0.2">
      <c r="A78" s="75"/>
      <c r="B78" s="75"/>
      <c r="C78" s="75"/>
      <c r="D78" s="75"/>
    </row>
    <row r="79" spans="1:4" ht="21" x14ac:dyDescent="0.2">
      <c r="A79" s="75"/>
      <c r="B79" s="75"/>
      <c r="C79" s="75"/>
      <c r="D79" s="75"/>
    </row>
    <row r="80" spans="1:4" ht="21" x14ac:dyDescent="0.2">
      <c r="A80" s="75"/>
      <c r="B80" s="75"/>
      <c r="C80" s="75"/>
      <c r="D80" s="75"/>
    </row>
    <row r="81" spans="1:4" ht="21" x14ac:dyDescent="0.2">
      <c r="A81" s="75"/>
      <c r="B81" s="75"/>
      <c r="C81" s="75"/>
      <c r="D81" s="75"/>
    </row>
    <row r="82" spans="1:4" ht="21" x14ac:dyDescent="0.2">
      <c r="A82" s="75"/>
      <c r="B82" s="75"/>
      <c r="C82" s="75"/>
      <c r="D82" s="75"/>
    </row>
    <row r="83" spans="1:4" ht="21" x14ac:dyDescent="0.2">
      <c r="A83" s="75"/>
      <c r="B83" s="75"/>
      <c r="C83" s="75"/>
      <c r="D83" s="75"/>
    </row>
    <row r="84" spans="1:4" ht="21" x14ac:dyDescent="0.2">
      <c r="A84" s="75"/>
      <c r="B84" s="75"/>
      <c r="C84" s="75"/>
      <c r="D84" s="75"/>
    </row>
    <row r="85" spans="1:4" ht="21" x14ac:dyDescent="0.2">
      <c r="A85" s="75"/>
      <c r="B85" s="75"/>
      <c r="C85" s="75"/>
      <c r="D85" s="75"/>
    </row>
    <row r="86" spans="1:4" ht="21" x14ac:dyDescent="0.2">
      <c r="A86" s="75"/>
      <c r="B86" s="75"/>
      <c r="C86" s="75"/>
      <c r="D86" s="75"/>
    </row>
    <row r="87" spans="1:4" ht="21" x14ac:dyDescent="0.2">
      <c r="A87" s="75"/>
      <c r="B87" s="75"/>
      <c r="C87" s="75"/>
      <c r="D87" s="75"/>
    </row>
    <row r="88" spans="1:4" ht="21" x14ac:dyDescent="0.2">
      <c r="A88" s="75"/>
      <c r="B88" s="75"/>
      <c r="C88" s="75"/>
      <c r="D88" s="75"/>
    </row>
    <row r="89" spans="1:4" ht="21" x14ac:dyDescent="0.2">
      <c r="A89" s="75"/>
      <c r="B89" s="75"/>
      <c r="C89" s="75"/>
      <c r="D89" s="75"/>
    </row>
    <row r="90" spans="1:4" ht="21" x14ac:dyDescent="0.2">
      <c r="A90" s="75"/>
      <c r="B90" s="75"/>
      <c r="C90" s="75"/>
      <c r="D90" s="75"/>
    </row>
    <row r="91" spans="1:4" ht="21" x14ac:dyDescent="0.2">
      <c r="A91" s="75"/>
      <c r="B91" s="75"/>
      <c r="C91" s="75"/>
      <c r="D91" s="75"/>
    </row>
    <row r="92" spans="1:4" ht="21" x14ac:dyDescent="0.2">
      <c r="A92" s="75"/>
      <c r="B92" s="75"/>
      <c r="C92" s="75"/>
      <c r="D92" s="75"/>
    </row>
    <row r="93" spans="1:4" ht="21" x14ac:dyDescent="0.2">
      <c r="A93" s="75"/>
      <c r="B93" s="75"/>
      <c r="C93" s="75"/>
      <c r="D93" s="75"/>
    </row>
    <row r="94" spans="1:4" ht="21" x14ac:dyDescent="0.2">
      <c r="A94" s="75"/>
      <c r="B94" s="75"/>
      <c r="C94" s="75"/>
      <c r="D94" s="75"/>
    </row>
    <row r="95" spans="1:4" ht="21" x14ac:dyDescent="0.2">
      <c r="A95" s="75"/>
      <c r="B95" s="75"/>
      <c r="C95" s="75"/>
      <c r="D95" s="75"/>
    </row>
    <row r="96" spans="1:4" ht="21" x14ac:dyDescent="0.2">
      <c r="A96" s="75"/>
      <c r="B96" s="75"/>
      <c r="C96" s="75"/>
      <c r="D96" s="75"/>
    </row>
    <row r="97" spans="1:4" ht="21" x14ac:dyDescent="0.2">
      <c r="A97" s="75"/>
      <c r="B97" s="75"/>
      <c r="C97" s="75"/>
      <c r="D97" s="75"/>
    </row>
    <row r="98" spans="1:4" ht="21" x14ac:dyDescent="0.2">
      <c r="A98" s="75"/>
      <c r="B98" s="75"/>
      <c r="C98" s="75"/>
      <c r="D98" s="75"/>
    </row>
    <row r="99" spans="1:4" ht="21" x14ac:dyDescent="0.2">
      <c r="A99" s="75"/>
      <c r="B99" s="75"/>
      <c r="C99" s="75"/>
      <c r="D99" s="75"/>
    </row>
    <row r="100" spans="1:4" ht="21" x14ac:dyDescent="0.2">
      <c r="A100" s="75"/>
      <c r="B100" s="75"/>
      <c r="C100" s="75"/>
      <c r="D100" s="75"/>
    </row>
    <row r="101" spans="1:4" ht="21" x14ac:dyDescent="0.2">
      <c r="A101" s="75"/>
      <c r="B101" s="75"/>
      <c r="C101" s="75"/>
      <c r="D101" s="75"/>
    </row>
    <row r="102" spans="1:4" ht="21" x14ac:dyDescent="0.2">
      <c r="A102" s="75"/>
      <c r="B102" s="75"/>
      <c r="C102" s="75"/>
      <c r="D102" s="75"/>
    </row>
    <row r="103" spans="1:4" ht="21" x14ac:dyDescent="0.2">
      <c r="A103" s="75"/>
      <c r="B103" s="75"/>
      <c r="C103" s="75"/>
      <c r="D103" s="75"/>
    </row>
    <row r="104" spans="1:4" ht="21" x14ac:dyDescent="0.2">
      <c r="A104" s="75"/>
      <c r="B104" s="75"/>
      <c r="C104" s="75"/>
      <c r="D104" s="75"/>
    </row>
    <row r="105" spans="1:4" ht="21" x14ac:dyDescent="0.2">
      <c r="A105" s="75"/>
      <c r="B105" s="75"/>
      <c r="C105" s="75"/>
      <c r="D105" s="75"/>
    </row>
    <row r="106" spans="1:4" ht="21" x14ac:dyDescent="0.2">
      <c r="A106" s="75"/>
      <c r="B106" s="75"/>
      <c r="C106" s="75"/>
      <c r="D106" s="75"/>
    </row>
    <row r="107" spans="1:4" ht="21" x14ac:dyDescent="0.2">
      <c r="A107" s="75"/>
      <c r="B107" s="75"/>
      <c r="C107" s="75"/>
      <c r="D107" s="75"/>
    </row>
    <row r="108" spans="1:4" ht="21" x14ac:dyDescent="0.2">
      <c r="A108" s="75"/>
      <c r="B108" s="75"/>
      <c r="C108" s="75"/>
      <c r="D108" s="75"/>
    </row>
    <row r="109" spans="1:4" ht="21" x14ac:dyDescent="0.2">
      <c r="A109" s="75"/>
      <c r="B109" s="75"/>
      <c r="C109" s="75"/>
      <c r="D109" s="75"/>
    </row>
    <row r="110" spans="1:4" ht="21" x14ac:dyDescent="0.2">
      <c r="A110" s="75"/>
      <c r="B110" s="75"/>
      <c r="C110" s="75"/>
      <c r="D110" s="75"/>
    </row>
    <row r="111" spans="1:4" ht="21" x14ac:dyDescent="0.2">
      <c r="A111" s="75"/>
      <c r="B111" s="75"/>
      <c r="C111" s="75"/>
      <c r="D111" s="75"/>
    </row>
    <row r="112" spans="1:4" ht="21" x14ac:dyDescent="0.2">
      <c r="A112" s="75"/>
      <c r="B112" s="75"/>
      <c r="C112" s="75"/>
      <c r="D112" s="75"/>
    </row>
    <row r="113" spans="1:4" ht="21" x14ac:dyDescent="0.2">
      <c r="A113" s="75"/>
      <c r="B113" s="75"/>
      <c r="C113" s="75"/>
      <c r="D113" s="75"/>
    </row>
    <row r="114" spans="1:4" ht="21" x14ac:dyDescent="0.2">
      <c r="A114" s="75"/>
      <c r="B114" s="75"/>
      <c r="C114" s="75"/>
      <c r="D114" s="75"/>
    </row>
    <row r="115" spans="1:4" ht="21" x14ac:dyDescent="0.2">
      <c r="A115" s="75"/>
      <c r="B115" s="75"/>
      <c r="C115" s="75"/>
      <c r="D115" s="75"/>
    </row>
    <row r="116" spans="1:4" ht="21" x14ac:dyDescent="0.2">
      <c r="A116" s="75"/>
      <c r="B116" s="75"/>
      <c r="C116" s="75"/>
      <c r="D116" s="75"/>
    </row>
    <row r="117" spans="1:4" ht="21" x14ac:dyDescent="0.2">
      <c r="A117" s="75"/>
      <c r="B117" s="75"/>
      <c r="C117" s="75"/>
      <c r="D117" s="75"/>
    </row>
    <row r="118" spans="1:4" ht="21" x14ac:dyDescent="0.2">
      <c r="A118" s="75"/>
      <c r="B118" s="75"/>
      <c r="C118" s="75"/>
      <c r="D118" s="75"/>
    </row>
    <row r="119" spans="1:4" ht="21" x14ac:dyDescent="0.2">
      <c r="A119" s="75"/>
      <c r="B119" s="75"/>
      <c r="C119" s="75"/>
      <c r="D119" s="75"/>
    </row>
    <row r="120" spans="1:4" ht="21" x14ac:dyDescent="0.2">
      <c r="A120" s="75"/>
      <c r="B120" s="75"/>
      <c r="C120" s="75"/>
      <c r="D120" s="75"/>
    </row>
    <row r="121" spans="1:4" ht="21" x14ac:dyDescent="0.2">
      <c r="A121" s="75"/>
      <c r="B121" s="75"/>
      <c r="C121" s="75"/>
      <c r="D121" s="75"/>
    </row>
    <row r="122" spans="1:4" ht="21" x14ac:dyDescent="0.2">
      <c r="A122" s="75"/>
      <c r="B122" s="75"/>
      <c r="C122" s="75"/>
      <c r="D122" s="75"/>
    </row>
    <row r="123" spans="1:4" ht="21" x14ac:dyDescent="0.2">
      <c r="A123" s="75"/>
      <c r="B123" s="75"/>
      <c r="C123" s="75"/>
      <c r="D123" s="75"/>
    </row>
    <row r="124" spans="1:4" ht="21" x14ac:dyDescent="0.2">
      <c r="A124" s="75"/>
      <c r="B124" s="75"/>
      <c r="C124" s="75"/>
      <c r="D124" s="75"/>
    </row>
    <row r="125" spans="1:4" ht="21" x14ac:dyDescent="0.2">
      <c r="A125" s="75"/>
      <c r="B125" s="75"/>
      <c r="C125" s="75"/>
      <c r="D125" s="75"/>
    </row>
    <row r="126" spans="1:4" ht="21" x14ac:dyDescent="0.2">
      <c r="A126" s="75"/>
      <c r="B126" s="75"/>
      <c r="C126" s="75"/>
      <c r="D126" s="75"/>
    </row>
    <row r="127" spans="1:4" ht="21" x14ac:dyDescent="0.2">
      <c r="A127" s="75"/>
      <c r="B127" s="75"/>
      <c r="C127" s="75"/>
      <c r="D127" s="75"/>
    </row>
    <row r="128" spans="1:4" ht="21" x14ac:dyDescent="0.2">
      <c r="A128" s="75"/>
      <c r="B128" s="75"/>
      <c r="C128" s="75"/>
      <c r="D128" s="75"/>
    </row>
    <row r="129" spans="1:4" ht="21" x14ac:dyDescent="0.2">
      <c r="A129" s="75"/>
      <c r="B129" s="75"/>
      <c r="C129" s="75"/>
      <c r="D129" s="75"/>
    </row>
    <row r="130" spans="1:4" ht="21" x14ac:dyDescent="0.2">
      <c r="A130" s="75"/>
      <c r="B130" s="75"/>
      <c r="C130" s="75"/>
      <c r="D130" s="75"/>
    </row>
    <row r="131" spans="1:4" ht="21" x14ac:dyDescent="0.2">
      <c r="A131" s="75"/>
      <c r="B131" s="75"/>
      <c r="C131" s="75"/>
      <c r="D131" s="75"/>
    </row>
    <row r="132" spans="1:4" ht="21" x14ac:dyDescent="0.2">
      <c r="A132" s="75"/>
      <c r="B132" s="75"/>
      <c r="C132" s="75"/>
      <c r="D132" s="75"/>
    </row>
    <row r="133" spans="1:4" ht="21" x14ac:dyDescent="0.2">
      <c r="A133" s="75"/>
      <c r="B133" s="75"/>
      <c r="C133" s="75"/>
      <c r="D133" s="75"/>
    </row>
    <row r="134" spans="1:4" ht="21" x14ac:dyDescent="0.2">
      <c r="A134" s="75"/>
      <c r="B134" s="75"/>
      <c r="C134" s="75"/>
      <c r="D134" s="75"/>
    </row>
    <row r="135" spans="1:4" ht="21" x14ac:dyDescent="0.2">
      <c r="A135" s="75"/>
      <c r="B135" s="75"/>
      <c r="C135" s="75"/>
      <c r="D135" s="75"/>
    </row>
    <row r="136" spans="1:4" ht="21" x14ac:dyDescent="0.2">
      <c r="A136" s="75"/>
      <c r="B136" s="75"/>
      <c r="C136" s="75"/>
      <c r="D136" s="75"/>
    </row>
    <row r="137" spans="1:4" ht="21" x14ac:dyDescent="0.2">
      <c r="A137" s="75"/>
      <c r="B137" s="75"/>
      <c r="C137" s="75"/>
      <c r="D137" s="75"/>
    </row>
    <row r="138" spans="1:4" ht="21" x14ac:dyDescent="0.2">
      <c r="A138" s="75"/>
      <c r="B138" s="75"/>
      <c r="C138" s="75"/>
      <c r="D138" s="75"/>
    </row>
    <row r="139" spans="1:4" ht="21" x14ac:dyDescent="0.2">
      <c r="A139" s="75"/>
      <c r="B139" s="75"/>
      <c r="C139" s="75"/>
      <c r="D139" s="75"/>
    </row>
    <row r="140" spans="1:4" ht="21" x14ac:dyDescent="0.2">
      <c r="A140" s="75"/>
      <c r="B140" s="75"/>
      <c r="C140" s="75"/>
      <c r="D140" s="75"/>
    </row>
    <row r="141" spans="1:4" ht="21" x14ac:dyDescent="0.2">
      <c r="A141" s="75"/>
      <c r="B141" s="75"/>
      <c r="C141" s="75"/>
      <c r="D141" s="75"/>
    </row>
    <row r="142" spans="1:4" ht="21" x14ac:dyDescent="0.2">
      <c r="A142" s="75"/>
      <c r="B142" s="75"/>
      <c r="C142" s="75"/>
      <c r="D142" s="75"/>
    </row>
    <row r="143" spans="1:4" ht="21" x14ac:dyDescent="0.2">
      <c r="A143" s="75"/>
      <c r="B143" s="75"/>
      <c r="C143" s="75"/>
      <c r="D143" s="75"/>
    </row>
    <row r="144" spans="1:4" ht="21" x14ac:dyDescent="0.2">
      <c r="A144" s="75"/>
      <c r="B144" s="75"/>
      <c r="C144" s="75"/>
      <c r="D144" s="75"/>
    </row>
    <row r="145" spans="1:4" ht="21" x14ac:dyDescent="0.2">
      <c r="A145" s="75"/>
      <c r="B145" s="75"/>
      <c r="C145" s="75"/>
      <c r="D145" s="75"/>
    </row>
    <row r="146" spans="1:4" ht="21" x14ac:dyDescent="0.2">
      <c r="A146" s="75"/>
      <c r="B146" s="75"/>
      <c r="C146" s="75"/>
      <c r="D146" s="75"/>
    </row>
    <row r="147" spans="1:4" ht="21" x14ac:dyDescent="0.2">
      <c r="A147" s="75"/>
      <c r="B147" s="75"/>
      <c r="C147" s="75"/>
      <c r="D147" s="75"/>
    </row>
    <row r="148" spans="1:4" ht="21" x14ac:dyDescent="0.2">
      <c r="A148" s="75"/>
      <c r="B148" s="75"/>
      <c r="C148" s="75"/>
      <c r="D148" s="75"/>
    </row>
    <row r="149" spans="1:4" ht="21" x14ac:dyDescent="0.2">
      <c r="A149" s="75"/>
      <c r="B149" s="75"/>
      <c r="C149" s="75"/>
      <c r="D149" s="75"/>
    </row>
    <row r="150" spans="1:4" ht="21" x14ac:dyDescent="0.2">
      <c r="A150" s="75"/>
      <c r="B150" s="75"/>
      <c r="C150" s="75"/>
      <c r="D150" s="75"/>
    </row>
    <row r="151" spans="1:4" ht="21" x14ac:dyDescent="0.2">
      <c r="A151" s="75"/>
      <c r="B151" s="75"/>
      <c r="C151" s="75"/>
      <c r="D151" s="75"/>
    </row>
    <row r="152" spans="1:4" ht="21" x14ac:dyDescent="0.2">
      <c r="A152" s="75"/>
      <c r="B152" s="75"/>
      <c r="C152" s="75"/>
      <c r="D152" s="75"/>
    </row>
    <row r="153" spans="1:4" ht="21" x14ac:dyDescent="0.2">
      <c r="A153" s="75"/>
      <c r="B153" s="75"/>
      <c r="C153" s="75"/>
      <c r="D153" s="75"/>
    </row>
    <row r="154" spans="1:4" ht="21" x14ac:dyDescent="0.2">
      <c r="A154" s="75"/>
      <c r="B154" s="75"/>
      <c r="C154" s="75"/>
      <c r="D154" s="75"/>
    </row>
    <row r="155" spans="1:4" ht="21" x14ac:dyDescent="0.2">
      <c r="A155" s="75"/>
      <c r="B155" s="75"/>
      <c r="C155" s="75"/>
      <c r="D155" s="75"/>
    </row>
    <row r="156" spans="1:4" ht="21" x14ac:dyDescent="0.2">
      <c r="A156" s="75"/>
      <c r="B156" s="75"/>
      <c r="C156" s="75"/>
      <c r="D156" s="75"/>
    </row>
    <row r="157" spans="1:4" ht="21" x14ac:dyDescent="0.2">
      <c r="A157" s="75"/>
      <c r="B157" s="75"/>
      <c r="C157" s="75"/>
      <c r="D157" s="75"/>
    </row>
    <row r="158" spans="1:4" ht="21" x14ac:dyDescent="0.2">
      <c r="A158" s="75"/>
      <c r="B158" s="75"/>
      <c r="C158" s="75"/>
      <c r="D158" s="75"/>
    </row>
    <row r="159" spans="1:4" ht="21" x14ac:dyDescent="0.2">
      <c r="A159" s="75"/>
      <c r="B159" s="75"/>
      <c r="C159" s="75"/>
      <c r="D159" s="75"/>
    </row>
    <row r="160" spans="1:4" ht="21" x14ac:dyDescent="0.2">
      <c r="A160" s="75"/>
      <c r="B160" s="75"/>
      <c r="C160" s="75"/>
      <c r="D160" s="75"/>
    </row>
    <row r="161" spans="1:4" ht="21" x14ac:dyDescent="0.2">
      <c r="A161" s="75"/>
      <c r="B161" s="75"/>
      <c r="C161" s="75"/>
      <c r="D161" s="75"/>
    </row>
    <row r="162" spans="1:4" ht="21" x14ac:dyDescent="0.2">
      <c r="A162" s="75"/>
      <c r="B162" s="75"/>
      <c r="C162" s="75"/>
      <c r="D162" s="75"/>
    </row>
    <row r="163" spans="1:4" ht="21" x14ac:dyDescent="0.2">
      <c r="A163" s="75"/>
      <c r="B163" s="75"/>
      <c r="C163" s="75"/>
      <c r="D163" s="75"/>
    </row>
    <row r="164" spans="1:4" ht="21" x14ac:dyDescent="0.2">
      <c r="A164" s="75"/>
      <c r="B164" s="75"/>
      <c r="C164" s="75"/>
      <c r="D164" s="75"/>
    </row>
    <row r="165" spans="1:4" ht="21" x14ac:dyDescent="0.2">
      <c r="A165" s="75"/>
      <c r="B165" s="75"/>
      <c r="C165" s="75"/>
      <c r="D165" s="75"/>
    </row>
    <row r="166" spans="1:4" ht="21" x14ac:dyDescent="0.2">
      <c r="A166" s="75"/>
      <c r="B166" s="75"/>
      <c r="C166" s="75"/>
      <c r="D166" s="75"/>
    </row>
    <row r="167" spans="1:4" ht="21" x14ac:dyDescent="0.2">
      <c r="A167" s="75"/>
      <c r="B167" s="75"/>
      <c r="C167" s="75"/>
      <c r="D167" s="75"/>
    </row>
    <row r="168" spans="1:4" ht="21" x14ac:dyDescent="0.2">
      <c r="A168" s="75"/>
      <c r="B168" s="75"/>
      <c r="C168" s="75"/>
      <c r="D168" s="75"/>
    </row>
    <row r="169" spans="1:4" ht="21" x14ac:dyDescent="0.2">
      <c r="A169" s="75"/>
      <c r="B169" s="75"/>
      <c r="C169" s="75"/>
      <c r="D169" s="75"/>
    </row>
    <row r="170" spans="1:4" ht="21" x14ac:dyDescent="0.2">
      <c r="A170" s="75"/>
      <c r="B170" s="75"/>
      <c r="C170" s="75"/>
      <c r="D170" s="75"/>
    </row>
    <row r="171" spans="1:4" ht="21" x14ac:dyDescent="0.2">
      <c r="A171" s="75"/>
      <c r="B171" s="75"/>
      <c r="C171" s="75"/>
      <c r="D171" s="75"/>
    </row>
    <row r="172" spans="1:4" ht="21" x14ac:dyDescent="0.2">
      <c r="A172" s="75"/>
      <c r="B172" s="75"/>
      <c r="C172" s="75"/>
      <c r="D172" s="75"/>
    </row>
    <row r="173" spans="1:4" ht="21" x14ac:dyDescent="0.2">
      <c r="A173" s="75"/>
      <c r="B173" s="75"/>
      <c r="C173" s="75"/>
      <c r="D173" s="75"/>
    </row>
    <row r="174" spans="1:4" ht="21" x14ac:dyDescent="0.2">
      <c r="A174" s="75"/>
      <c r="B174" s="75"/>
      <c r="C174" s="75"/>
      <c r="D174" s="75"/>
    </row>
    <row r="175" spans="1:4" ht="21" x14ac:dyDescent="0.2">
      <c r="A175" s="75"/>
      <c r="B175" s="75"/>
      <c r="C175" s="75"/>
      <c r="D175" s="75"/>
    </row>
    <row r="176" spans="1:4" ht="21" x14ac:dyDescent="0.2">
      <c r="A176" s="75"/>
      <c r="B176" s="75"/>
      <c r="C176" s="75"/>
      <c r="D176" s="75"/>
    </row>
    <row r="177" spans="1:4" ht="21" x14ac:dyDescent="0.2">
      <c r="A177" s="75"/>
      <c r="B177" s="75"/>
      <c r="C177" s="75"/>
      <c r="D177" s="75"/>
    </row>
    <row r="178" spans="1:4" ht="21" x14ac:dyDescent="0.2">
      <c r="A178" s="75"/>
      <c r="B178" s="75"/>
      <c r="C178" s="75"/>
      <c r="D178" s="75"/>
    </row>
    <row r="179" spans="1:4" ht="21" x14ac:dyDescent="0.2">
      <c r="A179" s="75"/>
      <c r="B179" s="75"/>
      <c r="C179" s="75"/>
      <c r="D179" s="75"/>
    </row>
    <row r="180" spans="1:4" ht="21" x14ac:dyDescent="0.2">
      <c r="A180" s="75"/>
      <c r="B180" s="75"/>
      <c r="C180" s="75"/>
      <c r="D180" s="75"/>
    </row>
    <row r="181" spans="1:4" ht="21" x14ac:dyDescent="0.2">
      <c r="A181" s="75"/>
      <c r="B181" s="75"/>
      <c r="C181" s="75"/>
      <c r="D181" s="75"/>
    </row>
    <row r="182" spans="1:4" ht="21" x14ac:dyDescent="0.2">
      <c r="A182" s="75"/>
      <c r="B182" s="75"/>
      <c r="C182" s="75"/>
      <c r="D182" s="75"/>
    </row>
    <row r="183" spans="1:4" ht="21" x14ac:dyDescent="0.2">
      <c r="A183" s="75"/>
      <c r="B183" s="75"/>
      <c r="C183" s="75"/>
      <c r="D183" s="75"/>
    </row>
    <row r="184" spans="1:4" ht="21" x14ac:dyDescent="0.2">
      <c r="A184" s="75"/>
      <c r="B184" s="75"/>
      <c r="C184" s="75"/>
      <c r="D184" s="75"/>
    </row>
    <row r="185" spans="1:4" ht="21" x14ac:dyDescent="0.2">
      <c r="A185" s="75"/>
      <c r="B185" s="75"/>
      <c r="C185" s="75"/>
      <c r="D185" s="75"/>
    </row>
    <row r="186" spans="1:4" ht="21" x14ac:dyDescent="0.2">
      <c r="A186" s="75"/>
      <c r="B186" s="75"/>
      <c r="C186" s="75"/>
      <c r="D186" s="75"/>
    </row>
    <row r="187" spans="1:4" ht="21" x14ac:dyDescent="0.2">
      <c r="A187" s="75"/>
      <c r="B187" s="75"/>
      <c r="C187" s="75"/>
      <c r="D187" s="75"/>
    </row>
    <row r="188" spans="1:4" ht="21" x14ac:dyDescent="0.2">
      <c r="A188" s="75"/>
      <c r="B188" s="75"/>
      <c r="C188" s="75"/>
      <c r="D188" s="75"/>
    </row>
    <row r="189" spans="1:4" ht="21" x14ac:dyDescent="0.2">
      <c r="A189" s="75"/>
      <c r="B189" s="75"/>
      <c r="C189" s="75"/>
      <c r="D189" s="75"/>
    </row>
    <row r="190" spans="1:4" ht="21" x14ac:dyDescent="0.2">
      <c r="A190" s="75"/>
      <c r="B190" s="75"/>
      <c r="C190" s="75"/>
      <c r="D190" s="75"/>
    </row>
    <row r="191" spans="1:4" ht="21" x14ac:dyDescent="0.2">
      <c r="A191" s="75"/>
      <c r="B191" s="75"/>
      <c r="C191" s="75"/>
      <c r="D191" s="75"/>
    </row>
    <row r="192" spans="1:4" ht="21" x14ac:dyDescent="0.2">
      <c r="A192" s="75"/>
      <c r="B192" s="75"/>
      <c r="C192" s="75"/>
      <c r="D192" s="75"/>
    </row>
    <row r="193" spans="1:4" ht="21" x14ac:dyDescent="0.2">
      <c r="A193" s="75"/>
      <c r="B193" s="75"/>
      <c r="C193" s="75"/>
      <c r="D193" s="75"/>
    </row>
    <row r="194" spans="1:4" ht="21" x14ac:dyDescent="0.2">
      <c r="A194" s="75"/>
      <c r="B194" s="75"/>
      <c r="C194" s="75"/>
      <c r="D194" s="75"/>
    </row>
    <row r="195" spans="1:4" ht="21" x14ac:dyDescent="0.2">
      <c r="A195" s="75"/>
      <c r="B195" s="75"/>
      <c r="C195" s="75"/>
      <c r="D195" s="75"/>
    </row>
    <row r="196" spans="1:4" ht="21" x14ac:dyDescent="0.2">
      <c r="A196" s="75"/>
      <c r="B196" s="75"/>
      <c r="C196" s="75"/>
      <c r="D196" s="75"/>
    </row>
    <row r="197" spans="1:4" ht="21" x14ac:dyDescent="0.2">
      <c r="A197" s="75"/>
      <c r="B197" s="75"/>
      <c r="C197" s="75"/>
      <c r="D197" s="75"/>
    </row>
    <row r="198" spans="1:4" ht="21" x14ac:dyDescent="0.2">
      <c r="A198" s="75"/>
      <c r="B198" s="75"/>
      <c r="C198" s="75"/>
      <c r="D198" s="75"/>
    </row>
    <row r="199" spans="1:4" ht="21" x14ac:dyDescent="0.2">
      <c r="A199" s="75"/>
      <c r="B199" s="75"/>
      <c r="C199" s="75"/>
      <c r="D199" s="75"/>
    </row>
    <row r="200" spans="1:4" ht="21" x14ac:dyDescent="0.2">
      <c r="A200" s="75"/>
      <c r="B200" s="75"/>
      <c r="C200" s="75"/>
      <c r="D200" s="75"/>
    </row>
    <row r="201" spans="1:4" ht="21" x14ac:dyDescent="0.2">
      <c r="A201" s="75"/>
      <c r="B201" s="75"/>
      <c r="C201" s="75"/>
      <c r="D201" s="75"/>
    </row>
    <row r="202" spans="1:4" ht="21" x14ac:dyDescent="0.2">
      <c r="A202" s="75"/>
      <c r="B202" s="75"/>
      <c r="C202" s="75"/>
      <c r="D202" s="75"/>
    </row>
    <row r="203" spans="1:4" ht="21" x14ac:dyDescent="0.2">
      <c r="A203" s="75"/>
      <c r="B203" s="75"/>
      <c r="C203" s="75"/>
      <c r="D203" s="75"/>
    </row>
    <row r="204" spans="1:4" ht="21" x14ac:dyDescent="0.2">
      <c r="A204" s="75"/>
      <c r="B204" s="75"/>
      <c r="C204" s="75"/>
      <c r="D204" s="75"/>
    </row>
    <row r="205" spans="1:4" ht="21" x14ac:dyDescent="0.2">
      <c r="A205" s="75"/>
      <c r="B205" s="75"/>
      <c r="C205" s="75"/>
      <c r="D205" s="75"/>
    </row>
    <row r="206" spans="1:4" ht="21" x14ac:dyDescent="0.2">
      <c r="A206" s="75"/>
      <c r="B206" s="75"/>
      <c r="C206" s="75"/>
      <c r="D206" s="75"/>
    </row>
    <row r="207" spans="1:4" ht="21" x14ac:dyDescent="0.2">
      <c r="A207" s="75"/>
      <c r="B207" s="75"/>
      <c r="C207" s="75"/>
      <c r="D207" s="75"/>
    </row>
    <row r="208" spans="1:4" ht="21" x14ac:dyDescent="0.2">
      <c r="A208" s="75"/>
      <c r="B208" s="75"/>
      <c r="C208" s="75"/>
      <c r="D208" s="75"/>
    </row>
    <row r="209" spans="1:4" ht="21" x14ac:dyDescent="0.2">
      <c r="A209" s="75"/>
      <c r="B209" s="75"/>
      <c r="C209" s="75"/>
      <c r="D209" s="75"/>
    </row>
    <row r="210" spans="1:4" ht="21" x14ac:dyDescent="0.2">
      <c r="A210" s="75"/>
      <c r="B210" s="75"/>
      <c r="C210" s="75"/>
      <c r="D210" s="75"/>
    </row>
    <row r="211" spans="1:4" ht="21" x14ac:dyDescent="0.2">
      <c r="A211" s="75"/>
      <c r="B211" s="75"/>
      <c r="C211" s="75"/>
      <c r="D211" s="75"/>
    </row>
    <row r="212" spans="1:4" ht="21" x14ac:dyDescent="0.2">
      <c r="A212" s="75"/>
      <c r="B212" s="75"/>
      <c r="C212" s="75"/>
      <c r="D212" s="75"/>
    </row>
    <row r="213" spans="1:4" ht="21" x14ac:dyDescent="0.2">
      <c r="A213" s="75"/>
      <c r="B213" s="75"/>
      <c r="C213" s="75"/>
      <c r="D213" s="75"/>
    </row>
    <row r="214" spans="1:4" ht="21" x14ac:dyDescent="0.2">
      <c r="A214" s="75"/>
      <c r="B214" s="75"/>
      <c r="C214" s="75"/>
      <c r="D214" s="75"/>
    </row>
    <row r="215" spans="1:4" ht="21" x14ac:dyDescent="0.2">
      <c r="A215" s="75"/>
      <c r="B215" s="75"/>
      <c r="C215" s="75"/>
      <c r="D215" s="75"/>
    </row>
    <row r="216" spans="1:4" ht="21" x14ac:dyDescent="0.2">
      <c r="A216" s="75"/>
      <c r="B216" s="75"/>
      <c r="C216" s="75"/>
      <c r="D216" s="75"/>
    </row>
    <row r="217" spans="1:4" ht="21" x14ac:dyDescent="0.2">
      <c r="A217" s="75"/>
      <c r="B217" s="75"/>
      <c r="C217" s="75"/>
      <c r="D217" s="75"/>
    </row>
    <row r="218" spans="1:4" ht="21" x14ac:dyDescent="0.2">
      <c r="A218" s="75"/>
      <c r="B218" s="75"/>
      <c r="C218" s="75"/>
      <c r="D218" s="75"/>
    </row>
    <row r="219" spans="1:4" ht="21" x14ac:dyDescent="0.2">
      <c r="A219" s="75"/>
      <c r="B219" s="75"/>
      <c r="C219" s="75"/>
      <c r="D219" s="75"/>
    </row>
    <row r="220" spans="1:4" ht="21" x14ac:dyDescent="0.2">
      <c r="A220" s="75"/>
      <c r="B220" s="75"/>
      <c r="C220" s="75"/>
      <c r="D220" s="75"/>
    </row>
    <row r="221" spans="1:4" ht="21" x14ac:dyDescent="0.2">
      <c r="A221" s="75"/>
      <c r="B221" s="75"/>
      <c r="C221" s="75"/>
      <c r="D221" s="75"/>
    </row>
    <row r="222" spans="1:4" ht="21" x14ac:dyDescent="0.2">
      <c r="A222" s="75"/>
      <c r="B222" s="75"/>
      <c r="C222" s="75"/>
      <c r="D222" s="75"/>
    </row>
    <row r="223" spans="1:4" ht="21" x14ac:dyDescent="0.2">
      <c r="A223" s="75"/>
      <c r="B223" s="75"/>
      <c r="C223" s="75"/>
      <c r="D223" s="75"/>
    </row>
    <row r="224" spans="1:4" ht="21" x14ac:dyDescent="0.2">
      <c r="A224" s="75"/>
      <c r="B224" s="75"/>
      <c r="C224" s="75"/>
      <c r="D224" s="75"/>
    </row>
    <row r="225" spans="1:4" ht="21" x14ac:dyDescent="0.2">
      <c r="A225" s="75"/>
      <c r="B225" s="75"/>
      <c r="C225" s="75"/>
      <c r="D225" s="75"/>
    </row>
    <row r="226" spans="1:4" ht="21" x14ac:dyDescent="0.2">
      <c r="A226" s="75"/>
      <c r="B226" s="75"/>
      <c r="C226" s="75"/>
      <c r="D226" s="75"/>
    </row>
    <row r="227" spans="1:4" ht="21" x14ac:dyDescent="0.2">
      <c r="A227" s="75"/>
      <c r="B227" s="75"/>
      <c r="C227" s="75"/>
      <c r="D227" s="75"/>
    </row>
    <row r="228" spans="1:4" ht="21" x14ac:dyDescent="0.2">
      <c r="A228" s="75"/>
      <c r="B228" s="75"/>
      <c r="C228" s="75"/>
      <c r="D228" s="75"/>
    </row>
    <row r="229" spans="1:4" ht="21" x14ac:dyDescent="0.2">
      <c r="A229" s="75"/>
      <c r="B229" s="75"/>
      <c r="C229" s="75"/>
      <c r="D229" s="75"/>
    </row>
    <row r="230" spans="1:4" ht="21" x14ac:dyDescent="0.2">
      <c r="A230" s="75"/>
      <c r="B230" s="75"/>
      <c r="C230" s="75"/>
      <c r="D230" s="75"/>
    </row>
    <row r="231" spans="1:4" ht="21" x14ac:dyDescent="0.2">
      <c r="A231" s="75"/>
      <c r="B231" s="75"/>
      <c r="C231" s="75"/>
      <c r="D231" s="75"/>
    </row>
    <row r="232" spans="1:4" ht="21" x14ac:dyDescent="0.2">
      <c r="A232" s="75"/>
      <c r="B232" s="75"/>
      <c r="C232" s="75"/>
      <c r="D232" s="75"/>
    </row>
    <row r="233" spans="1:4" ht="21" x14ac:dyDescent="0.2">
      <c r="A233" s="75"/>
      <c r="B233" s="75"/>
      <c r="C233" s="75"/>
      <c r="D233" s="75"/>
    </row>
    <row r="234" spans="1:4" ht="21" x14ac:dyDescent="0.2">
      <c r="A234" s="75"/>
      <c r="B234" s="75"/>
      <c r="C234" s="75"/>
      <c r="D234" s="75"/>
    </row>
    <row r="235" spans="1:4" ht="21" x14ac:dyDescent="0.2">
      <c r="A235" s="75"/>
      <c r="B235" s="75"/>
      <c r="C235" s="75"/>
      <c r="D235" s="75"/>
    </row>
    <row r="236" spans="1:4" ht="21" x14ac:dyDescent="0.2">
      <c r="A236" s="75"/>
      <c r="B236" s="75"/>
      <c r="C236" s="75"/>
      <c r="D236" s="75"/>
    </row>
    <row r="237" spans="1:4" ht="21" x14ac:dyDescent="0.2">
      <c r="A237" s="75"/>
      <c r="B237" s="75"/>
      <c r="C237" s="75"/>
      <c r="D237" s="75"/>
    </row>
    <row r="238" spans="1:4" ht="21" x14ac:dyDescent="0.2">
      <c r="A238" s="75"/>
      <c r="B238" s="75"/>
      <c r="C238" s="75"/>
      <c r="D238" s="75"/>
    </row>
    <row r="239" spans="1:4" ht="21" x14ac:dyDescent="0.2">
      <c r="A239" s="75"/>
      <c r="B239" s="75"/>
      <c r="C239" s="75"/>
      <c r="D239" s="75"/>
    </row>
    <row r="240" spans="1:4" ht="21" x14ac:dyDescent="0.2">
      <c r="A240" s="75"/>
      <c r="B240" s="75"/>
      <c r="C240" s="75"/>
      <c r="D240" s="75"/>
    </row>
    <row r="241" spans="1:4" ht="21" x14ac:dyDescent="0.2">
      <c r="A241" s="75"/>
      <c r="B241" s="75"/>
      <c r="C241" s="75"/>
      <c r="D241" s="75"/>
    </row>
    <row r="242" spans="1:4" ht="21" x14ac:dyDescent="0.2">
      <c r="A242" s="75"/>
      <c r="B242" s="75"/>
      <c r="C242" s="75"/>
      <c r="D242" s="75"/>
    </row>
    <row r="243" spans="1:4" ht="21" x14ac:dyDescent="0.2">
      <c r="A243" s="75"/>
      <c r="B243" s="75"/>
      <c r="C243" s="75"/>
      <c r="D243" s="75"/>
    </row>
    <row r="244" spans="1:4" ht="21" x14ac:dyDescent="0.2">
      <c r="A244" s="75"/>
      <c r="B244" s="75"/>
      <c r="C244" s="75"/>
      <c r="D244" s="75"/>
    </row>
    <row r="245" spans="1:4" ht="21" x14ac:dyDescent="0.2">
      <c r="A245" s="75"/>
      <c r="B245" s="75"/>
      <c r="C245" s="75"/>
      <c r="D245" s="75"/>
    </row>
    <row r="246" spans="1:4" ht="21" x14ac:dyDescent="0.2">
      <c r="A246" s="75"/>
      <c r="B246" s="75"/>
      <c r="C246" s="75"/>
      <c r="D246" s="75"/>
    </row>
    <row r="247" spans="1:4" ht="21" x14ac:dyDescent="0.2">
      <c r="A247" s="75"/>
      <c r="B247" s="75"/>
      <c r="C247" s="75"/>
      <c r="D247" s="75"/>
    </row>
    <row r="248" spans="1:4" ht="21" x14ac:dyDescent="0.2">
      <c r="A248" s="75"/>
      <c r="B248" s="75"/>
      <c r="C248" s="75"/>
      <c r="D248" s="75"/>
    </row>
    <row r="249" spans="1:4" ht="21" x14ac:dyDescent="0.2">
      <c r="A249" s="75"/>
      <c r="B249" s="75"/>
      <c r="C249" s="75"/>
      <c r="D249" s="75"/>
    </row>
    <row r="250" spans="1:4" ht="21" x14ac:dyDescent="0.2">
      <c r="A250" s="75"/>
      <c r="B250" s="75"/>
      <c r="C250" s="75"/>
      <c r="D250" s="75"/>
    </row>
    <row r="251" spans="1:4" ht="21" x14ac:dyDescent="0.2">
      <c r="A251" s="75"/>
      <c r="B251" s="75"/>
      <c r="C251" s="75"/>
      <c r="D251" s="75"/>
    </row>
    <row r="252" spans="1:4" ht="21" x14ac:dyDescent="0.2">
      <c r="A252" s="75"/>
      <c r="B252" s="75"/>
      <c r="C252" s="75"/>
      <c r="D252" s="75"/>
    </row>
    <row r="253" spans="1:4" ht="21" x14ac:dyDescent="0.2">
      <c r="A253" s="75"/>
      <c r="B253" s="75"/>
      <c r="C253" s="75"/>
      <c r="D253" s="75"/>
    </row>
    <row r="254" spans="1:4" ht="21" x14ac:dyDescent="0.2">
      <c r="A254" s="75"/>
      <c r="B254" s="75"/>
      <c r="C254" s="75"/>
      <c r="D254" s="75"/>
    </row>
    <row r="255" spans="1:4" ht="21" x14ac:dyDescent="0.2">
      <c r="A255" s="75"/>
      <c r="B255" s="75"/>
      <c r="C255" s="75"/>
      <c r="D255" s="75"/>
    </row>
    <row r="256" spans="1:4" ht="21" x14ac:dyDescent="0.2">
      <c r="A256" s="75"/>
      <c r="B256" s="75"/>
      <c r="C256" s="75"/>
      <c r="D256" s="75"/>
    </row>
    <row r="257" spans="1:4" ht="21" x14ac:dyDescent="0.2">
      <c r="A257" s="75"/>
      <c r="B257" s="75"/>
      <c r="C257" s="75"/>
      <c r="D257" s="75"/>
    </row>
    <row r="258" spans="1:4" ht="21" x14ac:dyDescent="0.2">
      <c r="A258" s="75"/>
      <c r="B258" s="75"/>
      <c r="C258" s="75"/>
      <c r="D258" s="75"/>
    </row>
    <row r="259" spans="1:4" ht="21" x14ac:dyDescent="0.2">
      <c r="A259" s="75"/>
      <c r="B259" s="75"/>
      <c r="C259" s="75"/>
      <c r="D259" s="75"/>
    </row>
    <row r="260" spans="1:4" ht="21" x14ac:dyDescent="0.2">
      <c r="A260" s="75"/>
      <c r="B260" s="75"/>
      <c r="C260" s="75"/>
      <c r="D260" s="75"/>
    </row>
    <row r="261" spans="1:4" ht="21" x14ac:dyDescent="0.2">
      <c r="A261" s="75"/>
      <c r="B261" s="75"/>
      <c r="C261" s="75"/>
      <c r="D261" s="75"/>
    </row>
    <row r="262" spans="1:4" ht="21" x14ac:dyDescent="0.2">
      <c r="A262" s="75"/>
      <c r="B262" s="75"/>
      <c r="C262" s="75"/>
      <c r="D262" s="75"/>
    </row>
    <row r="263" spans="1:4" ht="21" x14ac:dyDescent="0.2">
      <c r="A263" s="75"/>
      <c r="B263" s="75"/>
      <c r="C263" s="75"/>
      <c r="D263" s="75"/>
    </row>
    <row r="264" spans="1:4" ht="21" x14ac:dyDescent="0.2">
      <c r="A264" s="75"/>
      <c r="B264" s="75"/>
      <c r="C264" s="75"/>
      <c r="D264" s="75"/>
    </row>
    <row r="265" spans="1:4" ht="21" x14ac:dyDescent="0.2">
      <c r="A265" s="75"/>
      <c r="B265" s="75"/>
      <c r="C265" s="75"/>
      <c r="D265" s="75"/>
    </row>
    <row r="266" spans="1:4" ht="21" x14ac:dyDescent="0.2">
      <c r="A266" s="75"/>
      <c r="B266" s="75"/>
      <c r="C266" s="75"/>
      <c r="D266" s="75"/>
    </row>
    <row r="267" spans="1:4" ht="21" x14ac:dyDescent="0.2">
      <c r="A267" s="75"/>
      <c r="B267" s="75"/>
      <c r="C267" s="75"/>
      <c r="D267" s="75"/>
    </row>
    <row r="268" spans="1:4" ht="21" x14ac:dyDescent="0.2">
      <c r="A268" s="75"/>
      <c r="B268" s="75"/>
      <c r="C268" s="75"/>
      <c r="D268" s="75"/>
    </row>
    <row r="269" spans="1:4" ht="21" x14ac:dyDescent="0.2">
      <c r="A269" s="75"/>
      <c r="B269" s="75"/>
      <c r="C269" s="75"/>
      <c r="D269" s="75"/>
    </row>
    <row r="270" spans="1:4" ht="21" x14ac:dyDescent="0.2">
      <c r="A270" s="75"/>
      <c r="B270" s="75"/>
      <c r="C270" s="75"/>
      <c r="D270" s="75"/>
    </row>
    <row r="271" spans="1:4" ht="21" x14ac:dyDescent="0.2">
      <c r="A271" s="75"/>
      <c r="B271" s="75"/>
      <c r="C271" s="75"/>
      <c r="D271" s="75"/>
    </row>
    <row r="272" spans="1:4" ht="21" x14ac:dyDescent="0.2">
      <c r="A272" s="75"/>
      <c r="B272" s="75"/>
      <c r="C272" s="75"/>
      <c r="D272" s="75"/>
    </row>
    <row r="273" spans="1:4" ht="21" x14ac:dyDescent="0.2">
      <c r="A273" s="75"/>
      <c r="B273" s="75"/>
      <c r="C273" s="75"/>
      <c r="D273" s="75"/>
    </row>
    <row r="274" spans="1:4" ht="21" x14ac:dyDescent="0.2">
      <c r="A274" s="75"/>
      <c r="B274" s="75"/>
      <c r="C274" s="75"/>
      <c r="D274" s="75"/>
    </row>
    <row r="275" spans="1:4" ht="21" x14ac:dyDescent="0.2">
      <c r="A275" s="75"/>
      <c r="B275" s="75"/>
      <c r="C275" s="75"/>
      <c r="D275" s="75"/>
    </row>
    <row r="276" spans="1:4" ht="21" x14ac:dyDescent="0.2">
      <c r="A276" s="75"/>
      <c r="B276" s="75"/>
      <c r="C276" s="75"/>
      <c r="D276" s="75"/>
    </row>
    <row r="277" spans="1:4" ht="21" x14ac:dyDescent="0.2">
      <c r="A277" s="75"/>
      <c r="B277" s="75"/>
      <c r="C277" s="75"/>
      <c r="D277" s="75"/>
    </row>
    <row r="278" spans="1:4" ht="21" x14ac:dyDescent="0.2">
      <c r="A278" s="75"/>
      <c r="B278" s="75"/>
      <c r="C278" s="75"/>
      <c r="D278" s="75"/>
    </row>
    <row r="279" spans="1:4" ht="21" x14ac:dyDescent="0.2">
      <c r="A279" s="75"/>
      <c r="B279" s="75"/>
      <c r="C279" s="75"/>
      <c r="D279" s="75"/>
    </row>
    <row r="280" spans="1:4" ht="21" x14ac:dyDescent="0.2">
      <c r="A280" s="75"/>
      <c r="B280" s="75"/>
      <c r="C280" s="75"/>
      <c r="D280" s="75"/>
    </row>
    <row r="281" spans="1:4" ht="21" x14ac:dyDescent="0.2">
      <c r="A281" s="75"/>
      <c r="B281" s="75"/>
      <c r="C281" s="75"/>
      <c r="D281" s="75"/>
    </row>
    <row r="282" spans="1:4" ht="21" x14ac:dyDescent="0.2">
      <c r="A282" s="75"/>
      <c r="B282" s="75"/>
      <c r="C282" s="75"/>
      <c r="D282" s="75"/>
    </row>
    <row r="283" spans="1:4" ht="21" x14ac:dyDescent="0.2">
      <c r="A283" s="75"/>
      <c r="B283" s="75"/>
      <c r="C283" s="75"/>
      <c r="D283" s="75"/>
    </row>
    <row r="284" spans="1:4" ht="21" x14ac:dyDescent="0.2">
      <c r="A284" s="75"/>
      <c r="B284" s="75"/>
      <c r="C284" s="75"/>
      <c r="D284" s="75"/>
    </row>
    <row r="285" spans="1:4" ht="21" x14ac:dyDescent="0.2">
      <c r="A285" s="75"/>
      <c r="B285" s="75"/>
      <c r="C285" s="75"/>
      <c r="D285" s="75"/>
    </row>
    <row r="286" spans="1:4" ht="21" x14ac:dyDescent="0.2">
      <c r="A286" s="75"/>
      <c r="B286" s="75"/>
      <c r="C286" s="75"/>
      <c r="D286" s="75"/>
    </row>
    <row r="287" spans="1:4" ht="21" x14ac:dyDescent="0.2">
      <c r="A287" s="75"/>
      <c r="B287" s="75"/>
      <c r="C287" s="75"/>
      <c r="D287" s="75"/>
    </row>
    <row r="288" spans="1:4" ht="21" x14ac:dyDescent="0.2">
      <c r="A288" s="75"/>
      <c r="B288" s="75"/>
      <c r="C288" s="75"/>
      <c r="D288" s="75"/>
    </row>
    <row r="289" spans="1:4" ht="21" x14ac:dyDescent="0.2">
      <c r="A289" s="75"/>
      <c r="B289" s="75"/>
      <c r="C289" s="75"/>
      <c r="D289" s="75"/>
    </row>
    <row r="290" spans="1:4" ht="21" x14ac:dyDescent="0.2">
      <c r="A290" s="75"/>
      <c r="B290" s="75"/>
      <c r="C290" s="75"/>
      <c r="D290" s="75"/>
    </row>
    <row r="291" spans="1:4" ht="21" x14ac:dyDescent="0.2">
      <c r="A291" s="75"/>
      <c r="B291" s="75"/>
      <c r="C291" s="75"/>
      <c r="D291" s="75"/>
    </row>
    <row r="292" spans="1:4" ht="21" x14ac:dyDescent="0.2">
      <c r="A292" s="75"/>
      <c r="B292" s="75"/>
      <c r="C292" s="75"/>
      <c r="D292" s="75"/>
    </row>
    <row r="293" spans="1:4" ht="21" x14ac:dyDescent="0.2">
      <c r="A293" s="75"/>
      <c r="B293" s="75"/>
      <c r="C293" s="75"/>
      <c r="D293" s="75"/>
    </row>
    <row r="294" spans="1:4" ht="21" x14ac:dyDescent="0.2">
      <c r="A294" s="75"/>
      <c r="B294" s="75"/>
      <c r="C294" s="75"/>
      <c r="D294" s="75"/>
    </row>
    <row r="295" spans="1:4" ht="21" x14ac:dyDescent="0.2">
      <c r="A295" s="75"/>
      <c r="B295" s="75"/>
      <c r="C295" s="75"/>
      <c r="D295" s="75"/>
    </row>
    <row r="296" spans="1:4" ht="21" x14ac:dyDescent="0.2">
      <c r="A296" s="75"/>
      <c r="B296" s="75"/>
      <c r="C296" s="75"/>
      <c r="D296" s="75"/>
    </row>
    <row r="297" spans="1:4" ht="21" x14ac:dyDescent="0.2">
      <c r="A297" s="75"/>
      <c r="B297" s="75"/>
      <c r="C297" s="75"/>
      <c r="D297" s="75"/>
    </row>
    <row r="298" spans="1:4" ht="21" x14ac:dyDescent="0.2">
      <c r="A298" s="75"/>
      <c r="B298" s="75"/>
      <c r="C298" s="75"/>
      <c r="D298" s="75"/>
    </row>
    <row r="299" spans="1:4" ht="21" x14ac:dyDescent="0.2">
      <c r="A299" s="75"/>
      <c r="B299" s="75"/>
      <c r="C299" s="75"/>
      <c r="D299" s="75"/>
    </row>
    <row r="300" spans="1:4" ht="21" x14ac:dyDescent="0.2">
      <c r="A300" s="75"/>
      <c r="B300" s="75"/>
      <c r="C300" s="75"/>
      <c r="D300" s="75"/>
    </row>
    <row r="301" spans="1:4" ht="21" x14ac:dyDescent="0.2">
      <c r="A301" s="75"/>
      <c r="B301" s="75"/>
      <c r="C301" s="75"/>
      <c r="D301" s="75"/>
    </row>
    <row r="302" spans="1:4" ht="21" x14ac:dyDescent="0.2">
      <c r="A302" s="75"/>
      <c r="B302" s="75"/>
      <c r="C302" s="75"/>
      <c r="D302" s="75"/>
    </row>
    <row r="303" spans="1:4" ht="21" x14ac:dyDescent="0.2">
      <c r="A303" s="75"/>
      <c r="B303" s="75"/>
      <c r="C303" s="75"/>
      <c r="D303" s="75"/>
    </row>
    <row r="304" spans="1:4" ht="21" x14ac:dyDescent="0.2">
      <c r="A304" s="75"/>
      <c r="B304" s="75"/>
      <c r="C304" s="75"/>
      <c r="D304" s="75"/>
    </row>
    <row r="305" spans="1:4" ht="21" x14ac:dyDescent="0.2">
      <c r="A305" s="75"/>
      <c r="B305" s="75"/>
      <c r="C305" s="75"/>
      <c r="D305" s="75"/>
    </row>
    <row r="306" spans="1:4" ht="21" x14ac:dyDescent="0.2">
      <c r="A306" s="75"/>
      <c r="B306" s="75"/>
      <c r="C306" s="75"/>
      <c r="D306" s="75"/>
    </row>
    <row r="307" spans="1:4" ht="21" x14ac:dyDescent="0.2">
      <c r="A307" s="75"/>
      <c r="B307" s="75"/>
      <c r="C307" s="75"/>
      <c r="D307" s="75"/>
    </row>
    <row r="308" spans="1:4" ht="21" x14ac:dyDescent="0.2">
      <c r="A308" s="75"/>
      <c r="B308" s="75"/>
      <c r="C308" s="75"/>
      <c r="D308" s="75"/>
    </row>
    <row r="309" spans="1:4" ht="21" x14ac:dyDescent="0.2">
      <c r="A309" s="75"/>
      <c r="B309" s="75"/>
      <c r="C309" s="75"/>
      <c r="D309" s="75"/>
    </row>
    <row r="310" spans="1:4" ht="21" x14ac:dyDescent="0.2">
      <c r="A310" s="75"/>
      <c r="B310" s="75"/>
      <c r="C310" s="75"/>
      <c r="D310" s="75"/>
    </row>
    <row r="311" spans="1:4" ht="21" x14ac:dyDescent="0.2">
      <c r="A311" s="75"/>
      <c r="B311" s="75"/>
      <c r="C311" s="75"/>
      <c r="D311" s="75"/>
    </row>
    <row r="312" spans="1:4" ht="21" x14ac:dyDescent="0.2">
      <c r="A312" s="75"/>
      <c r="B312" s="75"/>
      <c r="C312" s="75"/>
      <c r="D312" s="75"/>
    </row>
    <row r="313" spans="1:4" ht="21" x14ac:dyDescent="0.2">
      <c r="A313" s="75"/>
      <c r="B313" s="75"/>
      <c r="C313" s="75"/>
      <c r="D313" s="75"/>
    </row>
    <row r="314" spans="1:4" ht="21" x14ac:dyDescent="0.2">
      <c r="A314" s="75"/>
      <c r="B314" s="75"/>
      <c r="C314" s="75"/>
      <c r="D314" s="75"/>
    </row>
    <row r="315" spans="1:4" ht="21" x14ac:dyDescent="0.2">
      <c r="A315" s="75"/>
      <c r="B315" s="75"/>
      <c r="C315" s="75"/>
      <c r="D315" s="75"/>
    </row>
    <row r="316" spans="1:4" ht="21" x14ac:dyDescent="0.2">
      <c r="A316" s="75"/>
      <c r="B316" s="75"/>
      <c r="C316" s="75"/>
      <c r="D316" s="75"/>
    </row>
    <row r="317" spans="1:4" ht="21" x14ac:dyDescent="0.2">
      <c r="A317" s="75"/>
      <c r="B317" s="75"/>
      <c r="C317" s="75"/>
      <c r="D317" s="75"/>
    </row>
    <row r="318" spans="1:4" ht="21" x14ac:dyDescent="0.2">
      <c r="A318" s="75"/>
      <c r="B318" s="75"/>
      <c r="C318" s="75"/>
      <c r="D318" s="75"/>
    </row>
    <row r="319" spans="1:4" ht="21" x14ac:dyDescent="0.2">
      <c r="A319" s="75"/>
      <c r="B319" s="75"/>
      <c r="C319" s="75"/>
      <c r="D319" s="75"/>
    </row>
    <row r="320" spans="1:4" ht="21" x14ac:dyDescent="0.2">
      <c r="A320" s="75"/>
      <c r="B320" s="75"/>
      <c r="C320" s="75"/>
      <c r="D320" s="75"/>
    </row>
    <row r="321" spans="1:4" ht="21" x14ac:dyDescent="0.2">
      <c r="A321" s="75"/>
      <c r="B321" s="75"/>
      <c r="C321" s="75"/>
      <c r="D321" s="75"/>
    </row>
    <row r="322" spans="1:4" ht="21" x14ac:dyDescent="0.2">
      <c r="A322" s="75"/>
      <c r="B322" s="75"/>
      <c r="C322" s="75"/>
      <c r="D322" s="75"/>
    </row>
    <row r="323" spans="1:4" ht="21" x14ac:dyDescent="0.2">
      <c r="A323" s="75"/>
      <c r="B323" s="75"/>
      <c r="C323" s="75"/>
      <c r="D323" s="75"/>
    </row>
    <row r="324" spans="1:4" ht="21" x14ac:dyDescent="0.2">
      <c r="A324" s="75"/>
      <c r="B324" s="75"/>
      <c r="C324" s="75"/>
      <c r="D324" s="75"/>
    </row>
    <row r="325" spans="1:4" ht="21" x14ac:dyDescent="0.2">
      <c r="A325" s="75"/>
      <c r="B325" s="75"/>
      <c r="C325" s="75"/>
      <c r="D325" s="75"/>
    </row>
    <row r="326" spans="1:4" ht="21" x14ac:dyDescent="0.2">
      <c r="A326" s="75"/>
      <c r="B326" s="75"/>
      <c r="C326" s="75"/>
      <c r="D326" s="75"/>
    </row>
    <row r="327" spans="1:4" ht="21" x14ac:dyDescent="0.2">
      <c r="A327" s="75"/>
      <c r="B327" s="75"/>
      <c r="C327" s="75"/>
      <c r="D327" s="75"/>
    </row>
    <row r="328" spans="1:4" ht="21" x14ac:dyDescent="0.2">
      <c r="A328" s="75"/>
      <c r="B328" s="75"/>
      <c r="C328" s="75"/>
      <c r="D328" s="75"/>
    </row>
    <row r="329" spans="1:4" ht="21" x14ac:dyDescent="0.2">
      <c r="A329" s="75"/>
      <c r="B329" s="75"/>
      <c r="C329" s="75"/>
      <c r="D329" s="75"/>
    </row>
    <row r="330" spans="1:4" ht="21" x14ac:dyDescent="0.2">
      <c r="A330" s="75"/>
      <c r="B330" s="75"/>
      <c r="C330" s="75"/>
      <c r="D330" s="75"/>
    </row>
    <row r="331" spans="1:4" ht="21" x14ac:dyDescent="0.2">
      <c r="A331" s="75"/>
      <c r="B331" s="75"/>
      <c r="C331" s="75"/>
      <c r="D331" s="75"/>
    </row>
    <row r="332" spans="1:4" ht="21" x14ac:dyDescent="0.2">
      <c r="A332" s="75"/>
      <c r="B332" s="75"/>
      <c r="C332" s="75"/>
      <c r="D332" s="75"/>
    </row>
    <row r="333" spans="1:4" ht="21" x14ac:dyDescent="0.2">
      <c r="A333" s="75"/>
      <c r="B333" s="75"/>
      <c r="C333" s="75"/>
      <c r="D333" s="75"/>
    </row>
    <row r="334" spans="1:4" ht="21" x14ac:dyDescent="0.2">
      <c r="A334" s="75"/>
      <c r="B334" s="75"/>
      <c r="C334" s="75"/>
      <c r="D334" s="75"/>
    </row>
    <row r="335" spans="1:4" ht="21" x14ac:dyDescent="0.2">
      <c r="A335" s="75"/>
      <c r="B335" s="75"/>
      <c r="C335" s="75"/>
      <c r="D335" s="75"/>
    </row>
    <row r="336" spans="1:4" ht="21" x14ac:dyDescent="0.2">
      <c r="A336" s="75"/>
      <c r="B336" s="75"/>
      <c r="C336" s="75"/>
      <c r="D336" s="75"/>
    </row>
    <row r="337" spans="1:4" ht="21" x14ac:dyDescent="0.2">
      <c r="A337" s="75"/>
      <c r="B337" s="75"/>
      <c r="C337" s="75"/>
      <c r="D337" s="75"/>
    </row>
    <row r="338" spans="1:4" ht="21" x14ac:dyDescent="0.2">
      <c r="A338" s="75"/>
      <c r="B338" s="75"/>
      <c r="C338" s="75"/>
      <c r="D338" s="75"/>
    </row>
    <row r="339" spans="1:4" ht="21" x14ac:dyDescent="0.2">
      <c r="A339" s="75"/>
      <c r="B339" s="75"/>
      <c r="C339" s="75"/>
      <c r="D339" s="75"/>
    </row>
    <row r="340" spans="1:4" ht="21" x14ac:dyDescent="0.2">
      <c r="A340" s="75"/>
      <c r="B340" s="75"/>
      <c r="C340" s="75"/>
      <c r="D340" s="75"/>
    </row>
    <row r="341" spans="1:4" ht="21" x14ac:dyDescent="0.2">
      <c r="A341" s="75"/>
      <c r="B341" s="75"/>
      <c r="C341" s="75"/>
      <c r="D341" s="75"/>
    </row>
    <row r="342" spans="1:4" ht="21" x14ac:dyDescent="0.2">
      <c r="A342" s="75"/>
      <c r="B342" s="75"/>
      <c r="C342" s="75"/>
      <c r="D342" s="75"/>
    </row>
    <row r="343" spans="1:4" ht="21" x14ac:dyDescent="0.2">
      <c r="A343" s="75"/>
      <c r="B343" s="75"/>
      <c r="C343" s="75"/>
      <c r="D343" s="75"/>
    </row>
    <row r="344" spans="1:4" ht="21" x14ac:dyDescent="0.2">
      <c r="A344" s="75"/>
      <c r="B344" s="75"/>
      <c r="C344" s="75"/>
      <c r="D344" s="75"/>
    </row>
    <row r="345" spans="1:4" ht="21" x14ac:dyDescent="0.2">
      <c r="A345" s="75"/>
      <c r="B345" s="75"/>
      <c r="C345" s="75"/>
      <c r="D345" s="75"/>
    </row>
    <row r="346" spans="1:4" ht="21" x14ac:dyDescent="0.2">
      <c r="A346" s="75"/>
      <c r="B346" s="75"/>
      <c r="C346" s="75"/>
      <c r="D346" s="75"/>
    </row>
    <row r="347" spans="1:4" ht="21" x14ac:dyDescent="0.2">
      <c r="A347" s="75"/>
      <c r="B347" s="75"/>
      <c r="C347" s="75"/>
      <c r="D347" s="75"/>
    </row>
    <row r="348" spans="1:4" ht="21" x14ac:dyDescent="0.2">
      <c r="A348" s="75"/>
      <c r="B348" s="75"/>
      <c r="C348" s="75"/>
      <c r="D348" s="75"/>
    </row>
    <row r="349" spans="1:4" ht="21" x14ac:dyDescent="0.2">
      <c r="A349" s="75"/>
      <c r="B349" s="75"/>
      <c r="C349" s="75"/>
      <c r="D349" s="75"/>
    </row>
    <row r="350" spans="1:4" ht="21" x14ac:dyDescent="0.2">
      <c r="A350" s="75"/>
      <c r="B350" s="75"/>
      <c r="C350" s="75"/>
      <c r="D350" s="75"/>
    </row>
    <row r="351" spans="1:4" ht="21" x14ac:dyDescent="0.2">
      <c r="A351" s="75"/>
      <c r="B351" s="75"/>
      <c r="C351" s="75"/>
      <c r="D351" s="75"/>
    </row>
    <row r="352" spans="1:4" ht="21" x14ac:dyDescent="0.2">
      <c r="A352" s="75"/>
      <c r="B352" s="75"/>
      <c r="C352" s="75"/>
      <c r="D352" s="75"/>
    </row>
    <row r="353" spans="1:4" ht="21" x14ac:dyDescent="0.2">
      <c r="A353" s="75"/>
      <c r="B353" s="75"/>
      <c r="C353" s="75"/>
      <c r="D353" s="75"/>
    </row>
    <row r="354" spans="1:4" ht="21" x14ac:dyDescent="0.2">
      <c r="A354" s="75"/>
      <c r="B354" s="75"/>
      <c r="C354" s="75"/>
      <c r="D354" s="75"/>
    </row>
    <row r="355" spans="1:4" ht="21" x14ac:dyDescent="0.2">
      <c r="A355" s="75"/>
      <c r="B355" s="75"/>
      <c r="C355" s="75"/>
      <c r="D355" s="75"/>
    </row>
    <row r="356" spans="1:4" ht="21" x14ac:dyDescent="0.2">
      <c r="A356" s="75"/>
      <c r="B356" s="75"/>
      <c r="C356" s="75"/>
      <c r="D356" s="75"/>
    </row>
    <row r="357" spans="1:4" ht="21" x14ac:dyDescent="0.2">
      <c r="A357" s="75"/>
      <c r="B357" s="75"/>
      <c r="C357" s="75"/>
      <c r="D357" s="75"/>
    </row>
    <row r="358" spans="1:4" ht="21" x14ac:dyDescent="0.2">
      <c r="A358" s="75"/>
      <c r="B358" s="75"/>
      <c r="C358" s="75"/>
      <c r="D358" s="75"/>
    </row>
    <row r="359" spans="1:4" ht="21" x14ac:dyDescent="0.2">
      <c r="A359" s="75"/>
      <c r="B359" s="75"/>
      <c r="C359" s="75"/>
      <c r="D359" s="75"/>
    </row>
    <row r="360" spans="1:4" ht="21" x14ac:dyDescent="0.2">
      <c r="A360" s="75"/>
      <c r="B360" s="75"/>
      <c r="C360" s="75"/>
      <c r="D360" s="75"/>
    </row>
    <row r="361" spans="1:4" ht="21" x14ac:dyDescent="0.2">
      <c r="A361" s="75"/>
      <c r="B361" s="75"/>
      <c r="C361" s="75"/>
      <c r="D361" s="75"/>
    </row>
    <row r="362" spans="1:4" ht="21" x14ac:dyDescent="0.2">
      <c r="A362" s="75"/>
      <c r="B362" s="75"/>
      <c r="C362" s="75"/>
      <c r="D362" s="75"/>
    </row>
    <row r="363" spans="1:4" ht="21" x14ac:dyDescent="0.2">
      <c r="A363" s="75"/>
      <c r="B363" s="75"/>
      <c r="C363" s="75"/>
      <c r="D363" s="75"/>
    </row>
    <row r="364" spans="1:4" ht="21" x14ac:dyDescent="0.2">
      <c r="A364" s="75"/>
      <c r="B364" s="75"/>
      <c r="C364" s="75"/>
      <c r="D364" s="75"/>
    </row>
    <row r="365" spans="1:4" ht="21" x14ac:dyDescent="0.2">
      <c r="A365" s="75"/>
      <c r="B365" s="75"/>
      <c r="C365" s="75"/>
      <c r="D365" s="75"/>
    </row>
    <row r="366" spans="1:4" ht="21" x14ac:dyDescent="0.2">
      <c r="A366" s="75"/>
      <c r="B366" s="75"/>
      <c r="C366" s="75"/>
      <c r="D366" s="75"/>
    </row>
    <row r="367" spans="1:4" ht="21" x14ac:dyDescent="0.2">
      <c r="A367" s="75"/>
      <c r="B367" s="75"/>
      <c r="C367" s="75"/>
      <c r="D367" s="75"/>
    </row>
    <row r="368" spans="1:4" ht="21" x14ac:dyDescent="0.2">
      <c r="A368" s="75"/>
      <c r="B368" s="75"/>
      <c r="C368" s="75"/>
      <c r="D368" s="75"/>
    </row>
    <row r="369" spans="1:4" ht="21" x14ac:dyDescent="0.2">
      <c r="A369" s="75"/>
      <c r="B369" s="75"/>
      <c r="C369" s="75"/>
      <c r="D369" s="75"/>
    </row>
    <row r="370" spans="1:4" ht="21" x14ac:dyDescent="0.2">
      <c r="A370" s="75"/>
      <c r="B370" s="75"/>
      <c r="C370" s="75"/>
      <c r="D370" s="75"/>
    </row>
    <row r="371" spans="1:4" ht="21" x14ac:dyDescent="0.2">
      <c r="A371" s="75"/>
      <c r="B371" s="75"/>
      <c r="C371" s="75"/>
      <c r="D371" s="75"/>
    </row>
    <row r="372" spans="1:4" ht="21" x14ac:dyDescent="0.2">
      <c r="A372" s="75"/>
      <c r="B372" s="75"/>
      <c r="C372" s="75"/>
      <c r="D372" s="75"/>
    </row>
    <row r="373" spans="1:4" ht="21" x14ac:dyDescent="0.2">
      <c r="A373" s="75"/>
      <c r="B373" s="75"/>
      <c r="C373" s="75"/>
      <c r="D373" s="75"/>
    </row>
    <row r="374" spans="1:4" ht="21" x14ac:dyDescent="0.2">
      <c r="A374" s="75"/>
      <c r="B374" s="75"/>
      <c r="C374" s="75"/>
      <c r="D374" s="75"/>
    </row>
    <row r="375" spans="1:4" ht="21" x14ac:dyDescent="0.2">
      <c r="A375" s="75"/>
      <c r="B375" s="75"/>
      <c r="C375" s="75"/>
      <c r="D375" s="75"/>
    </row>
    <row r="376" spans="1:4" ht="21" x14ac:dyDescent="0.2">
      <c r="A376" s="75"/>
      <c r="B376" s="75"/>
      <c r="C376" s="75"/>
      <c r="D376" s="75"/>
    </row>
    <row r="377" spans="1:4" ht="21" x14ac:dyDescent="0.2">
      <c r="A377" s="75"/>
      <c r="B377" s="75"/>
      <c r="C377" s="75"/>
      <c r="D377" s="75"/>
    </row>
    <row r="378" spans="1:4" ht="21" x14ac:dyDescent="0.2">
      <c r="A378" s="75"/>
      <c r="B378" s="75"/>
      <c r="C378" s="75"/>
      <c r="D378" s="75"/>
    </row>
    <row r="379" spans="1:4" ht="21" x14ac:dyDescent="0.2">
      <c r="A379" s="75"/>
      <c r="B379" s="75"/>
      <c r="C379" s="75"/>
      <c r="D379" s="75"/>
    </row>
    <row r="380" spans="1:4" ht="21" x14ac:dyDescent="0.2">
      <c r="A380" s="75"/>
      <c r="B380" s="75"/>
      <c r="C380" s="75"/>
      <c r="D380" s="75"/>
    </row>
    <row r="381" spans="1:4" ht="21" x14ac:dyDescent="0.2">
      <c r="A381" s="75"/>
      <c r="B381" s="75"/>
      <c r="C381" s="75"/>
      <c r="D381" s="75"/>
    </row>
    <row r="382" spans="1:4" ht="21" x14ac:dyDescent="0.2">
      <c r="A382" s="75"/>
      <c r="B382" s="75"/>
      <c r="C382" s="75"/>
      <c r="D382" s="75"/>
    </row>
    <row r="383" spans="1:4" ht="21" x14ac:dyDescent="0.2">
      <c r="A383" s="75"/>
      <c r="B383" s="75"/>
      <c r="C383" s="75"/>
      <c r="D383" s="75"/>
    </row>
    <row r="384" spans="1:4" ht="21" x14ac:dyDescent="0.2">
      <c r="A384" s="75"/>
      <c r="B384" s="75"/>
      <c r="C384" s="75"/>
      <c r="D384" s="75"/>
    </row>
    <row r="385" spans="1:4" ht="21" x14ac:dyDescent="0.2">
      <c r="A385" s="75"/>
      <c r="B385" s="75"/>
      <c r="C385" s="75"/>
      <c r="D385" s="75"/>
    </row>
    <row r="386" spans="1:4" ht="21" x14ac:dyDescent="0.2">
      <c r="A386" s="75"/>
      <c r="B386" s="75"/>
      <c r="C386" s="75"/>
      <c r="D386" s="75"/>
    </row>
    <row r="387" spans="1:4" ht="21" x14ac:dyDescent="0.2">
      <c r="A387" s="75"/>
      <c r="B387" s="75"/>
      <c r="C387" s="75"/>
      <c r="D387" s="75"/>
    </row>
    <row r="388" spans="1:4" ht="21" x14ac:dyDescent="0.2">
      <c r="A388" s="75"/>
      <c r="B388" s="75"/>
      <c r="C388" s="75"/>
      <c r="D388" s="75"/>
    </row>
    <row r="389" spans="1:4" ht="21" x14ac:dyDescent="0.2">
      <c r="A389" s="75"/>
      <c r="B389" s="75"/>
      <c r="C389" s="75"/>
      <c r="D389" s="75"/>
    </row>
    <row r="390" spans="1:4" ht="21" x14ac:dyDescent="0.2">
      <c r="A390" s="75"/>
      <c r="B390" s="75"/>
      <c r="C390" s="75"/>
      <c r="D390" s="75"/>
    </row>
    <row r="391" spans="1:4" ht="21" x14ac:dyDescent="0.2">
      <c r="A391" s="75"/>
      <c r="B391" s="75"/>
      <c r="C391" s="75"/>
      <c r="D391" s="75"/>
    </row>
    <row r="392" spans="1:4" ht="21" x14ac:dyDescent="0.2">
      <c r="A392" s="75"/>
      <c r="B392" s="75"/>
      <c r="C392" s="75"/>
      <c r="D392" s="75"/>
    </row>
    <row r="393" spans="1:4" ht="21" x14ac:dyDescent="0.2">
      <c r="A393" s="75"/>
      <c r="B393" s="75"/>
      <c r="C393" s="75"/>
      <c r="D393" s="75"/>
    </row>
    <row r="394" spans="1:4" ht="21" x14ac:dyDescent="0.2">
      <c r="A394" s="75"/>
      <c r="B394" s="75"/>
      <c r="C394" s="75"/>
      <c r="D394" s="75"/>
    </row>
    <row r="395" spans="1:4" ht="21" x14ac:dyDescent="0.2">
      <c r="A395" s="75"/>
      <c r="B395" s="75"/>
      <c r="C395" s="75"/>
      <c r="D395" s="75"/>
    </row>
    <row r="396" spans="1:4" ht="21" x14ac:dyDescent="0.2">
      <c r="A396" s="75"/>
      <c r="B396" s="75"/>
      <c r="C396" s="75"/>
      <c r="D396" s="75"/>
    </row>
    <row r="397" spans="1:4" ht="21" x14ac:dyDescent="0.2">
      <c r="A397" s="75"/>
      <c r="B397" s="75"/>
      <c r="C397" s="75"/>
      <c r="D397" s="75"/>
    </row>
    <row r="398" spans="1:4" ht="21" x14ac:dyDescent="0.2">
      <c r="A398" s="75"/>
      <c r="B398" s="75"/>
      <c r="C398" s="75"/>
      <c r="D398" s="75"/>
    </row>
    <row r="399" spans="1:4" ht="21" x14ac:dyDescent="0.2">
      <c r="A399" s="75"/>
      <c r="B399" s="75"/>
      <c r="C399" s="75"/>
      <c r="D399" s="75"/>
    </row>
    <row r="400" spans="1:4" ht="21" x14ac:dyDescent="0.2">
      <c r="A400" s="75"/>
      <c r="B400" s="75"/>
      <c r="C400" s="75"/>
      <c r="D400" s="75"/>
    </row>
    <row r="401" spans="1:4" ht="21" x14ac:dyDescent="0.2">
      <c r="A401" s="75"/>
      <c r="B401" s="75"/>
      <c r="C401" s="75"/>
      <c r="D401" s="75"/>
    </row>
    <row r="402" spans="1:4" ht="21" x14ac:dyDescent="0.2">
      <c r="A402" s="75"/>
      <c r="B402" s="75"/>
      <c r="C402" s="75"/>
      <c r="D402" s="75"/>
    </row>
    <row r="403" spans="1:4" ht="21" x14ac:dyDescent="0.2">
      <c r="A403" s="75"/>
      <c r="B403" s="75"/>
      <c r="C403" s="75"/>
      <c r="D403" s="75"/>
    </row>
    <row r="404" spans="1:4" ht="21" x14ac:dyDescent="0.2">
      <c r="A404" s="75"/>
      <c r="B404" s="75"/>
      <c r="C404" s="75"/>
      <c r="D404" s="75"/>
    </row>
    <row r="405" spans="1:4" ht="21" x14ac:dyDescent="0.2">
      <c r="A405" s="75"/>
      <c r="B405" s="75"/>
      <c r="C405" s="75"/>
      <c r="D405" s="75"/>
    </row>
    <row r="406" spans="1:4" ht="21" x14ac:dyDescent="0.2">
      <c r="A406" s="75"/>
      <c r="B406" s="75"/>
      <c r="C406" s="75"/>
      <c r="D406" s="75"/>
    </row>
    <row r="407" spans="1:4" ht="21" x14ac:dyDescent="0.2">
      <c r="A407" s="75"/>
      <c r="B407" s="75"/>
      <c r="C407" s="75"/>
      <c r="D407" s="75"/>
    </row>
    <row r="408" spans="1:4" ht="21" x14ac:dyDescent="0.2">
      <c r="A408" s="75"/>
      <c r="B408" s="75"/>
      <c r="C408" s="75"/>
      <c r="D408" s="75"/>
    </row>
    <row r="409" spans="1:4" ht="21" x14ac:dyDescent="0.2">
      <c r="A409" s="75"/>
      <c r="B409" s="75"/>
      <c r="C409" s="75"/>
      <c r="D409" s="75"/>
    </row>
    <row r="410" spans="1:4" ht="21" x14ac:dyDescent="0.2">
      <c r="A410" s="75"/>
      <c r="B410" s="75"/>
      <c r="C410" s="75"/>
      <c r="D410" s="75"/>
    </row>
    <row r="411" spans="1:4" ht="21" x14ac:dyDescent="0.2">
      <c r="A411" s="75"/>
      <c r="B411" s="75"/>
      <c r="C411" s="75"/>
      <c r="D411" s="75"/>
    </row>
    <row r="412" spans="1:4" ht="21" x14ac:dyDescent="0.2">
      <c r="A412" s="75"/>
      <c r="B412" s="75"/>
      <c r="C412" s="75"/>
      <c r="D412" s="75"/>
    </row>
    <row r="413" spans="1:4" ht="21" x14ac:dyDescent="0.2">
      <c r="A413" s="75"/>
      <c r="B413" s="75"/>
      <c r="C413" s="75"/>
      <c r="D413" s="75"/>
    </row>
    <row r="414" spans="1:4" ht="21" x14ac:dyDescent="0.2">
      <c r="A414" s="75"/>
      <c r="B414" s="75"/>
      <c r="C414" s="75"/>
      <c r="D414" s="75"/>
    </row>
    <row r="415" spans="1:4" ht="21" x14ac:dyDescent="0.2">
      <c r="A415" s="75"/>
      <c r="B415" s="75"/>
      <c r="C415" s="75"/>
      <c r="D415" s="75"/>
    </row>
    <row r="416" spans="1:4" ht="21" x14ac:dyDescent="0.2">
      <c r="A416" s="75"/>
      <c r="B416" s="75"/>
      <c r="C416" s="75"/>
      <c r="D416" s="75"/>
    </row>
    <row r="417" spans="1:4" ht="21" x14ac:dyDescent="0.2">
      <c r="A417" s="75"/>
      <c r="B417" s="75"/>
      <c r="C417" s="75"/>
      <c r="D417" s="75"/>
    </row>
    <row r="418" spans="1:4" ht="21" x14ac:dyDescent="0.2">
      <c r="A418" s="75"/>
      <c r="B418" s="75"/>
      <c r="C418" s="75"/>
      <c r="D418" s="75"/>
    </row>
    <row r="419" spans="1:4" ht="21" x14ac:dyDescent="0.2">
      <c r="A419" s="75"/>
      <c r="B419" s="75"/>
      <c r="C419" s="75"/>
      <c r="D419" s="75"/>
    </row>
    <row r="420" spans="1:4" ht="21" x14ac:dyDescent="0.2">
      <c r="A420" s="75"/>
      <c r="B420" s="75"/>
      <c r="C420" s="75"/>
      <c r="D420" s="75"/>
    </row>
    <row r="421" spans="1:4" ht="21" x14ac:dyDescent="0.2">
      <c r="A421" s="75"/>
      <c r="B421" s="75"/>
      <c r="C421" s="75"/>
      <c r="D421" s="75"/>
    </row>
    <row r="422" spans="1:4" ht="21" x14ac:dyDescent="0.2">
      <c r="A422" s="75"/>
      <c r="B422" s="75"/>
      <c r="C422" s="75"/>
      <c r="D422" s="75"/>
    </row>
    <row r="423" spans="1:4" ht="21" x14ac:dyDescent="0.2">
      <c r="A423" s="75"/>
      <c r="B423" s="75"/>
      <c r="C423" s="75"/>
      <c r="D423" s="75"/>
    </row>
    <row r="424" spans="1:4" ht="21" x14ac:dyDescent="0.2">
      <c r="A424" s="75"/>
      <c r="B424" s="75"/>
      <c r="C424" s="75"/>
      <c r="D424" s="75"/>
    </row>
    <row r="425" spans="1:4" ht="21" x14ac:dyDescent="0.2">
      <c r="A425" s="75"/>
      <c r="B425" s="75"/>
      <c r="C425" s="75"/>
      <c r="D425" s="75"/>
    </row>
    <row r="426" spans="1:4" ht="21" x14ac:dyDescent="0.2">
      <c r="A426" s="75"/>
      <c r="B426" s="75"/>
      <c r="C426" s="75"/>
      <c r="D426" s="75"/>
    </row>
    <row r="427" spans="1:4" ht="21" x14ac:dyDescent="0.2">
      <c r="A427" s="75"/>
      <c r="B427" s="75"/>
      <c r="C427" s="75"/>
      <c r="D427" s="75"/>
    </row>
    <row r="428" spans="1:4" ht="21" x14ac:dyDescent="0.2">
      <c r="A428" s="75"/>
      <c r="B428" s="75"/>
      <c r="C428" s="75"/>
      <c r="D428" s="75"/>
    </row>
    <row r="429" spans="1:4" ht="21" x14ac:dyDescent="0.2">
      <c r="A429" s="75"/>
      <c r="B429" s="75"/>
      <c r="C429" s="75"/>
      <c r="D429" s="75"/>
    </row>
    <row r="430" spans="1:4" ht="21" x14ac:dyDescent="0.2">
      <c r="A430" s="75"/>
      <c r="B430" s="75"/>
      <c r="C430" s="75"/>
      <c r="D430" s="75"/>
    </row>
    <row r="431" spans="1:4" ht="21" x14ac:dyDescent="0.2">
      <c r="A431" s="75"/>
      <c r="B431" s="75"/>
      <c r="C431" s="75"/>
      <c r="D431" s="75"/>
    </row>
    <row r="432" spans="1:4" ht="21" x14ac:dyDescent="0.2">
      <c r="A432" s="75"/>
      <c r="B432" s="75"/>
      <c r="C432" s="75"/>
      <c r="D432" s="75"/>
    </row>
    <row r="433" spans="1:4" ht="21" x14ac:dyDescent="0.2">
      <c r="A433" s="75"/>
      <c r="B433" s="75"/>
      <c r="C433" s="75"/>
      <c r="D433" s="75"/>
    </row>
    <row r="434" spans="1:4" ht="21" x14ac:dyDescent="0.2">
      <c r="A434" s="75"/>
      <c r="B434" s="75"/>
      <c r="C434" s="75"/>
      <c r="D434" s="75"/>
    </row>
    <row r="435" spans="1:4" ht="21" x14ac:dyDescent="0.2">
      <c r="A435" s="75"/>
      <c r="B435" s="75"/>
      <c r="C435" s="75"/>
      <c r="D435" s="75"/>
    </row>
    <row r="436" spans="1:4" ht="21" x14ac:dyDescent="0.2">
      <c r="A436" s="75"/>
      <c r="B436" s="75"/>
      <c r="C436" s="75"/>
      <c r="D436" s="75"/>
    </row>
    <row r="437" spans="1:4" ht="21" x14ac:dyDescent="0.2">
      <c r="A437" s="75"/>
      <c r="B437" s="75"/>
      <c r="C437" s="75"/>
      <c r="D437" s="75"/>
    </row>
    <row r="438" spans="1:4" ht="21" x14ac:dyDescent="0.2">
      <c r="A438" s="75"/>
      <c r="B438" s="75"/>
      <c r="C438" s="75"/>
      <c r="D438" s="75"/>
    </row>
    <row r="439" spans="1:4" ht="21" x14ac:dyDescent="0.2">
      <c r="A439" s="75"/>
      <c r="B439" s="75"/>
      <c r="C439" s="75"/>
      <c r="D439" s="75"/>
    </row>
    <row r="440" spans="1:4" ht="21" x14ac:dyDescent="0.2">
      <c r="A440" s="75"/>
      <c r="B440" s="75"/>
      <c r="C440" s="75"/>
      <c r="D440" s="75"/>
    </row>
    <row r="441" spans="1:4" ht="21" x14ac:dyDescent="0.2">
      <c r="A441" s="75"/>
      <c r="B441" s="75"/>
      <c r="C441" s="75"/>
      <c r="D441" s="75"/>
    </row>
    <row r="442" spans="1:4" ht="21" x14ac:dyDescent="0.2">
      <c r="A442" s="75"/>
      <c r="B442" s="75"/>
      <c r="C442" s="75"/>
      <c r="D442" s="75"/>
    </row>
    <row r="443" spans="1:4" ht="21" x14ac:dyDescent="0.2">
      <c r="A443" s="75"/>
      <c r="B443" s="75"/>
      <c r="C443" s="75"/>
      <c r="D443" s="75"/>
    </row>
    <row r="444" spans="1:4" ht="21" x14ac:dyDescent="0.2">
      <c r="A444" s="75"/>
      <c r="B444" s="75"/>
      <c r="C444" s="75"/>
      <c r="D444" s="75"/>
    </row>
    <row r="445" spans="1:4" ht="21" x14ac:dyDescent="0.2">
      <c r="A445" s="75"/>
      <c r="B445" s="75"/>
      <c r="C445" s="75"/>
      <c r="D445" s="75"/>
    </row>
    <row r="446" spans="1:4" ht="21" x14ac:dyDescent="0.2">
      <c r="A446" s="75"/>
      <c r="B446" s="75"/>
      <c r="C446" s="75"/>
      <c r="D446" s="75"/>
    </row>
    <row r="447" spans="1:4" ht="21" x14ac:dyDescent="0.2">
      <c r="A447" s="75"/>
      <c r="B447" s="75"/>
      <c r="C447" s="75"/>
      <c r="D447" s="75"/>
    </row>
    <row r="448" spans="1:4" ht="21" x14ac:dyDescent="0.2">
      <c r="A448" s="75"/>
      <c r="B448" s="75"/>
      <c r="C448" s="75"/>
      <c r="D448" s="75"/>
    </row>
    <row r="449" spans="1:4" ht="21" x14ac:dyDescent="0.2">
      <c r="A449" s="75"/>
      <c r="B449" s="75"/>
      <c r="C449" s="75"/>
      <c r="D449" s="75"/>
    </row>
    <row r="450" spans="1:4" ht="21" x14ac:dyDescent="0.2">
      <c r="A450" s="75"/>
      <c r="B450" s="75"/>
      <c r="C450" s="75"/>
      <c r="D450" s="75"/>
    </row>
    <row r="451" spans="1:4" ht="21" x14ac:dyDescent="0.2">
      <c r="A451" s="75"/>
      <c r="B451" s="75"/>
      <c r="C451" s="75"/>
      <c r="D451" s="75"/>
    </row>
    <row r="452" spans="1:4" ht="21" x14ac:dyDescent="0.2">
      <c r="A452" s="75"/>
      <c r="B452" s="75"/>
      <c r="C452" s="75"/>
      <c r="D452" s="75"/>
    </row>
    <row r="453" spans="1:4" ht="21" x14ac:dyDescent="0.2">
      <c r="A453" s="75"/>
      <c r="B453" s="75"/>
      <c r="C453" s="75"/>
      <c r="D453" s="75"/>
    </row>
    <row r="454" spans="1:4" ht="21" x14ac:dyDescent="0.2">
      <c r="A454" s="75"/>
      <c r="B454" s="75"/>
      <c r="C454" s="75"/>
      <c r="D454" s="75"/>
    </row>
    <row r="455" spans="1:4" ht="21" x14ac:dyDescent="0.2">
      <c r="A455" s="75"/>
      <c r="B455" s="75"/>
      <c r="C455" s="75"/>
      <c r="D455" s="75"/>
    </row>
    <row r="456" spans="1:4" ht="21" x14ac:dyDescent="0.2">
      <c r="A456" s="75"/>
      <c r="B456" s="75"/>
      <c r="C456" s="75"/>
      <c r="D456" s="75"/>
    </row>
    <row r="457" spans="1:4" ht="21" x14ac:dyDescent="0.2">
      <c r="A457" s="75"/>
      <c r="B457" s="75"/>
      <c r="C457" s="75"/>
      <c r="D457" s="75"/>
    </row>
    <row r="458" spans="1:4" ht="21" x14ac:dyDescent="0.2">
      <c r="A458" s="75"/>
      <c r="B458" s="75"/>
      <c r="C458" s="75"/>
      <c r="D458" s="75"/>
    </row>
    <row r="459" spans="1:4" ht="21" x14ac:dyDescent="0.2">
      <c r="A459" s="75"/>
      <c r="B459" s="75"/>
      <c r="C459" s="75"/>
      <c r="D459" s="75"/>
    </row>
    <row r="460" spans="1:4" ht="21" x14ac:dyDescent="0.2">
      <c r="A460" s="75"/>
      <c r="B460" s="75"/>
      <c r="C460" s="75"/>
      <c r="D460" s="75"/>
    </row>
    <row r="461" spans="1:4" ht="21" x14ac:dyDescent="0.2">
      <c r="A461" s="75"/>
      <c r="B461" s="75"/>
      <c r="C461" s="75"/>
      <c r="D461" s="75"/>
    </row>
    <row r="462" spans="1:4" ht="21" x14ac:dyDescent="0.2">
      <c r="A462" s="75"/>
      <c r="B462" s="75"/>
      <c r="C462" s="75"/>
      <c r="D462" s="75"/>
    </row>
    <row r="463" spans="1:4" ht="21" x14ac:dyDescent="0.2">
      <c r="A463" s="75"/>
      <c r="B463" s="75"/>
      <c r="C463" s="75"/>
      <c r="D463" s="75"/>
    </row>
    <row r="464" spans="1:4" ht="21" x14ac:dyDescent="0.2">
      <c r="A464" s="75"/>
      <c r="B464" s="75"/>
      <c r="C464" s="75"/>
      <c r="D464" s="75"/>
    </row>
    <row r="465" spans="1:4" ht="21" x14ac:dyDescent="0.2">
      <c r="A465" s="75"/>
      <c r="B465" s="75"/>
      <c r="C465" s="75"/>
      <c r="D465" s="75"/>
    </row>
    <row r="466" spans="1:4" ht="21" x14ac:dyDescent="0.2">
      <c r="A466" s="75"/>
      <c r="B466" s="75"/>
      <c r="C466" s="75"/>
      <c r="D466" s="75"/>
    </row>
    <row r="467" spans="1:4" ht="21" x14ac:dyDescent="0.2">
      <c r="A467" s="75"/>
      <c r="B467" s="75"/>
      <c r="C467" s="75"/>
      <c r="D467" s="75"/>
    </row>
    <row r="468" spans="1:4" ht="21" x14ac:dyDescent="0.2">
      <c r="A468" s="75"/>
      <c r="B468" s="75"/>
      <c r="C468" s="75"/>
      <c r="D468" s="75"/>
    </row>
    <row r="469" spans="1:4" ht="21" x14ac:dyDescent="0.2">
      <c r="A469" s="75"/>
      <c r="B469" s="75"/>
      <c r="C469" s="75"/>
      <c r="D469" s="75"/>
    </row>
    <row r="470" spans="1:4" ht="21" x14ac:dyDescent="0.2">
      <c r="A470" s="75"/>
      <c r="B470" s="75"/>
      <c r="C470" s="75"/>
      <c r="D470" s="75"/>
    </row>
    <row r="471" spans="1:4" ht="21" x14ac:dyDescent="0.2">
      <c r="A471" s="75"/>
      <c r="B471" s="75"/>
      <c r="C471" s="75"/>
      <c r="D471" s="75"/>
    </row>
    <row r="472" spans="1:4" ht="21" x14ac:dyDescent="0.2">
      <c r="A472" s="75"/>
      <c r="B472" s="75"/>
      <c r="C472" s="75"/>
      <c r="D472" s="75"/>
    </row>
    <row r="473" spans="1:4" ht="21" x14ac:dyDescent="0.2">
      <c r="A473" s="75"/>
      <c r="B473" s="75"/>
      <c r="C473" s="75"/>
      <c r="D473" s="75"/>
    </row>
    <row r="474" spans="1:4" ht="21" x14ac:dyDescent="0.2">
      <c r="A474" s="75"/>
      <c r="B474" s="75"/>
      <c r="C474" s="75"/>
      <c r="D474" s="75"/>
    </row>
    <row r="475" spans="1:4" ht="21" x14ac:dyDescent="0.2">
      <c r="A475" s="75"/>
      <c r="B475" s="75"/>
      <c r="C475" s="75"/>
      <c r="D475" s="75"/>
    </row>
    <row r="476" spans="1:4" ht="21" x14ac:dyDescent="0.2">
      <c r="A476" s="75"/>
      <c r="B476" s="75"/>
      <c r="C476" s="75"/>
      <c r="D476" s="75"/>
    </row>
    <row r="477" spans="1:4" ht="21" x14ac:dyDescent="0.2">
      <c r="A477" s="75"/>
      <c r="B477" s="75"/>
      <c r="C477" s="75"/>
      <c r="D477" s="75"/>
    </row>
    <row r="478" spans="1:4" ht="21" x14ac:dyDescent="0.2">
      <c r="A478" s="75"/>
      <c r="B478" s="75"/>
      <c r="C478" s="75"/>
      <c r="D478" s="75"/>
    </row>
    <row r="479" spans="1:4" ht="21" x14ac:dyDescent="0.2">
      <c r="A479" s="75"/>
      <c r="B479" s="75"/>
      <c r="C479" s="75"/>
      <c r="D479" s="75"/>
    </row>
    <row r="480" spans="1:4" ht="21" x14ac:dyDescent="0.2">
      <c r="A480" s="75"/>
      <c r="B480" s="75"/>
      <c r="C480" s="75"/>
      <c r="D480" s="75"/>
    </row>
    <row r="481" spans="1:4" ht="21" x14ac:dyDescent="0.2">
      <c r="A481" s="75"/>
      <c r="B481" s="75"/>
      <c r="C481" s="75"/>
      <c r="D481" s="75"/>
    </row>
    <row r="482" spans="1:4" ht="21" x14ac:dyDescent="0.2">
      <c r="A482" s="75"/>
      <c r="B482" s="75"/>
      <c r="C482" s="75"/>
      <c r="D482" s="75"/>
    </row>
    <row r="483" spans="1:4" ht="21" x14ac:dyDescent="0.2">
      <c r="A483" s="75"/>
      <c r="B483" s="75"/>
      <c r="C483" s="75"/>
      <c r="D483" s="75"/>
    </row>
    <row r="484" spans="1:4" ht="21" x14ac:dyDescent="0.2">
      <c r="A484" s="75"/>
      <c r="B484" s="75"/>
      <c r="C484" s="75"/>
      <c r="D484" s="75"/>
    </row>
    <row r="485" spans="1:4" ht="21" x14ac:dyDescent="0.2">
      <c r="A485" s="75"/>
      <c r="B485" s="75"/>
      <c r="C485" s="75"/>
      <c r="D485" s="75"/>
    </row>
    <row r="486" spans="1:4" ht="21" x14ac:dyDescent="0.2">
      <c r="A486" s="75"/>
      <c r="B486" s="75"/>
      <c r="C486" s="75"/>
      <c r="D486" s="75"/>
    </row>
    <row r="487" spans="1:4" ht="21" x14ac:dyDescent="0.2">
      <c r="A487" s="75"/>
      <c r="B487" s="75"/>
      <c r="C487" s="75"/>
      <c r="D487" s="75"/>
    </row>
    <row r="488" spans="1:4" ht="21" x14ac:dyDescent="0.2">
      <c r="A488" s="75"/>
      <c r="B488" s="75"/>
      <c r="C488" s="75"/>
      <c r="D488" s="75"/>
    </row>
    <row r="489" spans="1:4" ht="21" x14ac:dyDescent="0.2">
      <c r="A489" s="75"/>
      <c r="B489" s="75"/>
      <c r="C489" s="75"/>
      <c r="D489" s="75"/>
    </row>
    <row r="490" spans="1:4" ht="21" x14ac:dyDescent="0.2">
      <c r="A490" s="75"/>
      <c r="B490" s="75"/>
      <c r="C490" s="75"/>
      <c r="D490" s="75"/>
    </row>
    <row r="491" spans="1:4" ht="21" x14ac:dyDescent="0.2">
      <c r="A491" s="75"/>
      <c r="B491" s="75"/>
      <c r="C491" s="75"/>
      <c r="D491" s="75"/>
    </row>
    <row r="492" spans="1:4" ht="21" x14ac:dyDescent="0.2">
      <c r="A492" s="75"/>
      <c r="B492" s="75"/>
      <c r="C492" s="75"/>
      <c r="D492" s="75"/>
    </row>
    <row r="493" spans="1:4" ht="21" x14ac:dyDescent="0.2">
      <c r="A493" s="75"/>
      <c r="B493" s="75"/>
      <c r="C493" s="75"/>
      <c r="D493" s="75"/>
    </row>
    <row r="494" spans="1:4" ht="21" x14ac:dyDescent="0.2">
      <c r="A494" s="75"/>
      <c r="B494" s="75"/>
      <c r="C494" s="75"/>
      <c r="D494" s="75"/>
    </row>
    <row r="495" spans="1:4" ht="21" x14ac:dyDescent="0.2">
      <c r="A495" s="75"/>
      <c r="B495" s="75"/>
      <c r="C495" s="75"/>
      <c r="D495" s="75"/>
    </row>
    <row r="496" spans="1:4" ht="21" x14ac:dyDescent="0.2">
      <c r="A496" s="75"/>
      <c r="B496" s="75"/>
      <c r="C496" s="75"/>
      <c r="D496" s="75"/>
    </row>
    <row r="497" spans="1:4" ht="21" x14ac:dyDescent="0.2">
      <c r="A497" s="75"/>
      <c r="B497" s="75"/>
      <c r="C497" s="75"/>
      <c r="D497" s="75"/>
    </row>
    <row r="498" spans="1:4" ht="21" x14ac:dyDescent="0.2">
      <c r="A498" s="75"/>
      <c r="B498" s="75"/>
      <c r="C498" s="75"/>
      <c r="D498" s="75"/>
    </row>
    <row r="499" spans="1:4" ht="21" x14ac:dyDescent="0.2">
      <c r="A499" s="75"/>
      <c r="B499" s="75"/>
      <c r="C499" s="75"/>
      <c r="D499" s="75"/>
    </row>
    <row r="500" spans="1:4" ht="21" x14ac:dyDescent="0.2">
      <c r="A500" s="75"/>
      <c r="B500" s="75"/>
      <c r="C500" s="75"/>
      <c r="D500" s="75"/>
    </row>
    <row r="501" spans="1:4" ht="21" x14ac:dyDescent="0.2">
      <c r="A501" s="75"/>
      <c r="B501" s="75"/>
      <c r="C501" s="75"/>
      <c r="D501" s="75"/>
    </row>
    <row r="502" spans="1:4" ht="21" x14ac:dyDescent="0.2">
      <c r="A502" s="75"/>
      <c r="B502" s="75"/>
      <c r="C502" s="75"/>
      <c r="D502" s="75"/>
    </row>
    <row r="503" spans="1:4" ht="21" x14ac:dyDescent="0.2">
      <c r="A503" s="76"/>
      <c r="B503" s="76"/>
      <c r="C503" s="76"/>
      <c r="D503" s="76"/>
    </row>
    <row r="504" spans="1:4" ht="21" x14ac:dyDescent="0.2">
      <c r="A504" s="75"/>
      <c r="B504" s="75"/>
      <c r="C504" s="75"/>
      <c r="D504" s="75"/>
    </row>
    <row r="505" spans="1:4" ht="21" x14ac:dyDescent="0.2">
      <c r="A505" s="75"/>
      <c r="B505" s="75"/>
      <c r="C505" s="75"/>
      <c r="D505" s="75"/>
    </row>
    <row r="506" spans="1:4" ht="21" x14ac:dyDescent="0.2">
      <c r="A506" s="75"/>
      <c r="B506" s="75"/>
      <c r="C506" s="75"/>
      <c r="D506" s="75"/>
    </row>
    <row r="507" spans="1:4" ht="21" x14ac:dyDescent="0.2">
      <c r="A507" s="75"/>
      <c r="B507" s="75"/>
      <c r="C507" s="75"/>
      <c r="D507" s="75"/>
    </row>
    <row r="508" spans="1:4" ht="21" x14ac:dyDescent="0.2">
      <c r="A508" s="75"/>
      <c r="B508" s="75"/>
      <c r="C508" s="75"/>
      <c r="D508" s="75"/>
    </row>
    <row r="509" spans="1:4" ht="21" x14ac:dyDescent="0.2">
      <c r="A509" s="75"/>
      <c r="B509" s="75"/>
      <c r="C509" s="75"/>
      <c r="D509" s="75"/>
    </row>
    <row r="510" spans="1:4" ht="21" x14ac:dyDescent="0.2">
      <c r="A510" s="75"/>
      <c r="B510" s="75"/>
      <c r="C510" s="75"/>
      <c r="D510" s="75"/>
    </row>
    <row r="511" spans="1:4" ht="21" x14ac:dyDescent="0.2">
      <c r="A511" s="75"/>
      <c r="B511" s="75"/>
      <c r="C511" s="75"/>
      <c r="D511" s="75"/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SHORT SHEET</vt:lpstr>
      <vt:lpstr>DISPATCH SHEET</vt:lpstr>
      <vt:lpstr>OPENDOCK</vt:lpstr>
      <vt:lpstr>CARRIERS</vt:lpstr>
      <vt:lpstr>MG REPORT</vt:lpstr>
      <vt:lpstr>'DISPATCH SHEET'!Print_Area</vt:lpstr>
      <vt:lpstr>'SHORT SHEET'!Print_Area</vt:lpstr>
      <vt:lpstr>'DISPATCH SHEET'!Print_Titles</vt:lpstr>
      <vt:lpstr>'SHORT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Canas</dc:creator>
  <cp:lastModifiedBy>Andres Canas</cp:lastModifiedBy>
  <dcterms:created xsi:type="dcterms:W3CDTF">2026-05-29T14:04:09Z</dcterms:created>
  <dcterms:modified xsi:type="dcterms:W3CDTF">2026-06-03T19:50:31Z</dcterms:modified>
</cp:coreProperties>
</file>